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lutterProjects\knowledge_graph_app\data\课程知识图谱与数字孪生\达成\"/>
    </mc:Choice>
  </mc:AlternateContent>
  <xr:revisionPtr revIDLastSave="0" documentId="8_{9F1AC742-04F7-423F-AAD9-A61DD72144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成绩录入" sheetId="2" r:id="rId1"/>
    <sheet name="大纲对照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C2" i="2"/>
</calcChain>
</file>

<file path=xl/sharedStrings.xml><?xml version="1.0" encoding="utf-8"?>
<sst xmlns="http://schemas.openxmlformats.org/spreadsheetml/2006/main" count="93" uniqueCount="61">
  <si>
    <t>学号</t>
  </si>
  <si>
    <t>姓名</t>
  </si>
  <si>
    <t>平时成绩-课程目标1-比例26%</t>
  </si>
  <si>
    <t>实验成绩-课程目标1-比例27%</t>
  </si>
  <si>
    <t>考核成绩-课程目标1-比例46%</t>
  </si>
  <si>
    <t>平时成绩-课程目标2-比例18%</t>
  </si>
  <si>
    <t>实验成绩-课程目标2-比例20%</t>
  </si>
  <si>
    <t>考核成绩-课程目标2-比例63%</t>
  </si>
  <si>
    <t>平时成绩-课程目标3-比例19%</t>
  </si>
  <si>
    <t>实验成绩-课程目标3-比例17%</t>
  </si>
  <si>
    <t>考核成绩-课程目标3-比例64%</t>
  </si>
  <si>
    <t>平时成绩-课程目标4-比例22%</t>
  </si>
  <si>
    <t>实验成绩-课程目标4-比例23%</t>
  </si>
  <si>
    <t>考核成绩-课程目标4-比例55%</t>
  </si>
  <si>
    <t>平时成绩-课程目标5-比例11%</t>
  </si>
  <si>
    <t>实验成绩-课程目标5-比例9%</t>
  </si>
  <si>
    <t>考核成绩-课程目标5-比例81%</t>
  </si>
  <si>
    <t>课程目标</t>
  </si>
  <si>
    <t>指标点</t>
  </si>
  <si>
    <t>目标权重</t>
  </si>
  <si>
    <t>目标满分</t>
  </si>
  <si>
    <t>考核项</t>
  </si>
  <si>
    <t>考核项比例</t>
  </si>
  <si>
    <t>课程目标1</t>
  </si>
  <si>
    <t>1.4</t>
  </si>
  <si>
    <t>平时成绩</t>
  </si>
  <si>
    <t>26%</t>
  </si>
  <si>
    <t>实验成绩</t>
  </si>
  <si>
    <t>27%</t>
  </si>
  <si>
    <t>考核成绩</t>
  </si>
  <si>
    <t>46%</t>
  </si>
  <si>
    <t>课程目标2</t>
  </si>
  <si>
    <t>3.2</t>
  </si>
  <si>
    <t>18%</t>
  </si>
  <si>
    <t>20%</t>
  </si>
  <si>
    <t>63%</t>
  </si>
  <si>
    <t>课程目标3</t>
  </si>
  <si>
    <t>4.2</t>
  </si>
  <si>
    <t>19%</t>
  </si>
  <si>
    <t>17%</t>
  </si>
  <si>
    <t>64%</t>
  </si>
  <si>
    <t>课程目标4</t>
  </si>
  <si>
    <t>5.1</t>
  </si>
  <si>
    <t>22%</t>
  </si>
  <si>
    <t>23%</t>
  </si>
  <si>
    <t>55%</t>
  </si>
  <si>
    <t>课程目标5</t>
  </si>
  <si>
    <t>1.2</t>
  </si>
  <si>
    <t>11%</t>
  </si>
  <si>
    <t>9%</t>
  </si>
  <si>
    <t>81%</t>
  </si>
  <si>
    <t>2023211981</t>
  </si>
  <si>
    <t>2023211982</t>
  </si>
  <si>
    <t>2023211983</t>
  </si>
  <si>
    <t>2023211984</t>
  </si>
  <si>
    <t>2023211985</t>
  </si>
  <si>
    <t>张明远</t>
  </si>
  <si>
    <t>李思涵</t>
  </si>
  <si>
    <t>王浩宇</t>
  </si>
  <si>
    <t>赵雨萱</t>
  </si>
  <si>
    <t>测试学生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</si>
</sst>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name val="Arial"/>
    </font>
    <font>
      <sz val="9"/>
      <name val="宋体"/>
      <family val="3"/>
      <charset val="134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"/>
  <sheetViews>
    <sheetView tabSelected="1" workbookViewId="0">
      <selection activeCell="H15" sqref="H15"/>
    </sheetView>
  </sheetViews>
  <sheetFormatPr defaultRowHeight="13.8" x14ac:dyDescent="0.25"/>
  <cols>
    <col min="1" max="1" width="13.77734375" customWidth="1"/>
    <col min="2" max="2" width="10.33203125" customWidth="1"/>
    <col min="3" max="3" width="10.6640625" customWidth="1"/>
    <col min="4" max="15" width="10.6640625" bestFit="1" customWidth="1"/>
    <col min="16" max="16" width="9.77734375" bestFit="1" customWidth="1"/>
    <col min="17" max="17" width="10.6640625" bestFit="1" customWidth="1"/>
  </cols>
  <sheetData>
    <row r="1" spans="1:19" ht="42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/>
      <c r="S1" s="4"/>
    </row>
    <row r="2" spans="1:19" ht="13.2" x14ac:dyDescent="0.25">
      <c r="A2" t="s">
        <v>51</v>
      </c>
      <c r="B2" t="s">
        <v>56</v>
      </c>
      <c r="C2" s="5">
        <f ca="1">RANDBETWEEN(60,100)</f>
        <v>82</v>
      </c>
      <c r="D2" s="5">
        <f t="shared" ref="D2:Q6" ca="1" si="0">RANDBETWEEN(60,100)</f>
        <v>71</v>
      </c>
      <c r="E2" s="5">
        <f t="shared" ca="1" si="0"/>
        <v>65</v>
      </c>
      <c r="F2" s="5">
        <f t="shared" ca="1" si="0"/>
        <v>61</v>
      </c>
      <c r="G2" s="5">
        <f t="shared" ca="1" si="0"/>
        <v>82</v>
      </c>
      <c r="H2" s="5">
        <f t="shared" ca="1" si="0"/>
        <v>87</v>
      </c>
      <c r="I2" s="5">
        <f t="shared" ca="1" si="0"/>
        <v>83</v>
      </c>
      <c r="J2" s="5">
        <f t="shared" ca="1" si="0"/>
        <v>93</v>
      </c>
      <c r="K2" s="5">
        <f t="shared" ca="1" si="0"/>
        <v>70</v>
      </c>
      <c r="L2" s="5">
        <f t="shared" ca="1" si="0"/>
        <v>90</v>
      </c>
      <c r="M2" s="5">
        <f t="shared" ca="1" si="0"/>
        <v>66</v>
      </c>
      <c r="N2" s="5">
        <f t="shared" ca="1" si="0"/>
        <v>64</v>
      </c>
      <c r="O2" s="5">
        <f t="shared" ca="1" si="0"/>
        <v>77</v>
      </c>
      <c r="P2" s="5">
        <f t="shared" ca="1" si="0"/>
        <v>64</v>
      </c>
      <c r="Q2" s="5">
        <f t="shared" ca="1" si="0"/>
        <v>87</v>
      </c>
    </row>
    <row r="3" spans="1:19" ht="13.2" x14ac:dyDescent="0.25">
      <c r="A3" t="s">
        <v>52</v>
      </c>
      <c r="B3" t="s">
        <v>57</v>
      </c>
      <c r="C3" s="5">
        <f t="shared" ref="C3:C6" ca="1" si="1">RANDBETWEEN(60,100)</f>
        <v>69</v>
      </c>
      <c r="D3" s="5">
        <f t="shared" ca="1" si="0"/>
        <v>88</v>
      </c>
      <c r="E3" s="5">
        <f t="shared" ca="1" si="0"/>
        <v>74</v>
      </c>
      <c r="F3" s="5">
        <f t="shared" ca="1" si="0"/>
        <v>87</v>
      </c>
      <c r="G3" s="5">
        <f t="shared" ca="1" si="0"/>
        <v>82</v>
      </c>
      <c r="H3" s="5">
        <f t="shared" ca="1" si="0"/>
        <v>79</v>
      </c>
      <c r="I3" s="5">
        <f t="shared" ca="1" si="0"/>
        <v>93</v>
      </c>
      <c r="J3" s="5">
        <f t="shared" ca="1" si="0"/>
        <v>64</v>
      </c>
      <c r="K3" s="5">
        <f t="shared" ca="1" si="0"/>
        <v>72</v>
      </c>
      <c r="L3" s="5">
        <f t="shared" ca="1" si="0"/>
        <v>68</v>
      </c>
      <c r="M3" s="5">
        <f t="shared" ca="1" si="0"/>
        <v>96</v>
      </c>
      <c r="N3" s="5">
        <f t="shared" ca="1" si="0"/>
        <v>68</v>
      </c>
      <c r="O3" s="5">
        <f t="shared" ca="1" si="0"/>
        <v>89</v>
      </c>
      <c r="P3" s="5">
        <f t="shared" ca="1" si="0"/>
        <v>98</v>
      </c>
      <c r="Q3" s="5">
        <f t="shared" ca="1" si="0"/>
        <v>67</v>
      </c>
    </row>
    <row r="4" spans="1:19" ht="13.2" x14ac:dyDescent="0.25">
      <c r="A4" t="s">
        <v>53</v>
      </c>
      <c r="B4" t="s">
        <v>58</v>
      </c>
      <c r="C4" s="5">
        <f t="shared" ca="1" si="1"/>
        <v>71</v>
      </c>
      <c r="D4" s="5">
        <f t="shared" ca="1" si="0"/>
        <v>68</v>
      </c>
      <c r="E4" s="5">
        <f t="shared" ca="1" si="0"/>
        <v>91</v>
      </c>
      <c r="F4" s="5">
        <f t="shared" ca="1" si="0"/>
        <v>86</v>
      </c>
      <c r="G4" s="5">
        <f t="shared" ca="1" si="0"/>
        <v>73</v>
      </c>
      <c r="H4" s="5">
        <f t="shared" ca="1" si="0"/>
        <v>99</v>
      </c>
      <c r="I4" s="5">
        <f t="shared" ca="1" si="0"/>
        <v>80</v>
      </c>
      <c r="J4" s="5">
        <f t="shared" ca="1" si="0"/>
        <v>60</v>
      </c>
      <c r="K4" s="5">
        <f t="shared" ca="1" si="0"/>
        <v>86</v>
      </c>
      <c r="L4" s="5">
        <f t="shared" ca="1" si="0"/>
        <v>63</v>
      </c>
      <c r="M4" s="5">
        <f t="shared" ca="1" si="0"/>
        <v>69</v>
      </c>
      <c r="N4" s="5">
        <f t="shared" ca="1" si="0"/>
        <v>64</v>
      </c>
      <c r="O4" s="5">
        <f t="shared" ca="1" si="0"/>
        <v>75</v>
      </c>
      <c r="P4" s="5">
        <f t="shared" ca="1" si="0"/>
        <v>70</v>
      </c>
      <c r="Q4" s="5">
        <f t="shared" ca="1" si="0"/>
        <v>64</v>
      </c>
    </row>
    <row r="5" spans="1:19" ht="13.2" x14ac:dyDescent="0.25">
      <c r="A5" t="s">
        <v>54</v>
      </c>
      <c r="B5" t="s">
        <v>59</v>
      </c>
      <c r="C5" s="5">
        <f t="shared" ca="1" si="1"/>
        <v>73</v>
      </c>
      <c r="D5" s="5">
        <f t="shared" ca="1" si="0"/>
        <v>92</v>
      </c>
      <c r="E5" s="5">
        <f t="shared" ca="1" si="0"/>
        <v>88</v>
      </c>
      <c r="F5" s="5">
        <f t="shared" ca="1" si="0"/>
        <v>71</v>
      </c>
      <c r="G5" s="5">
        <f t="shared" ca="1" si="0"/>
        <v>87</v>
      </c>
      <c r="H5" s="5">
        <f t="shared" ca="1" si="0"/>
        <v>93</v>
      </c>
      <c r="I5" s="5">
        <f t="shared" ca="1" si="0"/>
        <v>94</v>
      </c>
      <c r="J5" s="5">
        <f t="shared" ca="1" si="0"/>
        <v>96</v>
      </c>
      <c r="K5" s="5">
        <f t="shared" ca="1" si="0"/>
        <v>83</v>
      </c>
      <c r="L5" s="5">
        <f t="shared" ca="1" si="0"/>
        <v>97</v>
      </c>
      <c r="M5" s="5">
        <f t="shared" ca="1" si="0"/>
        <v>77</v>
      </c>
      <c r="N5" s="5">
        <f t="shared" ca="1" si="0"/>
        <v>76</v>
      </c>
      <c r="O5" s="5">
        <f t="shared" ca="1" si="0"/>
        <v>100</v>
      </c>
      <c r="P5" s="5">
        <f t="shared" ca="1" si="0"/>
        <v>100</v>
      </c>
      <c r="Q5" s="5">
        <f t="shared" ca="1" si="0"/>
        <v>80</v>
      </c>
    </row>
    <row r="6" spans="1:19" ht="13.2" x14ac:dyDescent="0.25">
      <c r="A6" t="s">
        <v>55</v>
      </c>
      <c r="B6" t="s">
        <v>60</v>
      </c>
      <c r="C6" s="5">
        <f t="shared" ca="1" si="1"/>
        <v>79</v>
      </c>
      <c r="D6" s="5">
        <f t="shared" ca="1" si="0"/>
        <v>78</v>
      </c>
      <c r="E6" s="5">
        <f t="shared" ca="1" si="0"/>
        <v>75</v>
      </c>
      <c r="F6" s="5">
        <f t="shared" ca="1" si="0"/>
        <v>95</v>
      </c>
      <c r="G6" s="5">
        <f t="shared" ca="1" si="0"/>
        <v>100</v>
      </c>
      <c r="H6" s="5">
        <f t="shared" ca="1" si="0"/>
        <v>94</v>
      </c>
      <c r="I6" s="5">
        <f t="shared" ca="1" si="0"/>
        <v>73</v>
      </c>
      <c r="J6" s="5">
        <f t="shared" ca="1" si="0"/>
        <v>72</v>
      </c>
      <c r="K6" s="5">
        <f t="shared" ca="1" si="0"/>
        <v>61</v>
      </c>
      <c r="L6" s="5">
        <f t="shared" ca="1" si="0"/>
        <v>97</v>
      </c>
      <c r="M6" s="5">
        <f t="shared" ca="1" si="0"/>
        <v>62</v>
      </c>
      <c r="N6" s="5">
        <f t="shared" ca="1" si="0"/>
        <v>99</v>
      </c>
      <c r="O6" s="5">
        <f t="shared" ca="1" si="0"/>
        <v>71</v>
      </c>
      <c r="P6" s="5">
        <f t="shared" ca="1" si="0"/>
        <v>99</v>
      </c>
      <c r="Q6" s="5">
        <f t="shared" ca="1" si="0"/>
        <v>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E1" sqref="E1"/>
    </sheetView>
  </sheetViews>
  <sheetFormatPr defaultRowHeight="13.8" x14ac:dyDescent="0.25"/>
  <cols>
    <col min="5" max="5" width="10.5546875" customWidth="1"/>
  </cols>
  <sheetData>
    <row r="1" spans="1:6" ht="13.2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ht="13.2" x14ac:dyDescent="0.25">
      <c r="A2" s="1" t="s">
        <v>23</v>
      </c>
      <c r="B2" s="1" t="s">
        <v>24</v>
      </c>
      <c r="C2" s="2">
        <v>0.15</v>
      </c>
      <c r="D2" s="2">
        <v>15</v>
      </c>
      <c r="E2" s="1" t="s">
        <v>25</v>
      </c>
      <c r="F2" s="1" t="s">
        <v>26</v>
      </c>
    </row>
    <row r="3" spans="1:6" ht="13.2" x14ac:dyDescent="0.25">
      <c r="A3" s="1" t="s">
        <v>23</v>
      </c>
      <c r="B3" s="1" t="s">
        <v>24</v>
      </c>
      <c r="C3" s="2">
        <v>0.15</v>
      </c>
      <c r="D3" s="2">
        <v>15</v>
      </c>
      <c r="E3" s="1" t="s">
        <v>27</v>
      </c>
      <c r="F3" s="1" t="s">
        <v>28</v>
      </c>
    </row>
    <row r="4" spans="1:6" ht="13.2" x14ac:dyDescent="0.25">
      <c r="A4" s="1" t="s">
        <v>23</v>
      </c>
      <c r="B4" s="1" t="s">
        <v>24</v>
      </c>
      <c r="C4" s="2">
        <v>0.15</v>
      </c>
      <c r="D4" s="2">
        <v>15</v>
      </c>
      <c r="E4" s="1" t="s">
        <v>29</v>
      </c>
      <c r="F4" s="1" t="s">
        <v>30</v>
      </c>
    </row>
    <row r="5" spans="1:6" ht="13.2" x14ac:dyDescent="0.25">
      <c r="A5" s="1" t="s">
        <v>31</v>
      </c>
      <c r="B5" s="1" t="s">
        <v>32</v>
      </c>
      <c r="C5" s="2">
        <v>0.2</v>
      </c>
      <c r="D5" s="2">
        <v>20</v>
      </c>
      <c r="E5" s="1" t="s">
        <v>25</v>
      </c>
      <c r="F5" s="1" t="s">
        <v>33</v>
      </c>
    </row>
    <row r="6" spans="1:6" ht="13.2" x14ac:dyDescent="0.25">
      <c r="A6" s="1" t="s">
        <v>31</v>
      </c>
      <c r="B6" s="1" t="s">
        <v>32</v>
      </c>
      <c r="C6" s="2">
        <v>0.2</v>
      </c>
      <c r="D6" s="2">
        <v>20</v>
      </c>
      <c r="E6" s="1" t="s">
        <v>27</v>
      </c>
      <c r="F6" s="1" t="s">
        <v>34</v>
      </c>
    </row>
    <row r="7" spans="1:6" ht="13.2" x14ac:dyDescent="0.25">
      <c r="A7" s="1" t="s">
        <v>31</v>
      </c>
      <c r="B7" s="1" t="s">
        <v>32</v>
      </c>
      <c r="C7" s="2">
        <v>0.2</v>
      </c>
      <c r="D7" s="2">
        <v>20</v>
      </c>
      <c r="E7" s="1" t="s">
        <v>29</v>
      </c>
      <c r="F7" s="1" t="s">
        <v>35</v>
      </c>
    </row>
    <row r="8" spans="1:6" ht="13.2" x14ac:dyDescent="0.25">
      <c r="A8" s="1" t="s">
        <v>36</v>
      </c>
      <c r="B8" s="1" t="s">
        <v>37</v>
      </c>
      <c r="C8" s="2">
        <v>0.25</v>
      </c>
      <c r="D8" s="2">
        <v>25</v>
      </c>
      <c r="E8" s="1" t="s">
        <v>25</v>
      </c>
      <c r="F8" s="1" t="s">
        <v>38</v>
      </c>
    </row>
    <row r="9" spans="1:6" ht="13.2" x14ac:dyDescent="0.25">
      <c r="A9" s="1" t="s">
        <v>36</v>
      </c>
      <c r="B9" s="1" t="s">
        <v>37</v>
      </c>
      <c r="C9" s="2">
        <v>0.25</v>
      </c>
      <c r="D9" s="2">
        <v>25</v>
      </c>
      <c r="E9" s="1" t="s">
        <v>27</v>
      </c>
      <c r="F9" s="1" t="s">
        <v>39</v>
      </c>
    </row>
    <row r="10" spans="1:6" ht="13.2" x14ac:dyDescent="0.25">
      <c r="A10" s="1" t="s">
        <v>36</v>
      </c>
      <c r="B10" s="1" t="s">
        <v>37</v>
      </c>
      <c r="C10" s="2">
        <v>0.25</v>
      </c>
      <c r="D10" s="2">
        <v>25</v>
      </c>
      <c r="E10" s="1" t="s">
        <v>29</v>
      </c>
      <c r="F10" s="1" t="s">
        <v>40</v>
      </c>
    </row>
    <row r="11" spans="1:6" ht="13.2" x14ac:dyDescent="0.25">
      <c r="A11" s="1" t="s">
        <v>41</v>
      </c>
      <c r="B11" s="1" t="s">
        <v>42</v>
      </c>
      <c r="C11" s="2">
        <v>0.2</v>
      </c>
      <c r="D11" s="2">
        <v>20</v>
      </c>
      <c r="E11" s="1" t="s">
        <v>25</v>
      </c>
      <c r="F11" s="1" t="s">
        <v>43</v>
      </c>
    </row>
    <row r="12" spans="1:6" ht="13.2" x14ac:dyDescent="0.25">
      <c r="A12" s="1" t="s">
        <v>41</v>
      </c>
      <c r="B12" s="1" t="s">
        <v>42</v>
      </c>
      <c r="C12" s="2">
        <v>0.2</v>
      </c>
      <c r="D12" s="2">
        <v>20</v>
      </c>
      <c r="E12" s="1" t="s">
        <v>27</v>
      </c>
      <c r="F12" s="1" t="s">
        <v>44</v>
      </c>
    </row>
    <row r="13" spans="1:6" ht="13.2" x14ac:dyDescent="0.25">
      <c r="A13" s="1" t="s">
        <v>41</v>
      </c>
      <c r="B13" s="1" t="s">
        <v>42</v>
      </c>
      <c r="C13" s="2">
        <v>0.2</v>
      </c>
      <c r="D13" s="2">
        <v>20</v>
      </c>
      <c r="E13" s="1" t="s">
        <v>29</v>
      </c>
      <c r="F13" s="1" t="s">
        <v>45</v>
      </c>
    </row>
    <row r="14" spans="1:6" ht="13.2" x14ac:dyDescent="0.25">
      <c r="A14" s="1" t="s">
        <v>46</v>
      </c>
      <c r="B14" s="1" t="s">
        <v>47</v>
      </c>
      <c r="C14" s="2">
        <v>0.2</v>
      </c>
      <c r="D14" s="2">
        <v>20</v>
      </c>
      <c r="E14" s="1" t="s">
        <v>25</v>
      </c>
      <c r="F14" s="1" t="s">
        <v>48</v>
      </c>
    </row>
    <row r="15" spans="1:6" ht="13.2" x14ac:dyDescent="0.25">
      <c r="A15" s="1" t="s">
        <v>46</v>
      </c>
      <c r="B15" s="1" t="s">
        <v>47</v>
      </c>
      <c r="C15" s="2">
        <v>0.2</v>
      </c>
      <c r="D15" s="2">
        <v>20</v>
      </c>
      <c r="E15" s="1" t="s">
        <v>27</v>
      </c>
      <c r="F15" s="1" t="s">
        <v>49</v>
      </c>
    </row>
    <row r="16" spans="1:6" ht="13.2" x14ac:dyDescent="0.25">
      <c r="A16" s="1" t="s">
        <v>46</v>
      </c>
      <c r="B16" s="1" t="s">
        <v>47</v>
      </c>
      <c r="C16" s="2">
        <v>0.2</v>
      </c>
      <c r="D16" s="2">
        <v>20</v>
      </c>
      <c r="E16" s="1" t="s">
        <v>29</v>
      </c>
      <c r="F16" s="1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成绩录入</vt:lpstr>
      <vt:lpstr>大纲对照表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ldl</dc:creator>
  <cp:lastModifiedBy>东良 刘</cp:lastModifiedBy>
  <dcterms:created xsi:type="dcterms:W3CDTF">2026-07-14T13:48:37Z</dcterms:created>
  <dcterms:modified xsi:type="dcterms:W3CDTF">2026-07-14T13:48:37Z</dcterms:modified>
</cp:coreProperties>
</file>