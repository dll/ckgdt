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firstSheet="12" activeTab="18"/>
  </bookViews>
  <sheets>
    <sheet name="综合成绩" sheetId="1" r:id="rId1"/>
    <sheet name="综合成绩（各权重项百分制得分）" sheetId="2" r:id="rId2"/>
    <sheet name="学生学习进度详情" sheetId="3" r:id="rId3"/>
    <sheet name="章节学习次数" sheetId="4" r:id="rId4"/>
    <sheet name="任务点完成详情" sheetId="5" r:id="rId5"/>
    <sheet name="音视频观看详情" sheetId="6" r:id="rId6"/>
    <sheet name="讨论参与详情" sheetId="7" r:id="rId7"/>
    <sheet name="作业统计" sheetId="8" r:id="rId8"/>
    <sheet name="作业" sheetId="18" r:id="rId9"/>
    <sheet name="考试统计" sheetId="9" r:id="rId10"/>
    <sheet name="章节测验统计" sheetId="10" r:id="rId11"/>
    <sheet name="线下成绩统计" sheetId="11" r:id="rId12"/>
    <sheet name="班级教学内容详情" sheetId="12" r:id="rId13"/>
    <sheet name="大作业" sheetId="15" r:id="rId14"/>
    <sheet name="实验成绩" sheetId="13" r:id="rId15"/>
    <sheet name="课堂表现" sheetId="14" r:id="rId16"/>
    <sheet name="课外学习" sheetId="16" r:id="rId17"/>
    <sheet name="期间测验" sheetId="17" r:id="rId18"/>
    <sheet name="汇总成绩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<sst xmlns="http://schemas.openxmlformats.org/spreadsheetml/2006/main" count="13048" uniqueCount="3978">
  <si>
    <t>综合成绩</t>
  </si>
  <si>
    <t>课程：移动应用开发    班级：计科22选49    任课教师：刘东良  导出时间：2026-01-21 01:17:52</t>
  </si>
  <si>
    <t>序号</t>
  </si>
  <si>
    <t>学生姓名</t>
  </si>
  <si>
    <t>学号/工号</t>
  </si>
  <si>
    <t>院系</t>
  </si>
  <si>
    <t>专业</t>
  </si>
  <si>
    <t>班级</t>
  </si>
  <si>
    <t>章节任务点(40%)</t>
  </si>
  <si>
    <t>章节测验(20%)</t>
  </si>
  <si>
    <t>作业(25%)</t>
  </si>
  <si>
    <t>考试(15%)</t>
  </si>
  <si>
    <t>张梦杰</t>
  </si>
  <si>
    <t>2020211034</t>
  </si>
  <si>
    <t>计算机与信息工程学院（大学计算机教学部）</t>
  </si>
  <si>
    <t>计算机科学与技术</t>
  </si>
  <si>
    <t>计科222</t>
  </si>
  <si>
    <t>童其凡</t>
  </si>
  <si>
    <t>2020213700</t>
  </si>
  <si>
    <t>曹安晨</t>
  </si>
  <si>
    <t>2022210331</t>
  </si>
  <si>
    <t>计科221</t>
  </si>
  <si>
    <t>陈晨</t>
  </si>
  <si>
    <t>2022210332</t>
  </si>
  <si>
    <t>陈创东</t>
  </si>
  <si>
    <t>2022210333</t>
  </si>
  <si>
    <t>程纪阳</t>
  </si>
  <si>
    <t>2022210334</t>
  </si>
  <si>
    <t>程梦圆</t>
  </si>
  <si>
    <t>2022210335</t>
  </si>
  <si>
    <t>邓慧茹</t>
  </si>
  <si>
    <t>2022210337</t>
  </si>
  <si>
    <t>丁玉耀</t>
  </si>
  <si>
    <t>2022210338</t>
  </si>
  <si>
    <t>范鑫蕊</t>
  </si>
  <si>
    <t>2022210339</t>
  </si>
  <si>
    <t>高恩鹏</t>
  </si>
  <si>
    <t>2022210342</t>
  </si>
  <si>
    <t>关雪艳</t>
  </si>
  <si>
    <t>2022210343</t>
  </si>
  <si>
    <t>郭新杰</t>
  </si>
  <si>
    <t>2022210344</t>
  </si>
  <si>
    <t>洪晓瑞</t>
  </si>
  <si>
    <t>2022210346</t>
  </si>
  <si>
    <t>胡步兴</t>
  </si>
  <si>
    <t>2022210347</t>
  </si>
  <si>
    <t>胡昊泱</t>
  </si>
  <si>
    <t>2022210348</t>
  </si>
  <si>
    <t>季玮</t>
  </si>
  <si>
    <t>2022210351</t>
  </si>
  <si>
    <t>李宝航</t>
  </si>
  <si>
    <t>2022210359</t>
  </si>
  <si>
    <t>李浩</t>
  </si>
  <si>
    <t>2022210360</t>
  </si>
  <si>
    <t>李今朝</t>
  </si>
  <si>
    <t>2022210361</t>
  </si>
  <si>
    <t>李良辰</t>
  </si>
  <si>
    <t>2022210362</t>
  </si>
  <si>
    <t>梁平</t>
  </si>
  <si>
    <t>2022210367</t>
  </si>
  <si>
    <t>陆征宇</t>
  </si>
  <si>
    <t>2022210371</t>
  </si>
  <si>
    <t>苗佳宇</t>
  </si>
  <si>
    <t>2022210374</t>
  </si>
  <si>
    <t>庞雨俊</t>
  </si>
  <si>
    <t>2022210376</t>
  </si>
  <si>
    <t>戚锐</t>
  </si>
  <si>
    <t>2022210378</t>
  </si>
  <si>
    <t>任奕凯</t>
  </si>
  <si>
    <t>2022210380</t>
  </si>
  <si>
    <t>阮珧</t>
  </si>
  <si>
    <t>2022210381</t>
  </si>
  <si>
    <t>孙嘉婧</t>
  </si>
  <si>
    <t>2022210384</t>
  </si>
  <si>
    <t>孙锦年</t>
  </si>
  <si>
    <t>2022210385</t>
  </si>
  <si>
    <t>唐蕊</t>
  </si>
  <si>
    <t>2022210387</t>
  </si>
  <si>
    <t>汪海洋</t>
  </si>
  <si>
    <t>2022210389</t>
  </si>
  <si>
    <t>王瑞</t>
  </si>
  <si>
    <t>2022210392</t>
  </si>
  <si>
    <t>王鑫玥</t>
  </si>
  <si>
    <t>2022210393</t>
  </si>
  <si>
    <t>王志成</t>
  </si>
  <si>
    <t>2022210394</t>
  </si>
  <si>
    <t>闫鹏飞</t>
  </si>
  <si>
    <t>2022210400</t>
  </si>
  <si>
    <t>杨浩天</t>
  </si>
  <si>
    <t>2022210401</t>
  </si>
  <si>
    <t>杨龙</t>
  </si>
  <si>
    <t>2022210402</t>
  </si>
  <si>
    <t>詹庆</t>
  </si>
  <si>
    <t>2022210404</t>
  </si>
  <si>
    <t>张金龙</t>
  </si>
  <si>
    <t>2022210405</t>
  </si>
  <si>
    <t>张克</t>
  </si>
  <si>
    <t>2022210407</t>
  </si>
  <si>
    <t>张文抱</t>
  </si>
  <si>
    <t>2022210411</t>
  </si>
  <si>
    <t>张玉妍</t>
  </si>
  <si>
    <t>2022210414</t>
  </si>
  <si>
    <t>赵杰</t>
  </si>
  <si>
    <t>2022210416</t>
  </si>
  <si>
    <t>郑存耀</t>
  </si>
  <si>
    <t>2022210417</t>
  </si>
  <si>
    <t>周宇</t>
  </si>
  <si>
    <t>2022210422</t>
  </si>
  <si>
    <t>朱传双</t>
  </si>
  <si>
    <t>2022210423</t>
  </si>
  <si>
    <t>朱世俊</t>
  </si>
  <si>
    <t>2022210428</t>
  </si>
  <si>
    <t>祝文耿</t>
  </si>
  <si>
    <t>2022210429</t>
  </si>
  <si>
    <t>宗梦晴</t>
  </si>
  <si>
    <t>2022210430</t>
  </si>
  <si>
    <t>综合成绩（各权重项百分制得分）</t>
  </si>
  <si>
    <t>章节任务点(100%)</t>
  </si>
  <si>
    <t>章节测验(100%)</t>
  </si>
  <si>
    <t>作业(100%)</t>
  </si>
  <si>
    <t>考试(100%)</t>
  </si>
  <si>
    <t>学生学习进度详情</t>
  </si>
  <si>
    <t>UID</t>
  </si>
  <si>
    <t>入学年份</t>
  </si>
  <si>
    <t>任务完成数</t>
  </si>
  <si>
    <t>任务点完成百分比</t>
  </si>
  <si>
    <t>课程视频进度</t>
  </si>
  <si>
    <t>任务点章节测验进度</t>
  </si>
  <si>
    <t>视频观看时长</t>
  </si>
  <si>
    <t>讨论数</t>
  </si>
  <si>
    <t>章节学习次数</t>
  </si>
  <si>
    <t>学习情况</t>
  </si>
  <si>
    <t>152189652</t>
  </si>
  <si>
    <t>37/37</t>
  </si>
  <si>
    <t>16/16</t>
  </si>
  <si>
    <t>0/0</t>
  </si>
  <si>
    <t>88.8分钟</t>
  </si>
  <si>
    <t>已学习</t>
  </si>
  <si>
    <t>152193210</t>
  </si>
  <si>
    <t>101.1分钟</t>
  </si>
  <si>
    <t>244269082</t>
  </si>
  <si>
    <t>71.7分钟</t>
  </si>
  <si>
    <t>237944436</t>
  </si>
  <si>
    <t>82.2分钟</t>
  </si>
  <si>
    <t>242926355</t>
  </si>
  <si>
    <t>103.1分钟</t>
  </si>
  <si>
    <t>242927109</t>
  </si>
  <si>
    <t>72.4分钟</t>
  </si>
  <si>
    <t>244269085</t>
  </si>
  <si>
    <t>62.6分钟</t>
  </si>
  <si>
    <t>242896753</t>
  </si>
  <si>
    <t>36/37</t>
  </si>
  <si>
    <t>106.0分钟</t>
  </si>
  <si>
    <t>244269092</t>
  </si>
  <si>
    <t>49.8分钟</t>
  </si>
  <si>
    <t>242938888</t>
  </si>
  <si>
    <t>96.2分钟</t>
  </si>
  <si>
    <t>242926726</t>
  </si>
  <si>
    <t>100.5分钟</t>
  </si>
  <si>
    <t>244269102</t>
  </si>
  <si>
    <t>52.3分钟</t>
  </si>
  <si>
    <t>244269104</t>
  </si>
  <si>
    <t>89.1分钟</t>
  </si>
  <si>
    <t>242236709</t>
  </si>
  <si>
    <t>52.4分钟</t>
  </si>
  <si>
    <t>244269107</t>
  </si>
  <si>
    <t>66.1分钟</t>
  </si>
  <si>
    <t>243117632</t>
  </si>
  <si>
    <t>52.9分钟</t>
  </si>
  <si>
    <t>244269116</t>
  </si>
  <si>
    <t>57.8分钟</t>
  </si>
  <si>
    <t>236693861</t>
  </si>
  <si>
    <t>45.2分钟</t>
  </si>
  <si>
    <t>237418518</t>
  </si>
  <si>
    <t>69.9分钟</t>
  </si>
  <si>
    <t>244269141</t>
  </si>
  <si>
    <t>50.7分钟</t>
  </si>
  <si>
    <t>244269143</t>
  </si>
  <si>
    <t>103.6分钟</t>
  </si>
  <si>
    <t>244269156</t>
  </si>
  <si>
    <t>89.8分钟</t>
  </si>
  <si>
    <t>242927749</t>
  </si>
  <si>
    <t>99.6分钟</t>
  </si>
  <si>
    <t>242933524</t>
  </si>
  <si>
    <t>62.9分钟</t>
  </si>
  <si>
    <t>243084754</t>
  </si>
  <si>
    <t>94.1分钟</t>
  </si>
  <si>
    <t>237436931</t>
  </si>
  <si>
    <t>71.6分钟</t>
  </si>
  <si>
    <t>244269175</t>
  </si>
  <si>
    <t>87.7分钟</t>
  </si>
  <si>
    <t>244269177</t>
  </si>
  <si>
    <t>35/37</t>
  </si>
  <si>
    <t>63.1分钟</t>
  </si>
  <si>
    <t>244269181</t>
  </si>
  <si>
    <t>93.5分钟</t>
  </si>
  <si>
    <t>244269184</t>
  </si>
  <si>
    <t>49.3分钟</t>
  </si>
  <si>
    <t>244269189</t>
  </si>
  <si>
    <t>79.4分钟</t>
  </si>
  <si>
    <t>243100431</t>
  </si>
  <si>
    <t>242933019</t>
  </si>
  <si>
    <t>84.2分钟</t>
  </si>
  <si>
    <t>242926621</t>
  </si>
  <si>
    <t>44.1分钟</t>
  </si>
  <si>
    <t>244269201</t>
  </si>
  <si>
    <t>51.4分钟</t>
  </si>
  <si>
    <t>242926509</t>
  </si>
  <si>
    <t>96.7分钟</t>
  </si>
  <si>
    <t>242930295</t>
  </si>
  <si>
    <t>86.8分钟</t>
  </si>
  <si>
    <t>244269217</t>
  </si>
  <si>
    <t>90.9分钟</t>
  </si>
  <si>
    <t>242927300</t>
  </si>
  <si>
    <t>93.2分钟</t>
  </si>
  <si>
    <t>242926317</t>
  </si>
  <si>
    <t>86.0分钟</t>
  </si>
  <si>
    <t>244269228</t>
  </si>
  <si>
    <t>85.7分钟</t>
  </si>
  <si>
    <t>238841988</t>
  </si>
  <si>
    <t>71.5分钟</t>
  </si>
  <si>
    <t>244053219</t>
  </si>
  <si>
    <t>86.2分钟</t>
  </si>
  <si>
    <t>244269246</t>
  </si>
  <si>
    <t>61.6分钟</t>
  </si>
  <si>
    <t>244269248</t>
  </si>
  <si>
    <t>55.8分钟</t>
  </si>
  <si>
    <t>243040111</t>
  </si>
  <si>
    <t>15/16</t>
  </si>
  <si>
    <t>244269263</t>
  </si>
  <si>
    <t>81.9分钟</t>
  </si>
  <si>
    <t>242928277</t>
  </si>
  <si>
    <t>242927258</t>
  </si>
  <si>
    <t>73.8分钟</t>
  </si>
  <si>
    <t>243065959</t>
  </si>
  <si>
    <t>50.4分钟</t>
  </si>
  <si>
    <t>日期</t>
  </si>
  <si>
    <t>学习页面访问次数</t>
  </si>
  <si>
    <t>时段（00-04）</t>
  </si>
  <si>
    <t>时段（04-08）</t>
  </si>
  <si>
    <t>时段（08-12）</t>
  </si>
  <si>
    <t>时段（12-16）</t>
  </si>
  <si>
    <t>时段（16-20）</t>
  </si>
  <si>
    <t>时段（20-24）</t>
  </si>
  <si>
    <t>2025-9-4</t>
  </si>
  <si>
    <t>2025-9-5</t>
  </si>
  <si>
    <t>2025-9-6</t>
  </si>
  <si>
    <t>2025-9-7</t>
  </si>
  <si>
    <t>2025-9-8</t>
  </si>
  <si>
    <t>2025-9-9</t>
  </si>
  <si>
    <t>2025-9-10</t>
  </si>
  <si>
    <t>2025-9-11</t>
  </si>
  <si>
    <t>2025-9-12</t>
  </si>
  <si>
    <t>2025-9-13</t>
  </si>
  <si>
    <t>2025-9-14</t>
  </si>
  <si>
    <t>2025-9-15</t>
  </si>
  <si>
    <t>2025-9-16</t>
  </si>
  <si>
    <t>2025-9-17</t>
  </si>
  <si>
    <t>2025-9-18</t>
  </si>
  <si>
    <t>2025-9-19</t>
  </si>
  <si>
    <t>2025-9-20</t>
  </si>
  <si>
    <t>2025-9-21</t>
  </si>
  <si>
    <t>2025-9-22</t>
  </si>
  <si>
    <t>2025-9-23</t>
  </si>
  <si>
    <t>2025-9-24</t>
  </si>
  <si>
    <t>2025-9-25</t>
  </si>
  <si>
    <t>2025-9-26</t>
  </si>
  <si>
    <t>2025-9-27</t>
  </si>
  <si>
    <t>2025-9-28</t>
  </si>
  <si>
    <t>2025-9-29</t>
  </si>
  <si>
    <t>2025-9-30</t>
  </si>
  <si>
    <t>2025-10-1</t>
  </si>
  <si>
    <t>2025-10-2</t>
  </si>
  <si>
    <t>2025-10-3</t>
  </si>
  <si>
    <t>2025-10-4</t>
  </si>
  <si>
    <t>2025-10-5</t>
  </si>
  <si>
    <t>2025-10-6</t>
  </si>
  <si>
    <t>2025-10-7</t>
  </si>
  <si>
    <t>2025-10-8</t>
  </si>
  <si>
    <t>2025-10-9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</si>
  <si>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</si>
  <si>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</si>
  <si>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</si>
  <si>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</si>
  <si>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</si>
  <si>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</si>
  <si>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</si>
  <si>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</si>
  <si>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</si>
  <si>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</si>
  <si>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</si>
  <si>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</si>
  <si>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</si>
  <si>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</si>
  <si>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</si>
  <si>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</si>
  <si>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</si>
  <si>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</si>
  <si>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</si>
  <si>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</si>
  <si>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</si>
  <si>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</si>
  <si>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2025-11-1</t>
  </si>
  <si>
    <t>2025-11-2</t>
  </si>
  <si>
    <t>2025-11-3</t>
  </si>
  <si>
    <t>2025-11-4</t>
  </si>
  <si>
    <t>2025-11-6</t>
  </si>
  <si>
    <t>2025-11-7</t>
  </si>
  <si>
    <t>2025-11-8</t>
  </si>
  <si>
    <t>2025-11-9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</si>
  <si>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</si>
  <si>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</si>
  <si>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</si>
  <si>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</si>
  <si>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</si>
  <si>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</si>
  <si>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</si>
  <si>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</si>
  <si>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</si>
  <si>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</si>
  <si>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</si>
  <si>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</si>
  <si>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</si>
  <si>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</si>
  <si>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</si>
  <si>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</si>
  <si>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</si>
  <si>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</si>
  <si>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</si>
  <si>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</si>
  <si>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</si>
  <si>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2025-12-1</t>
  </si>
  <si>
    <t>2025-12-2</t>
  </si>
  <si>
    <t>2025-12-3</t>
  </si>
  <si>
    <t>2025-12-4</t>
  </si>
  <si>
    <t>2025-12-5</t>
  </si>
  <si>
    <t>2025-12-6</t>
  </si>
  <si>
    <t>2025-12-7</t>
  </si>
  <si>
    <t>2025-12-8</t>
  </si>
  <si>
    <t>2025-12-9</t>
  </si>
  <si>
    <t>2025-12-10</t>
  </si>
  <si>
    <t>2025-12-11</t>
  </si>
  <si>
    <t>2025-12-12</t>
  </si>
  <si>
    <t>2025-12-13</t>
  </si>
  <si>
    <t>2025-12-14</t>
  </si>
  <si>
    <t>2025-12-15</t>
  </si>
  <si>
    <t>2025-12-17</t>
  </si>
  <si>
    <t>2025-12-20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</si>
  <si>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</si>
  <si>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</si>
  <si>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</si>
  <si>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</si>
  <si>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</si>
  <si>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</si>
  <si>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</si>
  <si>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</si>
  <si>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</si>
  <si>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</si>
  <si>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2026-1-1</t>
  </si>
  <si>
    <t>2026-1-5</t>
  </si>
  <si>
    <t>2026-1-6</t>
  </si>
  <si>
    <t>2026-1-9</t>
  </si>
  <si>
    <t>2026-1-10</t>
  </si>
  <si>
    <t>2026-1-11</t>
  </si>
  <si>
    <t>2026-1-15</t>
  </si>
  <si>
    <t>2026-1-16</t>
  </si>
  <si>
    <t>2026-1-17</t>
  </si>
  <si>
    <t>任务点完成详情</t>
  </si>
  <si>
    <t>教学大纲</t>
  </si>
  <si>
    <t>教学进度表</t>
  </si>
  <si>
    <t>学习指导手册</t>
  </si>
  <si>
    <t>教学案例</t>
  </si>
  <si>
    <t>课程考核</t>
  </si>
  <si>
    <t>第一章 移动应用开发技术体系1</t>
  </si>
  <si>
    <t>第一章 移动应用开发技术体系2</t>
  </si>
  <si>
    <t>第二章 原生开发基础1</t>
  </si>
  <si>
    <t>第二章 原生开发基础2</t>
  </si>
  <si>
    <t>第三章 混合开发技术1</t>
  </si>
  <si>
    <t>第三章 混合开发技术2</t>
  </si>
  <si>
    <t>第三章 混合开发技术3</t>
  </si>
  <si>
    <t>第四章 小程序开发1</t>
  </si>
  <si>
    <t>第四章 小程序开发2</t>
  </si>
  <si>
    <t>第五章 华为多端应用开发1</t>
  </si>
  <si>
    <t>第五章 华为多端应用开发2</t>
  </si>
  <si>
    <t>第五章 华为多端应用开发3</t>
  </si>
  <si>
    <t>第六章 综合开发实践1</t>
  </si>
  <si>
    <t>第六章 综合开发实践2</t>
  </si>
  <si>
    <t>第六章 综合开发实践3</t>
  </si>
  <si>
    <t>课程教学评价问卷</t>
  </si>
  <si>
    <t>课程达成度评价问卷</t>
  </si>
  <si>
    <t>计科+6+《移动应用开发》+刘东良.docx</t>
  </si>
  <si>
    <t>计科22+《移动应用开发》教学进度表+刘东良.doc</t>
  </si>
  <si>
    <t>移动应用开发学生学习指导手册.docx</t>
  </si>
  <si>
    <t>1c029654795cf1e1be5da6ed5ee4cfac.mp4</t>
  </si>
  <si>
    <t>移动应用开发综合考核方案.docx</t>
  </si>
  <si>
    <t>第一章 移动应用开发技术体系1.pptx</t>
  </si>
  <si>
    <t>第一章 移动应用开发技术体系1.mp4</t>
  </si>
  <si>
    <t>第一章 移动应用开发技术体系2.pptx</t>
  </si>
  <si>
    <t>第一章 移动应用开发技术体系2.mp4</t>
  </si>
  <si>
    <t>第二章 原生开发基础1.pptx</t>
  </si>
  <si>
    <t>第二章 原生开发基础1.mp4</t>
  </si>
  <si>
    <t>第二章 原生开发基础2.pptx</t>
  </si>
  <si>
    <t>第二章 原生开发基础2.mp4</t>
  </si>
  <si>
    <t>第三章 混合开发技术1.pptx</t>
  </si>
  <si>
    <t>第三章 混合开发技术1.mp4</t>
  </si>
  <si>
    <t>第三章 混合开发技术2.pptx</t>
  </si>
  <si>
    <t>第三章 混合开发技术2.mp4</t>
  </si>
  <si>
    <t>第三章 混合开发技术3.pptx</t>
  </si>
  <si>
    <t>第三章 混合开发技术3.mp4</t>
  </si>
  <si>
    <t>第四章 小程序开发1.pptx</t>
  </si>
  <si>
    <t>第四章 小程序开发1.mp4</t>
  </si>
  <si>
    <t>第四章 小程序开发2.pptx</t>
  </si>
  <si>
    <t>第四章 小程序开发2.mp4</t>
  </si>
  <si>
    <t>第五章 华为多端应用开发1.pptx</t>
  </si>
  <si>
    <t>第五章 华为多端应用开发1.mp4</t>
  </si>
  <si>
    <t>第五章 华为多端应用开发2.pptx</t>
  </si>
  <si>
    <t>第五章 华为多端应用开发2(1).mp4</t>
  </si>
  <si>
    <t>第五章 华为多端应用开发3.pptx</t>
  </si>
  <si>
    <t>第五章 华为多端应用开发3.mp4</t>
  </si>
  <si>
    <t>第六章 综合开发实践1.pptx</t>
  </si>
  <si>
    <t>第六章 综合开发实践1.mp4</t>
  </si>
  <si>
    <t>第六章 综合开发实践2.pptx</t>
  </si>
  <si>
    <t>第六章 综合开发实践2.mp4</t>
  </si>
  <si>
    <t>第六章 综合开发实践3.pptx</t>
  </si>
  <si>
    <t>第六章 综合开发实践3.mp4</t>
  </si>
  <si>
    <t>课程学后调查</t>
  </si>
  <si>
    <t>课程目标支撑毕业要求达成度调查问卷</t>
  </si>
  <si>
    <t>状态</t>
  </si>
  <si>
    <t>完成时间</t>
  </si>
  <si>
    <t>已完成</t>
  </si>
  <si>
    <t>2025-09-12 21:37</t>
  </si>
  <si>
    <t>2025-09-12 21:38</t>
  </si>
  <si>
    <t>2025-09-12 21:50</t>
  </si>
  <si>
    <t>2025-09-12 23:19</t>
  </si>
  <si>
    <t>2025-09-12 23:25</t>
  </si>
  <si>
    <t>2025-09-12 23:26</t>
  </si>
  <si>
    <t>2025-09-12 23:31</t>
  </si>
  <si>
    <t>2025-09-27 17:20</t>
  </si>
  <si>
    <t>2025-09-27 17:30</t>
  </si>
  <si>
    <t>2025-09-27 17:42</t>
  </si>
  <si>
    <t>2025-09-27 17:47</t>
  </si>
  <si>
    <t>2025-09-27 17:52</t>
  </si>
  <si>
    <t>2025-09-27 17:58</t>
  </si>
  <si>
    <t>2025-09-27 18:00</t>
  </si>
  <si>
    <t>2025-09-27 18:05</t>
  </si>
  <si>
    <t>2025-09-27 18:06</t>
  </si>
  <si>
    <t>2025-09-27 18:10</t>
  </si>
  <si>
    <t>2025-09-27 18:13</t>
  </si>
  <si>
    <t>2025-09-27 18:19</t>
  </si>
  <si>
    <t>2025-10-25 20:39</t>
  </si>
  <si>
    <t>2025-10-25 20:44</t>
  </si>
  <si>
    <t>2025-10-25 20:45</t>
  </si>
  <si>
    <t>2025-10-25 20:51</t>
  </si>
  <si>
    <t>2025-10-25 21:30</t>
  </si>
  <si>
    <t>2025-10-25 21:35</t>
  </si>
  <si>
    <t>2025-10-25 21:48</t>
  </si>
  <si>
    <t>2025-10-25 21:51</t>
  </si>
  <si>
    <t>2026-01-01 23:40</t>
  </si>
  <si>
    <t>2026-01-01 23:44</t>
  </si>
  <si>
    <t>2026-01-01 23:45</t>
  </si>
  <si>
    <t>2026-01-01 23:50</t>
  </si>
  <si>
    <t>2026-01-01 23:51</t>
  </si>
  <si>
    <t>2026-01-01 23:56</t>
  </si>
  <si>
    <t>2026-01-01 23:57</t>
  </si>
  <si>
    <t>2026-01-15 18:56</t>
  </si>
  <si>
    <t>2025-09-04 08:08</t>
  </si>
  <si>
    <t>2025-09-04 08:09</t>
  </si>
  <si>
    <t>2025-09-07 20:50</t>
  </si>
  <si>
    <t>2025-09-09 09:08</t>
  </si>
  <si>
    <t>2025-09-07 20:58</t>
  </si>
  <si>
    <t>2025-09-09 09:14</t>
  </si>
  <si>
    <t>2025-09-13 16:36</t>
  </si>
  <si>
    <t>2025-09-13 16:46</t>
  </si>
  <si>
    <t>2025-09-18 07:57</t>
  </si>
  <si>
    <t>2025-09-18 08:02</t>
  </si>
  <si>
    <t>2025-09-18 08:05</t>
  </si>
  <si>
    <t>2025-09-18 08:11</t>
  </si>
  <si>
    <t>2025-09-18 08:14</t>
  </si>
  <si>
    <t>2025-09-18 08:20</t>
  </si>
  <si>
    <t>2025-09-18 08:24</t>
  </si>
  <si>
    <t>2025-09-18 08:57</t>
  </si>
  <si>
    <t>2025-09-28 10:08</t>
  </si>
  <si>
    <t>2025-09-28 10:12</t>
  </si>
  <si>
    <t>2025-09-28 10:18</t>
  </si>
  <si>
    <t>2025-09-28 10:23</t>
  </si>
  <si>
    <t>2025-09-28 10:25</t>
  </si>
  <si>
    <t>2025-09-28 10:30</t>
  </si>
  <si>
    <t>2025-10-09 08:20</t>
  </si>
  <si>
    <t>2025-10-23 08:08</t>
  </si>
  <si>
    <t>2025-10-09 08:28</t>
  </si>
  <si>
    <t>2025-10-09 08:32</t>
  </si>
  <si>
    <t>2025-10-23 08:09</t>
  </si>
  <si>
    <t>2025-10-23 08:13</t>
  </si>
  <si>
    <t>2025-10-23 08:15</t>
  </si>
  <si>
    <t>2025-10-23 08:19</t>
  </si>
  <si>
    <t>2025-10-23 08:21</t>
  </si>
  <si>
    <t>2025-10-23 08:26</t>
  </si>
  <si>
    <t>2026-01-09 19:16</t>
  </si>
  <si>
    <t>2026-01-15 17:37</t>
  </si>
  <si>
    <t>2025-09-04 08:12</t>
  </si>
  <si>
    <t>2025-09-18 08:49</t>
  </si>
  <si>
    <t>2025-09-04 08:13</t>
  </si>
  <si>
    <t>2025-09-18 08:54</t>
  </si>
  <si>
    <t>2025-09-18 08:58</t>
  </si>
  <si>
    <t>2025-09-22 10:04</t>
  </si>
  <si>
    <t>2025-09-22 10:15</t>
  </si>
  <si>
    <t>2025-09-22 10:22</t>
  </si>
  <si>
    <t>2025-09-22 10:26</t>
  </si>
  <si>
    <t>2025-09-22 10:29</t>
  </si>
  <si>
    <t>2025-09-22 10:35</t>
  </si>
  <si>
    <t>2025-09-22 10:38</t>
  </si>
  <si>
    <t>2025-09-22 10:44</t>
  </si>
  <si>
    <t>2025-10-04 19:04</t>
  </si>
  <si>
    <t>2025-10-04 19:09</t>
  </si>
  <si>
    <t>2025-10-04 19:58</t>
  </si>
  <si>
    <t>2025-10-04 20:04</t>
  </si>
  <si>
    <t>2025-10-04 20:15</t>
  </si>
  <si>
    <t>2025-10-04 20:21</t>
  </si>
  <si>
    <t>2025-10-04 20:27</t>
  </si>
  <si>
    <t>2025-10-04 20:30</t>
  </si>
  <si>
    <t>2025-10-04 20:35</t>
  </si>
  <si>
    <t>2025-10-04 20:55</t>
  </si>
  <si>
    <t>2025-10-04 20:57</t>
  </si>
  <si>
    <t>2025-10-04 21:14</t>
  </si>
  <si>
    <t>2025-10-04 21:16</t>
  </si>
  <si>
    <t>2025-10-04 21:17</t>
  </si>
  <si>
    <t>2025-10-04 21:19</t>
  </si>
  <si>
    <t>2025-10-04 21:20</t>
  </si>
  <si>
    <t>2025-10-04 21:22</t>
  </si>
  <si>
    <t>2026-01-15 17:33</t>
  </si>
  <si>
    <t>2025-09-04 10:51</t>
  </si>
  <si>
    <t>2025-09-04 23:45</t>
  </si>
  <si>
    <t>2025-09-05 14:48</t>
  </si>
  <si>
    <t>2025-09-05 14:49</t>
  </si>
  <si>
    <t>2025-09-05 14:52</t>
  </si>
  <si>
    <t>2025-09-05 15:19</t>
  </si>
  <si>
    <t>2025-09-05 15:37</t>
  </si>
  <si>
    <t>2025-09-05 15:41</t>
  </si>
  <si>
    <t>2025-09-11 08:08</t>
  </si>
  <si>
    <t>2025-09-11 08:18</t>
  </si>
  <si>
    <t>2025-09-13 09:00</t>
  </si>
  <si>
    <t>2025-09-13 09:03</t>
  </si>
  <si>
    <t>2025-09-13 09:05</t>
  </si>
  <si>
    <t>2025-09-13 09:09</t>
  </si>
  <si>
    <t>2025-09-18 08:33</t>
  </si>
  <si>
    <t>2025-09-18 08:38</t>
  </si>
  <si>
    <t>2025-09-18 08:45</t>
  </si>
  <si>
    <t>2025-09-18 08:51</t>
  </si>
  <si>
    <t>2025-09-18 08:59</t>
  </si>
  <si>
    <t>2025-09-18 09:04</t>
  </si>
  <si>
    <t>2025-09-18 09:09</t>
  </si>
  <si>
    <t>2025-09-18 09:32</t>
  </si>
  <si>
    <t>2025-09-24 10:46</t>
  </si>
  <si>
    <t>2025-09-25 08:24</t>
  </si>
  <si>
    <t>2025-09-25 08:25</t>
  </si>
  <si>
    <t>2025-10-13 21:03</t>
  </si>
  <si>
    <t>2025-09-25 08:30</t>
  </si>
  <si>
    <t>2025-09-25 08:34</t>
  </si>
  <si>
    <t>2025-09-25 08:39</t>
  </si>
  <si>
    <t>2025-09-25 08:43</t>
  </si>
  <si>
    <t>2025-09-25 08:50</t>
  </si>
  <si>
    <t>2025-09-25 09:02</t>
  </si>
  <si>
    <t>2025-09-25 09:04</t>
  </si>
  <si>
    <t>2025-09-25 09:09</t>
  </si>
  <si>
    <t>2025-12-31 19:28</t>
  </si>
  <si>
    <t>2026-01-15 17:39</t>
  </si>
  <si>
    <t>2025-09-04 08:10</t>
  </si>
  <si>
    <t>2025-09-09 22:18</t>
  </si>
  <si>
    <t>2025-09-09 22:20</t>
  </si>
  <si>
    <t>2025-09-04 09:10</t>
  </si>
  <si>
    <t>2025-09-18 08:27</t>
  </si>
  <si>
    <t>2025-09-04 09:25</t>
  </si>
  <si>
    <t>2025-09-27 17:40</t>
  </si>
  <si>
    <t>2025-09-27 17:53</t>
  </si>
  <si>
    <t>2025-09-27 18:02</t>
  </si>
  <si>
    <t>2025-09-27 18:04</t>
  </si>
  <si>
    <t>2025-10-08 18:42</t>
  </si>
  <si>
    <t>2025-10-13 10:41</t>
  </si>
  <si>
    <t>2025-10-13 10:43</t>
  </si>
  <si>
    <t>2025-10-13 10:53</t>
  </si>
  <si>
    <t>2025-10-14 17:08</t>
  </si>
  <si>
    <t>2025-10-13 10:59</t>
  </si>
  <si>
    <t>2025-10-14 17:13</t>
  </si>
  <si>
    <t>2025-10-14 17:17</t>
  </si>
  <si>
    <t>2025-10-14 17:18</t>
  </si>
  <si>
    <t>2025-10-23 08:11</t>
  </si>
  <si>
    <t>2025-10-23 08:20</t>
  </si>
  <si>
    <t>2025-10-23 08:24</t>
  </si>
  <si>
    <t>2025-10-23 08:27</t>
  </si>
  <si>
    <t>2025-10-23 08:28</t>
  </si>
  <si>
    <t>2025-10-23 08:32</t>
  </si>
  <si>
    <t>2025-10-23 08:33</t>
  </si>
  <si>
    <t>2025-10-23 08:37</t>
  </si>
  <si>
    <t>2025-12-31 19:32</t>
  </si>
  <si>
    <t>2026-01-15 17:46</t>
  </si>
  <si>
    <t>2025-09-08 10:13</t>
  </si>
  <si>
    <t>2025-09-27 17:22</t>
  </si>
  <si>
    <t>2025-09-27 17:23</t>
  </si>
  <si>
    <t>2025-09-27 17:27</t>
  </si>
  <si>
    <t>2025-09-27 17:35</t>
  </si>
  <si>
    <t>2025-09-27 17:43</t>
  </si>
  <si>
    <t>2025-09-27 17:51</t>
  </si>
  <si>
    <t>2025-09-27 17:55</t>
  </si>
  <si>
    <t>2025-10-09 07:58</t>
  </si>
  <si>
    <t>2025-11-21 12:37</t>
  </si>
  <si>
    <t>2025-11-21 12:39</t>
  </si>
  <si>
    <t>2025-11-21 12:45</t>
  </si>
  <si>
    <t>2025-11-21 12:49</t>
  </si>
  <si>
    <t>2025-11-21 12:56</t>
  </si>
  <si>
    <t>2025-11-21 13:20</t>
  </si>
  <si>
    <t>2025-11-21 13:25</t>
  </si>
  <si>
    <t>2025-11-21 13:31</t>
  </si>
  <si>
    <t>2025-11-21 13:34</t>
  </si>
  <si>
    <t>2025-11-21 13:36</t>
  </si>
  <si>
    <t>2025-11-21 13:39</t>
  </si>
  <si>
    <t>2025-11-21 13:41</t>
  </si>
  <si>
    <t>2025-11-21 13:44</t>
  </si>
  <si>
    <t>2025-11-21 13:45</t>
  </si>
  <si>
    <t>2025-11-21 13:49</t>
  </si>
  <si>
    <t>2025-12-31 19:31</t>
  </si>
  <si>
    <t>2026-01-15 17:42</t>
  </si>
  <si>
    <t>2025-09-28 07:11</t>
  </si>
  <si>
    <t>2025-09-28 07:58</t>
  </si>
  <si>
    <t>2025-09-28 08:00</t>
  </si>
  <si>
    <t>2025-09-28 08:16</t>
  </si>
  <si>
    <t>2025-09-28 08:23</t>
  </si>
  <si>
    <t>2025-09-28 10:07</t>
  </si>
  <si>
    <t>2025-09-28 10:17</t>
  </si>
  <si>
    <t>2025-09-28 10:28</t>
  </si>
  <si>
    <t>2025-09-28 10:29</t>
  </si>
  <si>
    <t>2025-09-28 10:33</t>
  </si>
  <si>
    <t>2025-09-28 10:40</t>
  </si>
  <si>
    <t>2025-09-28 10:38</t>
  </si>
  <si>
    <t>2025-09-28 10:43</t>
  </si>
  <si>
    <t>2025-09-28 10:46</t>
  </si>
  <si>
    <t>2025-09-28 10:49</t>
  </si>
  <si>
    <t>2025-09-28 10:54</t>
  </si>
  <si>
    <t>2025-09-28 10:58</t>
  </si>
  <si>
    <t>2025-09-28 11:13</t>
  </si>
  <si>
    <t>2025-09-28 11:17</t>
  </si>
  <si>
    <t>2025-09-28 11:18</t>
  </si>
  <si>
    <t>2025-11-19 21:03</t>
  </si>
  <si>
    <t>2025-09-28 11:23</t>
  </si>
  <si>
    <t>2025-09-28 11:25</t>
  </si>
  <si>
    <t>2025-09-28 11:34</t>
  </si>
  <si>
    <t>2025-09-28 11:46</t>
  </si>
  <si>
    <t>2025-09-28 11:47</t>
  </si>
  <si>
    <t>2025-09-28 11:49</t>
  </si>
  <si>
    <t>2025-09-28 11:50</t>
  </si>
  <si>
    <t>2025-09-28 11:52</t>
  </si>
  <si>
    <t>2026-01-09 19:22</t>
  </si>
  <si>
    <t>2026-01-15 17:41</t>
  </si>
  <si>
    <t>2025-09-10 10:30</t>
  </si>
  <si>
    <t>2025-09-04 08:17</t>
  </si>
  <si>
    <t>2025-09-10 10:40</t>
  </si>
  <si>
    <t>2025-09-18 08:04</t>
  </si>
  <si>
    <t>2025-09-18 08:06</t>
  </si>
  <si>
    <t>2025-09-18 08:13</t>
  </si>
  <si>
    <t>2025-09-28 10:27</t>
  </si>
  <si>
    <t>2025-09-28 10:31</t>
  </si>
  <si>
    <t>2025-09-28 10:50</t>
  </si>
  <si>
    <t>2025-09-28 10:57</t>
  </si>
  <si>
    <t>2025-09-28 11:07</t>
  </si>
  <si>
    <t>2025-09-28 11:26</t>
  </si>
  <si>
    <t>2025-09-28 11:31</t>
  </si>
  <si>
    <t>2025-09-28 11:35</t>
  </si>
  <si>
    <t>2025-09-28 11:41</t>
  </si>
  <si>
    <t>2025-09-29 10:33</t>
  </si>
  <si>
    <t>2025-09-29 10:40</t>
  </si>
  <si>
    <t>2025-10-09 08:15</t>
  </si>
  <si>
    <t>2025-10-09 08:22</t>
  </si>
  <si>
    <t>2025-10-09 08:30</t>
  </si>
  <si>
    <t>2025-10-23 08:10</t>
  </si>
  <si>
    <t>2025-10-09 08:44</t>
  </si>
  <si>
    <t>2025-10-09 08:48</t>
  </si>
  <si>
    <t>2025-10-09 08:51</t>
  </si>
  <si>
    <t>2025-10-09 08:55</t>
  </si>
  <si>
    <t>2025-10-09 09:06</t>
  </si>
  <si>
    <t>2025-10-09 09:11</t>
  </si>
  <si>
    <t>2025-10-09 09:18</t>
  </si>
  <si>
    <t>2026-01-09 20:27</t>
  </si>
  <si>
    <t>未完成</t>
  </si>
  <si>
    <t/>
  </si>
  <si>
    <t>2026-01-10 11:01</t>
  </si>
  <si>
    <t>2026-01-10 11:02</t>
  </si>
  <si>
    <t>2026-01-10 11:06</t>
  </si>
  <si>
    <t>2026-01-10 11:09</t>
  </si>
  <si>
    <t>2026-01-10 11:10</t>
  </si>
  <si>
    <t>2026-01-10 11:13</t>
  </si>
  <si>
    <t>2026-01-10 11:15</t>
  </si>
  <si>
    <t>2026-01-10 11:24</t>
  </si>
  <si>
    <t>2026-01-10 11:25</t>
  </si>
  <si>
    <t>2026-01-10 11:27</t>
  </si>
  <si>
    <t>2026-01-10 11:28</t>
  </si>
  <si>
    <t>2026-01-10 11:31</t>
  </si>
  <si>
    <t>2026-01-10 11:34</t>
  </si>
  <si>
    <t>2026-01-10 11:36</t>
  </si>
  <si>
    <t>2026-01-10 11:37</t>
  </si>
  <si>
    <t>2026-01-10 11:40</t>
  </si>
  <si>
    <t>2026-01-10 11:43</t>
  </si>
  <si>
    <t>2026-01-10 11:47</t>
  </si>
  <si>
    <t>2026-01-10 11:48</t>
  </si>
  <si>
    <t>2026-01-10 11:50</t>
  </si>
  <si>
    <t>2026-01-10 11:52</t>
  </si>
  <si>
    <t>2026-01-10 11:54</t>
  </si>
  <si>
    <t>2026-01-10 11:56</t>
  </si>
  <si>
    <t>2026-01-10 11:57</t>
  </si>
  <si>
    <t>2026-01-10 11:59</t>
  </si>
  <si>
    <t>2026-01-10 12:00</t>
  </si>
  <si>
    <t>2026-01-10 12:02</t>
  </si>
  <si>
    <t>2026-01-10 12:03</t>
  </si>
  <si>
    <t>2026-01-15 18:15</t>
  </si>
  <si>
    <t>2025-09-07 22:16</t>
  </si>
  <si>
    <t>2025-09-07 22:17</t>
  </si>
  <si>
    <t>2025-09-08 09:58</t>
  </si>
  <si>
    <t>2025-09-08 09:59</t>
  </si>
  <si>
    <t>2025-09-08 10:01</t>
  </si>
  <si>
    <t>2025-09-10 10:54</t>
  </si>
  <si>
    <t>2025-09-11 08:13</t>
  </si>
  <si>
    <t>2025-09-11 08:15</t>
  </si>
  <si>
    <t>2025-09-18 08:07</t>
  </si>
  <si>
    <t>2025-09-18 08:10</t>
  </si>
  <si>
    <t>2025-09-18 09:31</t>
  </si>
  <si>
    <t>2025-09-18 09:37</t>
  </si>
  <si>
    <t>2025-09-18 09:38</t>
  </si>
  <si>
    <t>2025-09-24 08:25</t>
  </si>
  <si>
    <t>2025-09-24 08:26</t>
  </si>
  <si>
    <t>2025-09-24 08:33</t>
  </si>
  <si>
    <t>2025-09-24 08:34</t>
  </si>
  <si>
    <t>2025-09-24 08:40</t>
  </si>
  <si>
    <t>2025-09-24 09:20</t>
  </si>
  <si>
    <t>2025-09-28 10:03</t>
  </si>
  <si>
    <t>2025-09-28 10:13</t>
  </si>
  <si>
    <t>2025-09-28 10:20</t>
  </si>
  <si>
    <t>2025-09-28 10:21</t>
  </si>
  <si>
    <t>2025-10-22 11:37</t>
  </si>
  <si>
    <t>2025-09-28 10:26</t>
  </si>
  <si>
    <t>2025-10-13 09:59</t>
  </si>
  <si>
    <t>2025-10-09 08:27</t>
  </si>
  <si>
    <t>2025-10-13 10:00</t>
  </si>
  <si>
    <t>2025-10-13 10:04</t>
  </si>
  <si>
    <t>2025-10-13 10:10</t>
  </si>
  <si>
    <t>2025-10-13 10:14</t>
  </si>
  <si>
    <t>2026-01-16 14:06</t>
  </si>
  <si>
    <t>2025-09-04 08:16</t>
  </si>
  <si>
    <t>2025-09-04 08:24</t>
  </si>
  <si>
    <t>2025-09-10 11:03</t>
  </si>
  <si>
    <t>2025-09-04 10:49</t>
  </si>
  <si>
    <t>2025-09-27 17:37</t>
  </si>
  <si>
    <t>2025-09-27 18:26</t>
  </si>
  <si>
    <t>2025-09-27 18:32</t>
  </si>
  <si>
    <t>2025-09-27 18:43</t>
  </si>
  <si>
    <t>2025-09-27 19:01</t>
  </si>
  <si>
    <t>2025-09-28 10:34</t>
  </si>
  <si>
    <t>2025-11-10 18:06</t>
  </si>
  <si>
    <t>2025-09-04 08:23</t>
  </si>
  <si>
    <t>2025-11-10 18:13</t>
  </si>
  <si>
    <t>2025-11-10 18:17</t>
  </si>
  <si>
    <t>2025-11-10 18:22</t>
  </si>
  <si>
    <t>2025-11-10 18:27</t>
  </si>
  <si>
    <t>2025-11-10 18:34</t>
  </si>
  <si>
    <t>2025-11-10 18:40</t>
  </si>
  <si>
    <t>2025-11-10 18:50</t>
  </si>
  <si>
    <t>2025-11-10 18:56</t>
  </si>
  <si>
    <t>2025-11-10 19:05</t>
  </si>
  <si>
    <t>2025-11-10 19:03</t>
  </si>
  <si>
    <t>2025-11-10 19:08</t>
  </si>
  <si>
    <t>2025-11-10 19:17</t>
  </si>
  <si>
    <t>2025-11-10 19:32</t>
  </si>
  <si>
    <t>2025-11-10 19:37</t>
  </si>
  <si>
    <t>2025-11-10 19:41</t>
  </si>
  <si>
    <t>2025-11-10 19:43</t>
  </si>
  <si>
    <t>2025-11-10 19:48</t>
  </si>
  <si>
    <t>2026-01-01 11:03</t>
  </si>
  <si>
    <t>2025-09-04 08:22</t>
  </si>
  <si>
    <t>2025-09-04 08:28</t>
  </si>
  <si>
    <t>2025-09-10 10:17</t>
  </si>
  <si>
    <t>2025-09-10 10:21</t>
  </si>
  <si>
    <t>2025-09-18 08:12</t>
  </si>
  <si>
    <t>2025-09-18 08:15</t>
  </si>
  <si>
    <t>2025-09-18 08:21</t>
  </si>
  <si>
    <t>2025-09-18 08:28</t>
  </si>
  <si>
    <t>2025-09-18 08:31</t>
  </si>
  <si>
    <t>2025-09-18 08:34</t>
  </si>
  <si>
    <t>2025-09-28 11:19</t>
  </si>
  <si>
    <t>2025-11-03 12:26</t>
  </si>
  <si>
    <t>2025-09-29 10:39</t>
  </si>
  <si>
    <t>2025-09-29 10:47</t>
  </si>
  <si>
    <t>2025-09-29 10:49</t>
  </si>
  <si>
    <t>2025-09-29 11:03</t>
  </si>
  <si>
    <t>2025-09-29 11:05</t>
  </si>
  <si>
    <t>2026-01-10 08:06</t>
  </si>
  <si>
    <t>2025-09-05 17:53</t>
  </si>
  <si>
    <t>2025-09-05 18:00</t>
  </si>
  <si>
    <t>2025-09-06 16:40</t>
  </si>
  <si>
    <t>2025-09-10 10:15</t>
  </si>
  <si>
    <t>2025-09-10 10:22</t>
  </si>
  <si>
    <t>2025-09-10 10:25</t>
  </si>
  <si>
    <t>2025-09-10 11:34</t>
  </si>
  <si>
    <t>2025-09-10 11:44</t>
  </si>
  <si>
    <t>2025-09-15 10:11</t>
  </si>
  <si>
    <t>2025-09-15 10:12</t>
  </si>
  <si>
    <t>2025-09-18 08:16</t>
  </si>
  <si>
    <t>2025-09-24 10:06</t>
  </si>
  <si>
    <t>2025-09-24 10:15</t>
  </si>
  <si>
    <t>2025-09-25 08:16</t>
  </si>
  <si>
    <t>2025-09-25 08:22</t>
  </si>
  <si>
    <t>2025-09-28 10:09</t>
  </si>
  <si>
    <t>2025-09-28 10:22</t>
  </si>
  <si>
    <t>2025-09-28 10:24</t>
  </si>
  <si>
    <t>2025-10-09 08:45</t>
  </si>
  <si>
    <t>2025-10-09 08:52</t>
  </si>
  <si>
    <t>2025-10-16 09:23</t>
  </si>
  <si>
    <t>2025-10-22 10:09</t>
  </si>
  <si>
    <t>2025-10-22 10:11</t>
  </si>
  <si>
    <t>2025-10-22 10:30</t>
  </si>
  <si>
    <t>2025-10-22 10:32</t>
  </si>
  <si>
    <t>2025-10-22 10:35</t>
  </si>
  <si>
    <t>2025-10-22 10:39</t>
  </si>
  <si>
    <t>2025-10-22 11:24</t>
  </si>
  <si>
    <t>2025-10-22 11:29</t>
  </si>
  <si>
    <t>2026-01-01 11:26</t>
  </si>
  <si>
    <t>2026-01-15 19:02</t>
  </si>
  <si>
    <t>2025-09-04 08:56</t>
  </si>
  <si>
    <t>2025-09-10 10:06</t>
  </si>
  <si>
    <t>2025-09-04 08:57</t>
  </si>
  <si>
    <t>2025-09-11 07:50</t>
  </si>
  <si>
    <t>2025-09-11 08:00</t>
  </si>
  <si>
    <t>2025-09-18 08:25</t>
  </si>
  <si>
    <t>2025-09-18 08:36</t>
  </si>
  <si>
    <t>2025-11-10 22:23</t>
  </si>
  <si>
    <t>2025-11-10 22:27</t>
  </si>
  <si>
    <t>2025-11-10 22:29</t>
  </si>
  <si>
    <t>2025-11-10 22:32</t>
  </si>
  <si>
    <t>2025-11-10 22:39</t>
  </si>
  <si>
    <t>2025-11-10 22:42</t>
  </si>
  <si>
    <t>2025-11-10 22:44</t>
  </si>
  <si>
    <t>2025-11-10 22:48</t>
  </si>
  <si>
    <t>2025-11-10 22:56</t>
  </si>
  <si>
    <t>2025-11-10 22:59</t>
  </si>
  <si>
    <t>2025-11-10 23:00</t>
  </si>
  <si>
    <t>2025-11-10 23:03</t>
  </si>
  <si>
    <t>2025-11-10 23:04</t>
  </si>
  <si>
    <t>2025-11-10 23:07</t>
  </si>
  <si>
    <t>2025-11-10 23:10</t>
  </si>
  <si>
    <t>2025-11-10 23:12</t>
  </si>
  <si>
    <t>2025-11-10 23:15</t>
  </si>
  <si>
    <t>2025-11-10 23:18</t>
  </si>
  <si>
    <t>2025-11-10 23:20</t>
  </si>
  <si>
    <t>2025-11-10 23:21</t>
  </si>
  <si>
    <t>2025-11-10 23:23</t>
  </si>
  <si>
    <t>2025-11-10 23:24</t>
  </si>
  <si>
    <t>2025-11-10 23:26</t>
  </si>
  <si>
    <t>2026-01-09 19:17</t>
  </si>
  <si>
    <t>2026-01-15 18:58</t>
  </si>
  <si>
    <t>2025-09-08 10:02</t>
  </si>
  <si>
    <t>2025-09-10 10:24</t>
  </si>
  <si>
    <t>2025-09-10 10:31</t>
  </si>
  <si>
    <t>2025-09-10 10:39</t>
  </si>
  <si>
    <t>2025-09-12 20:02</t>
  </si>
  <si>
    <t>2025-09-12 20:05</t>
  </si>
  <si>
    <t>2025-09-12 20:06</t>
  </si>
  <si>
    <t>2025-09-27 17:38</t>
  </si>
  <si>
    <t>2025-09-27 19:21</t>
  </si>
  <si>
    <t>2025-09-27 19:23</t>
  </si>
  <si>
    <t>2025-09-27 19:26</t>
  </si>
  <si>
    <t>2025-09-27 19:29</t>
  </si>
  <si>
    <t>2025-09-27 19:31</t>
  </si>
  <si>
    <t>2025-09-27 19:34</t>
  </si>
  <si>
    <t>2025-09-27 19:38</t>
  </si>
  <si>
    <t>2025-09-27 19:46</t>
  </si>
  <si>
    <t>2025-10-16 08:49</t>
  </si>
  <si>
    <t>2025-09-28 10:37</t>
  </si>
  <si>
    <t>2025-10-09 08:24</t>
  </si>
  <si>
    <t>2026-01-10 14:59</t>
  </si>
  <si>
    <t>2026-01-15 21:11</t>
  </si>
  <si>
    <t>2025-09-10 10:41</t>
  </si>
  <si>
    <t>2025-09-10 10:47</t>
  </si>
  <si>
    <t>2025-09-04 08:38</t>
  </si>
  <si>
    <t>2025-09-11 07:58</t>
  </si>
  <si>
    <t>2025-09-11 08:04</t>
  </si>
  <si>
    <t>2025-09-13 21:04</t>
  </si>
  <si>
    <t>2025-09-18 08:22</t>
  </si>
  <si>
    <t>2025-09-27 17:17</t>
  </si>
  <si>
    <t>2025-10-09 08:33</t>
  </si>
  <si>
    <t>2025-10-09 08:36</t>
  </si>
  <si>
    <t>2025-10-09 08:40</t>
  </si>
  <si>
    <t>2025-10-09 08:43</t>
  </si>
  <si>
    <t>2025-10-09 08:54</t>
  </si>
  <si>
    <t>2025-10-09 09:16</t>
  </si>
  <si>
    <t>2025-10-09 09:20</t>
  </si>
  <si>
    <t>2025-10-16 08:30</t>
  </si>
  <si>
    <t>2025-10-16 08:32</t>
  </si>
  <si>
    <t>2025-10-16 08:33</t>
  </si>
  <si>
    <t>2025-10-16 08:35</t>
  </si>
  <si>
    <t>2025-10-16 08:37</t>
  </si>
  <si>
    <t>2025-10-16 08:40</t>
  </si>
  <si>
    <t>2025-10-16 08:42</t>
  </si>
  <si>
    <t>2026-01-09 19:20</t>
  </si>
  <si>
    <t>2026-01-15 18:01</t>
  </si>
  <si>
    <t>2025-09-04 08:04</t>
  </si>
  <si>
    <t>2025-09-10 10:08</t>
  </si>
  <si>
    <t>2025-09-11 07:43</t>
  </si>
  <si>
    <t>2025-09-11 07:44</t>
  </si>
  <si>
    <t>2025-09-11 07:47</t>
  </si>
  <si>
    <t>2025-09-11 08:30</t>
  </si>
  <si>
    <t>2025-09-18 07:51</t>
  </si>
  <si>
    <t>2025-09-18 07:54</t>
  </si>
  <si>
    <t>2025-09-18 07:55</t>
  </si>
  <si>
    <t>2025-09-18 08:03</t>
  </si>
  <si>
    <t>2025-09-18 08:18</t>
  </si>
  <si>
    <t>2025-09-28 10:39</t>
  </si>
  <si>
    <t>2025-09-28 10:45</t>
  </si>
  <si>
    <t>2025-09-28 11:00</t>
  </si>
  <si>
    <t>2025-10-27 10:20</t>
  </si>
  <si>
    <t>2025-10-27 10:24</t>
  </si>
  <si>
    <t>2025-10-27 10:27</t>
  </si>
  <si>
    <t>2025-10-27 10:29</t>
  </si>
  <si>
    <t>2025-10-27 10:31</t>
  </si>
  <si>
    <t>2025-10-27 10:33</t>
  </si>
  <si>
    <t>2025-10-27 10:35</t>
  </si>
  <si>
    <t>2025-10-27 10:36</t>
  </si>
  <si>
    <t>2025-10-27 10:38</t>
  </si>
  <si>
    <t>2025-10-27 10:40</t>
  </si>
  <si>
    <t>2025-10-27 10:44</t>
  </si>
  <si>
    <t>2026-01-15 19:27</t>
  </si>
  <si>
    <t>2025-09-13 16:50</t>
  </si>
  <si>
    <t>2025-09-13 16:51</t>
  </si>
  <si>
    <t>2025-09-13 19:15</t>
  </si>
  <si>
    <t>2025-09-13 19:26</t>
  </si>
  <si>
    <t>2025-11-03 09:59</t>
  </si>
  <si>
    <t>2025-11-03 10:00</t>
  </si>
  <si>
    <t>2025-11-03 10:03</t>
  </si>
  <si>
    <t>2025-11-03 10:09</t>
  </si>
  <si>
    <t>2025-11-03 10:10</t>
  </si>
  <si>
    <t>2025-11-03 10:12</t>
  </si>
  <si>
    <t>2025-11-03 10:13</t>
  </si>
  <si>
    <t>2025-11-03 10:16</t>
  </si>
  <si>
    <t>2025-11-03 10:18</t>
  </si>
  <si>
    <t>2025-11-03 10:21</t>
  </si>
  <si>
    <t>2025-11-03 10:22</t>
  </si>
  <si>
    <t>2025-11-03 10:25</t>
  </si>
  <si>
    <t>2025-11-03 10:28</t>
  </si>
  <si>
    <t>2025-11-03 10:30</t>
  </si>
  <si>
    <t>2025-11-03 10:32</t>
  </si>
  <si>
    <t>2025-11-03 10:35</t>
  </si>
  <si>
    <t>2025-11-03 10:40</t>
  </si>
  <si>
    <t>2025-11-03 10:44</t>
  </si>
  <si>
    <t>2025-11-03 10:47</t>
  </si>
  <si>
    <t>2025-11-03 10:49</t>
  </si>
  <si>
    <t>2025-11-03 10:51</t>
  </si>
  <si>
    <t>2025-11-03 10:53</t>
  </si>
  <si>
    <t>2025-11-03 10:54</t>
  </si>
  <si>
    <t>2025-11-03 10:56</t>
  </si>
  <si>
    <t>2025-11-03 10:59</t>
  </si>
  <si>
    <t>2026-01-10 00:16</t>
  </si>
  <si>
    <t>2026-01-15 17:38</t>
  </si>
  <si>
    <t>2025-09-09 23:08</t>
  </si>
  <si>
    <t>2025-09-09 23:15</t>
  </si>
  <si>
    <t>2025-09-04 08:11</t>
  </si>
  <si>
    <t>2025-09-09 23:18</t>
  </si>
  <si>
    <t>2025-09-09 23:21</t>
  </si>
  <si>
    <t>2025-09-09 23:22</t>
  </si>
  <si>
    <t>2025-09-09 23:25</t>
  </si>
  <si>
    <t>2025-09-09 23:26</t>
  </si>
  <si>
    <t>2025-09-10 10:46</t>
  </si>
  <si>
    <t>2025-09-18 07:56</t>
  </si>
  <si>
    <t>2025-09-18 08:09</t>
  </si>
  <si>
    <t>2025-09-25 08:17</t>
  </si>
  <si>
    <t>2025-09-25 08:18</t>
  </si>
  <si>
    <t>2025-09-25 08:21</t>
  </si>
  <si>
    <t>2025-09-26 16:43</t>
  </si>
  <si>
    <t>2025-09-29 10:01</t>
  </si>
  <si>
    <t>2025-09-29 10:08</t>
  </si>
  <si>
    <t>2025-11-10 18:15</t>
  </si>
  <si>
    <t>2025-10-09 08:03</t>
  </si>
  <si>
    <t>2025-10-09 08:07</t>
  </si>
  <si>
    <t>2025-10-09 08:08</t>
  </si>
  <si>
    <t>2025-10-09 08:12</t>
  </si>
  <si>
    <t>2025-10-09 08:13</t>
  </si>
  <si>
    <t>2025-10-09 08:17</t>
  </si>
  <si>
    <t>2025-10-09 08:19</t>
  </si>
  <si>
    <t>2025-10-09 08:23</t>
  </si>
  <si>
    <t>2025-12-31 19:25</t>
  </si>
  <si>
    <t>2026-01-15 17:36</t>
  </si>
  <si>
    <t>2025-09-04 08:02</t>
  </si>
  <si>
    <t>2025-09-04 21:00</t>
  </si>
  <si>
    <t>2025-09-04 21:02</t>
  </si>
  <si>
    <t>2025-09-13 19:08</t>
  </si>
  <si>
    <t>2025-09-13 19:10</t>
  </si>
  <si>
    <t>2025-09-04 08:45</t>
  </si>
  <si>
    <t>2025-10-11 19:06</t>
  </si>
  <si>
    <t>2025-10-11 19:08</t>
  </si>
  <si>
    <t>2025-10-11 19:11</t>
  </si>
  <si>
    <t>2025-11-01 18:06</t>
  </si>
  <si>
    <t>2025-11-01 18:12</t>
  </si>
  <si>
    <t>2025-11-15 18:35</t>
  </si>
  <si>
    <t>2025-11-15 18:38</t>
  </si>
  <si>
    <t>2025-11-15 19:28</t>
  </si>
  <si>
    <t>2025-11-15 19:32</t>
  </si>
  <si>
    <t>2025-11-15 19:41</t>
  </si>
  <si>
    <t>2025-11-15 19:45</t>
  </si>
  <si>
    <t>2025-11-15 19:50</t>
  </si>
  <si>
    <t>2025-11-15 19:52</t>
  </si>
  <si>
    <t>2025-11-22 22:36</t>
  </si>
  <si>
    <t>2025-11-22 22:39</t>
  </si>
  <si>
    <t>2025-11-22 22:40</t>
  </si>
  <si>
    <t>2025-11-22 22:44</t>
  </si>
  <si>
    <t>2025-11-22 22:48</t>
  </si>
  <si>
    <t>2025-11-22 22:55</t>
  </si>
  <si>
    <t>2025-11-22 22:57</t>
  </si>
  <si>
    <t>2025-11-22 23:01</t>
  </si>
  <si>
    <t>2025-11-23 00:25</t>
  </si>
  <si>
    <t>2025-11-23 00:33</t>
  </si>
  <si>
    <t>2025-11-23 00:35</t>
  </si>
  <si>
    <t>2025-11-23 00:36</t>
  </si>
  <si>
    <t>2025-11-23 00:38</t>
  </si>
  <si>
    <t>2025-11-23 00:40</t>
  </si>
  <si>
    <t>2025-11-23 00:42</t>
  </si>
  <si>
    <t>2025-09-08 10:09</t>
  </si>
  <si>
    <t>2025-09-10 10:05</t>
  </si>
  <si>
    <t>2025-09-10 10:12</t>
  </si>
  <si>
    <t>2025-09-10 10:26</t>
  </si>
  <si>
    <t>2025-09-10 10:28</t>
  </si>
  <si>
    <t>2025-09-11 08:10</t>
  </si>
  <si>
    <t>2025-09-11 08:14</t>
  </si>
  <si>
    <t>2025-09-11 08:16</t>
  </si>
  <si>
    <t>2025-09-11 08:23</t>
  </si>
  <si>
    <t>2025-09-11 08:42</t>
  </si>
  <si>
    <t>2025-10-09 08:49</t>
  </si>
  <si>
    <t>2025-10-09 08:59</t>
  </si>
  <si>
    <t>2025-10-09 09:05</t>
  </si>
  <si>
    <t>2025-10-22 10:05</t>
  </si>
  <si>
    <t>2025-10-22 10:12</t>
  </si>
  <si>
    <t>2025-10-22 10:13</t>
  </si>
  <si>
    <t>2025-10-22 10:27</t>
  </si>
  <si>
    <t>2025-10-22 10:28</t>
  </si>
  <si>
    <t>2025-10-22 10:33</t>
  </si>
  <si>
    <t>2025-10-22 10:37</t>
  </si>
  <si>
    <t>2025-10-22 10:38</t>
  </si>
  <si>
    <t>2025-10-22 10:43</t>
  </si>
  <si>
    <t>2025-10-22 10:44</t>
  </si>
  <si>
    <t>2025-11-03 10:11</t>
  </si>
  <si>
    <t>2026-01-09 19:21</t>
  </si>
  <si>
    <t>2026-01-15 19:00</t>
  </si>
  <si>
    <t>2025-09-11 07:45</t>
  </si>
  <si>
    <t>2025-09-14 15:09</t>
  </si>
  <si>
    <t>2025-09-14 15:15</t>
  </si>
  <si>
    <t>2025-09-14 15:20</t>
  </si>
  <si>
    <t>2025-09-14 15:24</t>
  </si>
  <si>
    <t>2025-09-14 15:34</t>
  </si>
  <si>
    <t>2025-09-17 22:19</t>
  </si>
  <si>
    <t>2025-09-17 22:24</t>
  </si>
  <si>
    <t>2025-09-18 09:29</t>
  </si>
  <si>
    <t>2025-09-18 09:35</t>
  </si>
  <si>
    <t>2025-09-20 21:04</t>
  </si>
  <si>
    <t>2025-09-20 21:05</t>
  </si>
  <si>
    <t>2025-09-20 21:10</t>
  </si>
  <si>
    <t>2025-09-23 15:43</t>
  </si>
  <si>
    <t>2025-09-23 15:49</t>
  </si>
  <si>
    <t>2025-09-23 15:50</t>
  </si>
  <si>
    <t>2025-09-23 15:56</t>
  </si>
  <si>
    <t>2025-09-23 15:57</t>
  </si>
  <si>
    <t>2025-09-23 16:04</t>
  </si>
  <si>
    <t>2025-09-23 16:06</t>
  </si>
  <si>
    <t>2025-10-23 08:34</t>
  </si>
  <si>
    <t>2025-09-23 16:25</t>
  </si>
  <si>
    <t>2025-09-23 16:22</t>
  </si>
  <si>
    <t>2025-09-23 16:30</t>
  </si>
  <si>
    <t>2025-09-23 16:38</t>
  </si>
  <si>
    <t>2025-09-23 16:47</t>
  </si>
  <si>
    <t>2025-09-23 16:44</t>
  </si>
  <si>
    <t>2025-09-23 16:48</t>
  </si>
  <si>
    <t>2025-09-23 16:53</t>
  </si>
  <si>
    <t>2025-09-10 10:03</t>
  </si>
  <si>
    <t>2025-09-10 10:04</t>
  </si>
  <si>
    <t>2025-09-10 10:10</t>
  </si>
  <si>
    <t>2025-09-10 10:11</t>
  </si>
  <si>
    <t>2025-09-10 10:23</t>
  </si>
  <si>
    <t>2025-09-10 10:38</t>
  </si>
  <si>
    <t>2025-09-10 10:42</t>
  </si>
  <si>
    <t>2025-09-18 08:23</t>
  </si>
  <si>
    <t>2025-09-18 08:29</t>
  </si>
  <si>
    <t>2025-09-18 08:37</t>
  </si>
  <si>
    <t>2025-09-18 08:42</t>
  </si>
  <si>
    <t>2025-09-22 10:46</t>
  </si>
  <si>
    <t>2025-09-28 10:32</t>
  </si>
  <si>
    <t>2025-09-28 10:51</t>
  </si>
  <si>
    <t>2025-10-13 10:46</t>
  </si>
  <si>
    <t>2025-10-22 10:17</t>
  </si>
  <si>
    <t>2025-11-06 10:26</t>
  </si>
  <si>
    <t>2025-11-06 10:29</t>
  </si>
  <si>
    <t>2025-11-06 10:30</t>
  </si>
  <si>
    <t>2025-11-06 10:36</t>
  </si>
  <si>
    <t>2025-11-06 10:37</t>
  </si>
  <si>
    <t>2025-11-06 10:39</t>
  </si>
  <si>
    <t>2025-12-31 20:39</t>
  </si>
  <si>
    <t>2026-01-15 18:02</t>
  </si>
  <si>
    <t>2025-09-04 08:59</t>
  </si>
  <si>
    <t>2025-09-05 09:52</t>
  </si>
  <si>
    <t>2025-09-09 23:09</t>
  </si>
  <si>
    <t>2025-09-04 09:00</t>
  </si>
  <si>
    <t>2025-09-09 23:16</t>
  </si>
  <si>
    <t>2025-09-09 23:23</t>
  </si>
  <si>
    <t>2025-09-18 08:01</t>
  </si>
  <si>
    <t>2025-09-25 08:07</t>
  </si>
  <si>
    <t>2025-09-25 08:06</t>
  </si>
  <si>
    <t>2025-09-25 08:09</t>
  </si>
  <si>
    <t>2025-09-25 08:12</t>
  </si>
  <si>
    <t>2025-09-25 08:13</t>
  </si>
  <si>
    <t>2025-09-28 11:43</t>
  </si>
  <si>
    <t>2025-10-09 08:05</t>
  </si>
  <si>
    <t>2025-10-09 08:09</t>
  </si>
  <si>
    <t>2025-10-16 07:52</t>
  </si>
  <si>
    <t>2025-10-09 08:21</t>
  </si>
  <si>
    <t>2025-10-09 08:29</t>
  </si>
  <si>
    <t>2025-10-09 08:35</t>
  </si>
  <si>
    <t>2025-09-07 11:05</t>
  </si>
  <si>
    <t>2025-09-07 11:06</t>
  </si>
  <si>
    <t>2025-09-07 11:14</t>
  </si>
  <si>
    <t>2025-09-07 11:28</t>
  </si>
  <si>
    <t>2025-09-07 11:30</t>
  </si>
  <si>
    <t>2025-10-13 10:28</t>
  </si>
  <si>
    <t>2025-10-30 13:34</t>
  </si>
  <si>
    <t>2025-10-30 13:39</t>
  </si>
  <si>
    <t>2025-11-01 17:40</t>
  </si>
  <si>
    <t>2025-11-01 17:47</t>
  </si>
  <si>
    <t>2025-11-01 17:49</t>
  </si>
  <si>
    <t>2025-11-01 17:55</t>
  </si>
  <si>
    <t>2025-11-01 18:00</t>
  </si>
  <si>
    <t>2025-11-01 18:05</t>
  </si>
  <si>
    <t>2025-11-01 18:11</t>
  </si>
  <si>
    <t>2025-11-02 18:51</t>
  </si>
  <si>
    <t>2025-11-02 18:55</t>
  </si>
  <si>
    <t>2025-11-02 19:15</t>
  </si>
  <si>
    <t>2025-11-02 19:16</t>
  </si>
  <si>
    <t>2025-11-02 19:45</t>
  </si>
  <si>
    <t>2025-11-02 19:46</t>
  </si>
  <si>
    <t>2025-11-02 19:50</t>
  </si>
  <si>
    <t>2025-11-02 19:53</t>
  </si>
  <si>
    <t>2025-11-02 19:57</t>
  </si>
  <si>
    <t>2025-11-02 19:58</t>
  </si>
  <si>
    <t>2025-11-02 20:01</t>
  </si>
  <si>
    <t>2025-11-02 20:02</t>
  </si>
  <si>
    <t>2025-11-02 20:07</t>
  </si>
  <si>
    <t>2025-11-02 20:11</t>
  </si>
  <si>
    <t>2025-11-02 20:16</t>
  </si>
  <si>
    <t>2026-01-10 00:09</t>
  </si>
  <si>
    <t>2026-01-15 19:05</t>
  </si>
  <si>
    <t>2025-09-04 07:56</t>
  </si>
  <si>
    <t>2025-09-04 09:07</t>
  </si>
  <si>
    <t>2025-09-04 09:37</t>
  </si>
  <si>
    <t>2025-09-08 10:03</t>
  </si>
  <si>
    <t>2025-09-18 08:08</t>
  </si>
  <si>
    <t>2025-09-18 08:56</t>
  </si>
  <si>
    <t>2025-09-25 08:14</t>
  </si>
  <si>
    <t>2025-09-25 08:28</t>
  </si>
  <si>
    <t>2025-09-25 08:42</t>
  </si>
  <si>
    <t>2025-09-28 10:14</t>
  </si>
  <si>
    <t>2025-09-28 10:53</t>
  </si>
  <si>
    <t>2025-10-09 08:18</t>
  </si>
  <si>
    <t>2025-10-09 08:25</t>
  </si>
  <si>
    <t>2025-10-09 08:26</t>
  </si>
  <si>
    <t>2025-10-16 08:07</t>
  </si>
  <si>
    <t>2025-10-09 08:38</t>
  </si>
  <si>
    <t>2025-10-09 08:39</t>
  </si>
  <si>
    <t>2025-10-09 08:47</t>
  </si>
  <si>
    <t>2025-10-09 08:50</t>
  </si>
  <si>
    <t>2026-01-09 19:18</t>
  </si>
  <si>
    <t>2026-01-15 17:44</t>
  </si>
  <si>
    <t>2025-09-07 15:36</t>
  </si>
  <si>
    <t>2025-09-07 15:37</t>
  </si>
  <si>
    <t>2025-09-07 15:44</t>
  </si>
  <si>
    <t>2025-09-04 10:12</t>
  </si>
  <si>
    <t>2025-09-07 19:03</t>
  </si>
  <si>
    <t>2025-09-07 19:09</t>
  </si>
  <si>
    <t>2025-09-07 19:54</t>
  </si>
  <si>
    <t>2025-09-07 20:39</t>
  </si>
  <si>
    <t>2025-09-16 16:47</t>
  </si>
  <si>
    <t>2025-09-16 16:59</t>
  </si>
  <si>
    <t>2025-09-19 19:41</t>
  </si>
  <si>
    <t>2025-09-28 10:47</t>
  </si>
  <si>
    <t>2025-09-28 10:52</t>
  </si>
  <si>
    <t>2025-10-08 12:09</t>
  </si>
  <si>
    <t>2025-10-08 12:16</t>
  </si>
  <si>
    <t>2025-10-08 12:22</t>
  </si>
  <si>
    <t>2025-10-08 12:44</t>
  </si>
  <si>
    <t>2025-10-08 12:51</t>
  </si>
  <si>
    <t>2025-10-31 22:35</t>
  </si>
  <si>
    <t>2025-10-08 12:56</t>
  </si>
  <si>
    <t>2025-10-08 12:59</t>
  </si>
  <si>
    <t>2025-10-08 13:03</t>
  </si>
  <si>
    <t>2025-10-08 13:06</t>
  </si>
  <si>
    <t>2025-10-08 13:11</t>
  </si>
  <si>
    <t>2025-10-08 13:15</t>
  </si>
  <si>
    <t>2026-01-06 22:08</t>
  </si>
  <si>
    <t>2026-01-15 18:00</t>
  </si>
  <si>
    <t>2025-09-10 10:29</t>
  </si>
  <si>
    <t>2025-09-10 10:44</t>
  </si>
  <si>
    <t>2025-09-10 10:52</t>
  </si>
  <si>
    <t>2025-09-10 10:59</t>
  </si>
  <si>
    <t>2025-10-31 16:25</t>
  </si>
  <si>
    <t>2025-10-31 16:37</t>
  </si>
  <si>
    <t>2025-10-31 16:36</t>
  </si>
  <si>
    <t>2025-10-31 16:43</t>
  </si>
  <si>
    <t>2025-10-31 16:46</t>
  </si>
  <si>
    <t>2025-10-31 16:49</t>
  </si>
  <si>
    <t>2025-10-31 17:02</t>
  </si>
  <si>
    <t>2025-10-31 17:04</t>
  </si>
  <si>
    <t>2025-11-04 17:14</t>
  </si>
  <si>
    <t>2025-11-04 17:17</t>
  </si>
  <si>
    <t>2025-11-04 19:57</t>
  </si>
  <si>
    <t>2025-11-04 20:00</t>
  </si>
  <si>
    <t>2025-11-04 20:18</t>
  </si>
  <si>
    <t>2025-11-04 20:21</t>
  </si>
  <si>
    <t>2025-11-04 20:22</t>
  </si>
  <si>
    <t>2025-11-04 20:25</t>
  </si>
  <si>
    <t>2025-11-04 20:42</t>
  </si>
  <si>
    <t>2025-11-04 20:44</t>
  </si>
  <si>
    <t>2025-11-04 20:45</t>
  </si>
  <si>
    <t>2025-11-04 20:47</t>
  </si>
  <si>
    <t>2025-11-04 20:50</t>
  </si>
  <si>
    <t>2025-11-04 20:53</t>
  </si>
  <si>
    <t>2025-11-04 20:59</t>
  </si>
  <si>
    <t>2025-11-04 21:02</t>
  </si>
  <si>
    <t>2025-09-07 22:25</t>
  </si>
  <si>
    <t>2025-09-04 09:11</t>
  </si>
  <si>
    <t>2025-09-11 08:31</t>
  </si>
  <si>
    <t>2025-09-11 08:32</t>
  </si>
  <si>
    <t>2025-09-13 20:05</t>
  </si>
  <si>
    <t>2025-09-13 20:10</t>
  </si>
  <si>
    <t>2025-09-13 20:15</t>
  </si>
  <si>
    <t>2025-09-13 20:21</t>
  </si>
  <si>
    <t>2025-09-13 20:41</t>
  </si>
  <si>
    <t>2025-09-13 20:46</t>
  </si>
  <si>
    <t>2025-09-13 20:51</t>
  </si>
  <si>
    <t>2025-09-13 20:52</t>
  </si>
  <si>
    <t>2025-09-23 15:46</t>
  </si>
  <si>
    <t>2025-09-23 15:47</t>
  </si>
  <si>
    <t>2025-09-23 15:53</t>
  </si>
  <si>
    <t>2025-09-23 15:59</t>
  </si>
  <si>
    <t>2025-09-23 16:07</t>
  </si>
  <si>
    <t>2025-10-18 23:06</t>
  </si>
  <si>
    <t>2025-10-18 23:08</t>
  </si>
  <si>
    <t>2025-10-18 23:11</t>
  </si>
  <si>
    <t>2025-10-18 23:12</t>
  </si>
  <si>
    <t>2025-10-18 23:16</t>
  </si>
  <si>
    <t>2025-10-18 23:20</t>
  </si>
  <si>
    <t>2025-10-18 23:21</t>
  </si>
  <si>
    <t>2025-10-18 23:25</t>
  </si>
  <si>
    <t>2026-01-01 19:53</t>
  </si>
  <si>
    <t>2026-01-15 19:42</t>
  </si>
  <si>
    <t>2025-09-27 14:19</t>
  </si>
  <si>
    <t>2025-09-27 14:20</t>
  </si>
  <si>
    <t>2025-09-27 14:23</t>
  </si>
  <si>
    <t>2025-09-27 14:24</t>
  </si>
  <si>
    <t>2025-09-27 14:28</t>
  </si>
  <si>
    <t>2025-09-27 14:30</t>
  </si>
  <si>
    <t>2025-09-27 14:33</t>
  </si>
  <si>
    <t>2025-09-27 14:39</t>
  </si>
  <si>
    <t>2025-09-27 14:47</t>
  </si>
  <si>
    <t>2025-09-27 14:50</t>
  </si>
  <si>
    <t>2025-09-27 15:01</t>
  </si>
  <si>
    <t>2025-09-27 15:05</t>
  </si>
  <si>
    <t>2025-09-27 15:09</t>
  </si>
  <si>
    <t>2025-11-10 18:18</t>
  </si>
  <si>
    <t>2025-11-10 18:23</t>
  </si>
  <si>
    <t>2025-11-10 18:25</t>
  </si>
  <si>
    <t>2025-11-11 12:55</t>
  </si>
  <si>
    <t>2025-11-11 13:25</t>
  </si>
  <si>
    <t>2025-11-11 13:28</t>
  </si>
  <si>
    <t>2025-11-11 13:29</t>
  </si>
  <si>
    <t>2025-11-11 13:32</t>
  </si>
  <si>
    <t>2025-11-11 13:47</t>
  </si>
  <si>
    <t>2025-11-11 13:49</t>
  </si>
  <si>
    <t>2025-11-13 11:20</t>
  </si>
  <si>
    <t>2025-11-13 11:23</t>
  </si>
  <si>
    <t>2025-11-13 11:25</t>
  </si>
  <si>
    <t>2025-11-13 11:27</t>
  </si>
  <si>
    <t>2025-11-13 11:29</t>
  </si>
  <si>
    <t>2025-11-13 11:30</t>
  </si>
  <si>
    <t>2025-11-13 11:32</t>
  </si>
  <si>
    <t>2026-01-01 12:06</t>
  </si>
  <si>
    <t>2025-09-08 10:07</t>
  </si>
  <si>
    <t>2025-09-08 10:08</t>
  </si>
  <si>
    <t>2025-09-08 10:14</t>
  </si>
  <si>
    <t>2025-09-08 10:15</t>
  </si>
  <si>
    <t>2025-09-08 10:19</t>
  </si>
  <si>
    <t>2025-09-04 09:12</t>
  </si>
  <si>
    <t>2025-09-08 10:44</t>
  </si>
  <si>
    <t>2025-09-11 08:11</t>
  </si>
  <si>
    <t>2025-09-28 10:36</t>
  </si>
  <si>
    <t>2025-11-10 18:43</t>
  </si>
  <si>
    <t>2025-11-10 18:35</t>
  </si>
  <si>
    <t>2025-11-10 18:49</t>
  </si>
  <si>
    <t>2025-11-10 18:57</t>
  </si>
  <si>
    <t>2025-11-10 18:59</t>
  </si>
  <si>
    <t>2025-11-15 22:22</t>
  </si>
  <si>
    <t>2025-11-15 22:29</t>
  </si>
  <si>
    <t>2025-11-15 22:28</t>
  </si>
  <si>
    <t>2025-11-15 22:30</t>
  </si>
  <si>
    <t>2025-11-15 22:36</t>
  </si>
  <si>
    <t>2025-11-15 22:37</t>
  </si>
  <si>
    <t>2025-11-15 22:41</t>
  </si>
  <si>
    <t>2025-11-15 22:42</t>
  </si>
  <si>
    <t>2025-11-15 22:45</t>
  </si>
  <si>
    <t>2025-11-15 22:46</t>
  </si>
  <si>
    <t>2025-11-15 22:48</t>
  </si>
  <si>
    <t>2025-11-15 22:52</t>
  </si>
  <si>
    <t>2025-11-15 22:54</t>
  </si>
  <si>
    <t>2026-01-01 18:04</t>
  </si>
  <si>
    <t>2025-09-10 10:02</t>
  </si>
  <si>
    <t>2025-09-10 10:09</t>
  </si>
  <si>
    <t>2025-09-11 08:28</t>
  </si>
  <si>
    <t>2025-09-11 08:29</t>
  </si>
  <si>
    <t>2025-09-11 08:34</t>
  </si>
  <si>
    <t>2025-09-11 08:35</t>
  </si>
  <si>
    <t>2025-09-11 08:45</t>
  </si>
  <si>
    <t>2025-09-11 09:11</t>
  </si>
  <si>
    <t>2025-09-28 10:10</t>
  </si>
  <si>
    <t>2025-09-28 10:15</t>
  </si>
  <si>
    <t>2025-09-28 10:42</t>
  </si>
  <si>
    <t>2025-09-28 10:48</t>
  </si>
  <si>
    <t>2025-10-17 23:15</t>
  </si>
  <si>
    <t>2025-09-28 10:55</t>
  </si>
  <si>
    <t>2025-09-28 10:59</t>
  </si>
  <si>
    <t>2025-09-28 11:03</t>
  </si>
  <si>
    <t>2025-09-28 11:04</t>
  </si>
  <si>
    <t>2025-09-28 11:12</t>
  </si>
  <si>
    <t>2026-01-01 12:14</t>
  </si>
  <si>
    <t>2025-09-08 10:42</t>
  </si>
  <si>
    <t>2025-09-10 10:55</t>
  </si>
  <si>
    <t>2025-09-10 10:56</t>
  </si>
  <si>
    <t>2025-09-18 09:19</t>
  </si>
  <si>
    <t>2025-09-18 09:21</t>
  </si>
  <si>
    <t>2025-09-20 07:55</t>
  </si>
  <si>
    <t>2025-09-20 08:04</t>
  </si>
  <si>
    <t>2025-09-20 08:03</t>
  </si>
  <si>
    <t>2025-09-20 08:12</t>
  </si>
  <si>
    <t>2025-09-20 08:28</t>
  </si>
  <si>
    <t>2025-09-20 08:24</t>
  </si>
  <si>
    <t>2025-09-20 08:33</t>
  </si>
  <si>
    <t>2025-09-24 09:58</t>
  </si>
  <si>
    <t>2025-09-24 10:04</t>
  </si>
  <si>
    <t>2025-09-24 11:33</t>
  </si>
  <si>
    <t>2025-09-24 11:32</t>
  </si>
  <si>
    <t>2025-10-16 08:16</t>
  </si>
  <si>
    <t>2025-09-28 09:58</t>
  </si>
  <si>
    <t>2025-09-28 10:19</t>
  </si>
  <si>
    <t>2025-12-31 20:19</t>
  </si>
  <si>
    <t>2026-01-15 17:58</t>
  </si>
  <si>
    <t>2025-09-04 08:37</t>
  </si>
  <si>
    <t>2025-09-04 08:43</t>
  </si>
  <si>
    <t>2025-09-10 10:43</t>
  </si>
  <si>
    <t>2025-09-12 19:22</t>
  </si>
  <si>
    <t>2025-09-15 10:14</t>
  </si>
  <si>
    <t>2025-09-15 10:19</t>
  </si>
  <si>
    <t>2025-09-15 10:39</t>
  </si>
  <si>
    <t>2025-09-15 10:55</t>
  </si>
  <si>
    <t>2025-09-04 08:44</t>
  </si>
  <si>
    <t>2025-09-17 08:07</t>
  </si>
  <si>
    <t>2025-09-17 08:13</t>
  </si>
  <si>
    <t>2025-11-23 10:06</t>
  </si>
  <si>
    <t>2025-11-23 10:34</t>
  </si>
  <si>
    <t>2025-11-23 13:48</t>
  </si>
  <si>
    <t>2025-11-23 13:50</t>
  </si>
  <si>
    <t>2025-11-23 14:21</t>
  </si>
  <si>
    <t>2025-11-23 14:39</t>
  </si>
  <si>
    <t>2025-11-23 14:41</t>
  </si>
  <si>
    <t>2026-01-15 19:53</t>
  </si>
  <si>
    <t>2025-09-04 08:00</t>
  </si>
  <si>
    <t>2025-09-10 10:19</t>
  </si>
  <si>
    <t>2025-09-10 10:32</t>
  </si>
  <si>
    <t>2025-09-11 08:53</t>
  </si>
  <si>
    <t>2025-09-11 08:58</t>
  </si>
  <si>
    <t>2025-09-11 09:03</t>
  </si>
  <si>
    <t>2025-09-22 10:39</t>
  </si>
  <si>
    <t>2025-09-22 10:42</t>
  </si>
  <si>
    <t>2025-09-22 10:49</t>
  </si>
  <si>
    <t>2025-09-22 10:51</t>
  </si>
  <si>
    <t>2025-09-22 10:57</t>
  </si>
  <si>
    <t>2025-09-22 11:21</t>
  </si>
  <si>
    <t>2025-09-28 10:35</t>
  </si>
  <si>
    <t>2025-10-09 08:02</t>
  </si>
  <si>
    <t>2025-10-16 08:26</t>
  </si>
  <si>
    <t>2025-10-09 08:14</t>
  </si>
  <si>
    <t>2025-12-31 19:51</t>
  </si>
  <si>
    <t>2026-01-15 17:45</t>
  </si>
  <si>
    <t>2025-09-04 08:18</t>
  </si>
  <si>
    <t>2025-09-05 00:18</t>
  </si>
  <si>
    <t>2025-09-05 00:20</t>
  </si>
  <si>
    <t>2025-09-10 10:13</t>
  </si>
  <si>
    <t>2025-09-13 15:04</t>
  </si>
  <si>
    <t>2025-09-27 18:17</t>
  </si>
  <si>
    <t>2025-09-27 19:30</t>
  </si>
  <si>
    <t>2025-09-27 19:36</t>
  </si>
  <si>
    <t>2025-09-27 19:39</t>
  </si>
  <si>
    <t>2025-09-27 19:45</t>
  </si>
  <si>
    <t>2025-09-27 19:50</t>
  </si>
  <si>
    <t>2025-09-27 20:10</t>
  </si>
  <si>
    <t>2025-09-27 20:16</t>
  </si>
  <si>
    <t>2025-09-27 20:21</t>
  </si>
  <si>
    <t>2025-09-27 22:55</t>
  </si>
  <si>
    <t>2025-09-27 23:01</t>
  </si>
  <si>
    <t>2025-09-27 23:13</t>
  </si>
  <si>
    <t>2026-01-15 17:50</t>
  </si>
  <si>
    <t>2025-09-07 23:45</t>
  </si>
  <si>
    <t>2025-09-10 10:50</t>
  </si>
  <si>
    <t>2025-09-10 10:51</t>
  </si>
  <si>
    <t>2025-09-11 07:55</t>
  </si>
  <si>
    <t>2025-09-24 11:31</t>
  </si>
  <si>
    <t>2025-09-24 11:29</t>
  </si>
  <si>
    <t>2025-09-24 11:39</t>
  </si>
  <si>
    <t>2025-09-27 17:39</t>
  </si>
  <si>
    <t>2025-09-27 17:45</t>
  </si>
  <si>
    <t>2025-09-27 17:49</t>
  </si>
  <si>
    <t>2025-09-27 17:54</t>
  </si>
  <si>
    <t>2025-10-09 08:42</t>
  </si>
  <si>
    <t>2025-10-22 10:14</t>
  </si>
  <si>
    <t>2025-10-22 10:48</t>
  </si>
  <si>
    <t>2025-11-11 13:07</t>
  </si>
  <si>
    <t>2025-11-11 13:08</t>
  </si>
  <si>
    <t>2025-11-11 13:11</t>
  </si>
  <si>
    <t>2025-11-11 13:16</t>
  </si>
  <si>
    <t>2025-11-11 13:20</t>
  </si>
  <si>
    <t>2025-11-11 13:21</t>
  </si>
  <si>
    <t>2025-11-11 13:26</t>
  </si>
  <si>
    <t>2025-11-11 13:30</t>
  </si>
  <si>
    <t>2025-09-11 07:52</t>
  </si>
  <si>
    <t>2025-09-14 15:59</t>
  </si>
  <si>
    <t>2025-09-04 08:25</t>
  </si>
  <si>
    <t>2025-09-14 16:00</t>
  </si>
  <si>
    <t>2025-09-14 16:07</t>
  </si>
  <si>
    <t>2025-09-14 16:14</t>
  </si>
  <si>
    <t>2025-09-14 16:20</t>
  </si>
  <si>
    <t>2025-09-14 16:27</t>
  </si>
  <si>
    <t>2025-09-14 16:39</t>
  </si>
  <si>
    <t>2025-09-14 16:52</t>
  </si>
  <si>
    <t>2025-09-14 17:19</t>
  </si>
  <si>
    <t>2025-09-14 17:59</t>
  </si>
  <si>
    <t>2025-09-15 10:16</t>
  </si>
  <si>
    <t>2025-10-18 12:32</t>
  </si>
  <si>
    <t>2025-10-18 12:38</t>
  </si>
  <si>
    <t>2025-10-18 13:12</t>
  </si>
  <si>
    <t>2025-10-18 13:33</t>
  </si>
  <si>
    <t>2025-10-18 14:17</t>
  </si>
  <si>
    <t>2025-11-11 13:01</t>
  </si>
  <si>
    <t>2025-11-11 14:07</t>
  </si>
  <si>
    <t>2025-11-11 14:12</t>
  </si>
  <si>
    <t>2025-11-21 21:44</t>
  </si>
  <si>
    <t>2025-11-21 21:51</t>
  </si>
  <si>
    <t>2025-11-21 21:52</t>
  </si>
  <si>
    <t>2025-11-21 21:56</t>
  </si>
  <si>
    <t>2025-11-21 21:58</t>
  </si>
  <si>
    <t>2025-11-21 22:02</t>
  </si>
  <si>
    <t>2025-11-21 22:05</t>
  </si>
  <si>
    <t>2025-11-21 22:08</t>
  </si>
  <si>
    <t>2025-11-21 22:10</t>
  </si>
  <si>
    <t>2025-11-21 22:14</t>
  </si>
  <si>
    <t>2025-11-21 22:15</t>
  </si>
  <si>
    <t>2025-11-21 22:19</t>
  </si>
  <si>
    <t>2026-01-09 19:30</t>
  </si>
  <si>
    <t>2026-01-15 19:34</t>
  </si>
  <si>
    <t>2025-09-11 07:46</t>
  </si>
  <si>
    <t>2025-09-11 08:24</t>
  </si>
  <si>
    <t>2025-09-11 08:27</t>
  </si>
  <si>
    <t>2025-09-18 07:59</t>
  </si>
  <si>
    <t>2025-09-28 09:59</t>
  </si>
  <si>
    <t>2025-09-28 10:00</t>
  </si>
  <si>
    <t>2025-09-28 10:06</t>
  </si>
  <si>
    <t>2025-10-17 20:03</t>
  </si>
  <si>
    <t>2025-10-08 13:26</t>
  </si>
  <si>
    <t>2025-10-08 13:30</t>
  </si>
  <si>
    <t>2025-10-08 13:31</t>
  </si>
  <si>
    <t>2025-10-08 13:35</t>
  </si>
  <si>
    <t>2026-01-15 17:34</t>
  </si>
  <si>
    <t>2025-09-27 17:36</t>
  </si>
  <si>
    <t>2025-09-28 09:57</t>
  </si>
  <si>
    <t>2025-10-09 08:11</t>
  </si>
  <si>
    <t>2025-10-23 08:12</t>
  </si>
  <si>
    <t>2025-10-23 08:17</t>
  </si>
  <si>
    <t>2025-10-23 08:18</t>
  </si>
  <si>
    <t>2025-10-23 08:23</t>
  </si>
  <si>
    <t>2025-11-03 09:46</t>
  </si>
  <si>
    <t>2025-11-03 09:52</t>
  </si>
  <si>
    <t>2025-11-03 09:54</t>
  </si>
  <si>
    <t>2025-11-03 09:58</t>
  </si>
  <si>
    <t>2025-11-03 10:02</t>
  </si>
  <si>
    <t>2025-11-03 10:06</t>
  </si>
  <si>
    <t>2026-01-06 22:17</t>
  </si>
  <si>
    <t>2026-01-15 17:53</t>
  </si>
  <si>
    <t>2025-09-14 15:39</t>
  </si>
  <si>
    <t>2025-09-14 15:56</t>
  </si>
  <si>
    <t>2025-09-14 15:57</t>
  </si>
  <si>
    <t>2025-09-14 15:58</t>
  </si>
  <si>
    <t>2025-10-29 15:31</t>
  </si>
  <si>
    <t>2025-10-29 15:32</t>
  </si>
  <si>
    <t>2025-10-29 15:38</t>
  </si>
  <si>
    <t>2025-11-19 23:15</t>
  </si>
  <si>
    <t>2025-11-20 13:03</t>
  </si>
  <si>
    <t>2025-11-20 13:05</t>
  </si>
  <si>
    <t>2025-11-20 13:09</t>
  </si>
  <si>
    <t>2025-11-20 13:16</t>
  </si>
  <si>
    <t>2025-11-20 13:19</t>
  </si>
  <si>
    <t>2025-11-20 13:25</t>
  </si>
  <si>
    <t>2025-11-20 13:30</t>
  </si>
  <si>
    <t>2025-11-20 13:32</t>
  </si>
  <si>
    <t>2025-11-20 13:37</t>
  </si>
  <si>
    <t>2025-11-20 13:39</t>
  </si>
  <si>
    <t>2025-11-20 13:44</t>
  </si>
  <si>
    <t>2025-11-20 13:46</t>
  </si>
  <si>
    <t>2025-11-20 13:52</t>
  </si>
  <si>
    <t>2025-11-20 13:53</t>
  </si>
  <si>
    <t>2025-11-20 13:57</t>
  </si>
  <si>
    <t>2025-11-20 13:58</t>
  </si>
  <si>
    <t>2025-11-20 14:01</t>
  </si>
  <si>
    <t>2025-11-20 14:03</t>
  </si>
  <si>
    <t>2025-11-20 14:06</t>
  </si>
  <si>
    <t>2025-11-20 14:12</t>
  </si>
  <si>
    <t>2025-11-20 14:16</t>
  </si>
  <si>
    <t>2025-11-20 14:17</t>
  </si>
  <si>
    <t>2025-11-20 14:21</t>
  </si>
  <si>
    <t>2026-01-09 20:08</t>
  </si>
  <si>
    <t>2025-09-04 08:06</t>
  </si>
  <si>
    <t>2025-09-04 08:07</t>
  </si>
  <si>
    <t>2025-09-19 16:53</t>
  </si>
  <si>
    <t>2025-09-19 16:54</t>
  </si>
  <si>
    <t>2025-09-19 17:01</t>
  </si>
  <si>
    <t>2025-09-19 17:02</t>
  </si>
  <si>
    <t>2025-09-25 16:30</t>
  </si>
  <si>
    <t>2025-10-04 12:17</t>
  </si>
  <si>
    <t>2025-10-04 12:19</t>
  </si>
  <si>
    <t>2025-10-04 12:21</t>
  </si>
  <si>
    <t>2025-10-04 12:24</t>
  </si>
  <si>
    <t>2025-10-04 12:25</t>
  </si>
  <si>
    <t>2025-10-04 12:28</t>
  </si>
  <si>
    <t>2025-10-04 12:29</t>
  </si>
  <si>
    <t>2025-10-04 12:31</t>
  </si>
  <si>
    <t>2025-10-04 12:32</t>
  </si>
  <si>
    <t>2025-10-04 12:35</t>
  </si>
  <si>
    <t>2025-10-04 12:38</t>
  </si>
  <si>
    <t>2025-10-04 12:41</t>
  </si>
  <si>
    <t>2025-10-04 12:45</t>
  </si>
  <si>
    <t>2025-10-04 13:37</t>
  </si>
  <si>
    <t>2025-10-19 22:06</t>
  </si>
  <si>
    <t>2025-10-04 13:40</t>
  </si>
  <si>
    <t>2025-10-04 13:43</t>
  </si>
  <si>
    <t>2025-10-04 13:44</t>
  </si>
  <si>
    <t>2025-10-04 13:46</t>
  </si>
  <si>
    <t>2025-10-04 13:47</t>
  </si>
  <si>
    <t>2025-10-04 13:49</t>
  </si>
  <si>
    <t>2025-10-04 13:50</t>
  </si>
  <si>
    <t>2025-10-04 13:52</t>
  </si>
  <si>
    <t>2026-01-01 11:04</t>
  </si>
  <si>
    <t>2025-09-10 10:18</t>
  </si>
  <si>
    <t>2025-09-10 10:58</t>
  </si>
  <si>
    <t>2025-09-10 11:35</t>
  </si>
  <si>
    <t>2025-09-11 07:54</t>
  </si>
  <si>
    <t>2025-09-23 16:14</t>
  </si>
  <si>
    <t>2025-09-23 16:19</t>
  </si>
  <si>
    <t>2025-09-23 16:26</t>
  </si>
  <si>
    <t>2025-09-23 16:31</t>
  </si>
  <si>
    <t>2025-09-23 16:33</t>
  </si>
  <si>
    <t>2025-09-23 16:37</t>
  </si>
  <si>
    <t>2025-09-28 10:04</t>
  </si>
  <si>
    <t>2025-10-09 08:34</t>
  </si>
  <si>
    <t>2025-10-22 10:07</t>
  </si>
  <si>
    <t>2025-10-22 11:21</t>
  </si>
  <si>
    <t>2025-10-22 11:30</t>
  </si>
  <si>
    <t>2025-10-22 11:34</t>
  </si>
  <si>
    <t>2025-10-23 08:04</t>
  </si>
  <si>
    <t>2025-10-23 08:05</t>
  </si>
  <si>
    <t>2025-09-25 08:10</t>
  </si>
  <si>
    <t>2025-09-28 13:43</t>
  </si>
  <si>
    <t>2025-09-28 13:45</t>
  </si>
  <si>
    <t>2025-09-28 13:46</t>
  </si>
  <si>
    <t>2025-09-28 13:50</t>
  </si>
  <si>
    <t>2025-09-28 13:51</t>
  </si>
  <si>
    <t>2025-09-28 13:55</t>
  </si>
  <si>
    <t>2025-09-28 13:57</t>
  </si>
  <si>
    <t>2025-09-28 14:05</t>
  </si>
  <si>
    <t>2025-09-28 14:13</t>
  </si>
  <si>
    <t>2025-09-28 14:17</t>
  </si>
  <si>
    <t>2025-09-28 14:22</t>
  </si>
  <si>
    <t>2025-09-28 14:25</t>
  </si>
  <si>
    <t>2025-09-28 14:29</t>
  </si>
  <si>
    <t>2025-09-28 14:30</t>
  </si>
  <si>
    <t>2025-09-28 14:33</t>
  </si>
  <si>
    <t>2025-09-28 14:36</t>
  </si>
  <si>
    <t>2025-09-28 14:40</t>
  </si>
  <si>
    <t>2025-09-28 14:51</t>
  </si>
  <si>
    <t>2025-09-28 14:55</t>
  </si>
  <si>
    <t>2025-09-28 14:59</t>
  </si>
  <si>
    <t>2025-09-28 15:03</t>
  </si>
  <si>
    <t>2025-09-28 15:05</t>
  </si>
  <si>
    <t>2025-11-19 17:57</t>
  </si>
  <si>
    <t>2025-09-28 15:14</t>
  </si>
  <si>
    <t>2025-09-28 15:17</t>
  </si>
  <si>
    <t>2025-09-28 15:23</t>
  </si>
  <si>
    <t>2025-09-28 15:26</t>
  </si>
  <si>
    <t>2025-09-28 15:27</t>
  </si>
  <si>
    <t>2025-09-28 15:30</t>
  </si>
  <si>
    <t>2025-09-28 15:31</t>
  </si>
  <si>
    <t>2025-09-28 15:34</t>
  </si>
  <si>
    <t>2026-01-01 12:00</t>
  </si>
  <si>
    <t>2026-01-15 17:43</t>
  </si>
  <si>
    <t>2025-09-28 10:11</t>
  </si>
  <si>
    <t>2025-09-28 10:44</t>
  </si>
  <si>
    <t>2025-11-20 11:53</t>
  </si>
  <si>
    <t>2025-11-20 11:56</t>
  </si>
  <si>
    <t>2025-11-20 11:57</t>
  </si>
  <si>
    <t>2025-11-20 12:01</t>
  </si>
  <si>
    <t>2025-11-20 12:09</t>
  </si>
  <si>
    <t>2025-11-20 12:11</t>
  </si>
  <si>
    <t>2025-11-20 12:12</t>
  </si>
  <si>
    <t>2025-11-20 12:19</t>
  </si>
  <si>
    <t>2025-11-20 12:25</t>
  </si>
  <si>
    <t>2025-11-20 12:26</t>
  </si>
  <si>
    <t>2025-11-20 12:28</t>
  </si>
  <si>
    <t>2025-09-27 17:21</t>
  </si>
  <si>
    <t>2025-09-27 17:26</t>
  </si>
  <si>
    <t>2025-09-27 18:08</t>
  </si>
  <si>
    <t>2025-09-27 18:23</t>
  </si>
  <si>
    <t>2025-09-27 18:49</t>
  </si>
  <si>
    <t>2025-09-27 21:02</t>
  </si>
  <si>
    <t>2025-09-27 21:03</t>
  </si>
  <si>
    <t>2025-09-27 21:13</t>
  </si>
  <si>
    <t>2025-09-27 21:17</t>
  </si>
  <si>
    <t>2025-09-27 21:21</t>
  </si>
  <si>
    <t>2025-09-27 21:22</t>
  </si>
  <si>
    <t>2025-09-27 21:29</t>
  </si>
  <si>
    <t>2025-09-27 21:40</t>
  </si>
  <si>
    <t>2025-09-27 21:46</t>
  </si>
  <si>
    <t>2025-09-27 22:04</t>
  </si>
  <si>
    <t>2025-09-27 22:23</t>
  </si>
  <si>
    <t>2025-09-27 22:24</t>
  </si>
  <si>
    <t>2025-09-27 22:30</t>
  </si>
  <si>
    <t>2025-09-27 22:42</t>
  </si>
  <si>
    <t>2025-09-27 23:15</t>
  </si>
  <si>
    <t>2025-09-27 23:21</t>
  </si>
  <si>
    <t>2025-09-27 23:22</t>
  </si>
  <si>
    <t>2025-09-27 23:28</t>
  </si>
  <si>
    <t>2025-09-27 23:32</t>
  </si>
  <si>
    <t>2025-09-27 23:49</t>
  </si>
  <si>
    <t>2025-09-27 23:36</t>
  </si>
  <si>
    <t>2025-09-27 23:50</t>
  </si>
  <si>
    <t>2025-09-27 23:54</t>
  </si>
  <si>
    <t>2025-09-27 23:56</t>
  </si>
  <si>
    <t>2025-09-28 00:00</t>
  </si>
  <si>
    <t>2025-09-11 08:02</t>
  </si>
  <si>
    <t>2025-09-11 08:03</t>
  </si>
  <si>
    <t>2025-09-11 08:20</t>
  </si>
  <si>
    <t>2025-09-12 22:41</t>
  </si>
  <si>
    <t>2025-09-27 17:25</t>
  </si>
  <si>
    <t>2025-09-27 17:44</t>
  </si>
  <si>
    <t>2025-09-29 10:38</t>
  </si>
  <si>
    <t>2025-09-29 10:59</t>
  </si>
  <si>
    <t>2025-09-29 11:10</t>
  </si>
  <si>
    <t>2025-09-29 11:17</t>
  </si>
  <si>
    <t>2025-09-29 11:23</t>
  </si>
  <si>
    <t>2025-09-29 11:24</t>
  </si>
  <si>
    <t>2025-09-29 11:29</t>
  </si>
  <si>
    <t>2025-09-29 11:30</t>
  </si>
  <si>
    <t>2025-09-29 11:36</t>
  </si>
  <si>
    <t>2025-09-29 11:40</t>
  </si>
  <si>
    <t>2025-10-05 12:50</t>
  </si>
  <si>
    <t>2025-10-05 12:52</t>
  </si>
  <si>
    <t>2025-10-05 12:55</t>
  </si>
  <si>
    <t>2025-10-05 12:56</t>
  </si>
  <si>
    <t>2025-10-19 21:46</t>
  </si>
  <si>
    <t>2025-10-05 12:59</t>
  </si>
  <si>
    <t>2025-10-05 13:01</t>
  </si>
  <si>
    <t>2025-10-05 13:03</t>
  </si>
  <si>
    <t>2025-10-05 13:05</t>
  </si>
  <si>
    <t>2025-10-05 13:08</t>
  </si>
  <si>
    <t>2025-10-05 13:09</t>
  </si>
  <si>
    <t>2025-10-05 13:12</t>
  </si>
  <si>
    <t>2026-01-05 15:15</t>
  </si>
  <si>
    <t>2026-01-15 17:52</t>
  </si>
  <si>
    <t>2025-09-15 10:03</t>
  </si>
  <si>
    <t>2025-09-15 10:13</t>
  </si>
  <si>
    <t>2025-09-15 10:18</t>
  </si>
  <si>
    <t>2025-11-26 19:44</t>
  </si>
  <si>
    <t>2025-11-26 19:45</t>
  </si>
  <si>
    <t>2025-11-26 19:57</t>
  </si>
  <si>
    <t>2025-11-27 08:49</t>
  </si>
  <si>
    <t>2025-11-27 08:54</t>
  </si>
  <si>
    <t>2025-11-27 09:02</t>
  </si>
  <si>
    <t>2025-11-27 09:41</t>
  </si>
  <si>
    <t>2025-11-27 09:42</t>
  </si>
  <si>
    <t>2025-11-27 09:50</t>
  </si>
  <si>
    <t>2025-11-27 10:00</t>
  </si>
  <si>
    <t>2025-11-27 10:01</t>
  </si>
  <si>
    <t>2025-11-27 15:14</t>
  </si>
  <si>
    <t>2025-11-27 15:21</t>
  </si>
  <si>
    <t>2025-11-29 08:57</t>
  </si>
  <si>
    <t>2025-11-29 09:01</t>
  </si>
  <si>
    <t>2025-11-29 09:06</t>
  </si>
  <si>
    <t>2025-11-29 09:11</t>
  </si>
  <si>
    <t>2025-11-29 09:12</t>
  </si>
  <si>
    <t>2025-11-29 09:15</t>
  </si>
  <si>
    <t>2025-11-29 09:16</t>
  </si>
  <si>
    <t>2025-11-29 09:22</t>
  </si>
  <si>
    <t>2025-11-29 09:28</t>
  </si>
  <si>
    <t>2026-01-15 18:03</t>
  </si>
  <si>
    <t>2025-09-04 08:15</t>
  </si>
  <si>
    <t>2025-09-04 08:33</t>
  </si>
  <si>
    <t>2025-09-25 08:26</t>
  </si>
  <si>
    <t>2025-09-25 08:35</t>
  </si>
  <si>
    <t>2025-09-28 10:05</t>
  </si>
  <si>
    <t>2025-10-09 08:00</t>
  </si>
  <si>
    <t>2025-10-09 08:57</t>
  </si>
  <si>
    <t>2025-10-09 09:17</t>
  </si>
  <si>
    <t>2025-10-09 09:22</t>
  </si>
  <si>
    <t>2025-10-13 10:36</t>
  </si>
  <si>
    <t>2025-10-13 10:44</t>
  </si>
  <si>
    <t>2025-10-16 07:59</t>
  </si>
  <si>
    <t>2025-10-13 10:49</t>
  </si>
  <si>
    <t>2025-10-13 10:54</t>
  </si>
  <si>
    <t>2025-10-16 08:03</t>
  </si>
  <si>
    <t>2025-10-16 08:05</t>
  </si>
  <si>
    <t>2025-10-16 08:09</t>
  </si>
  <si>
    <t>2025-10-16 08:14</t>
  </si>
  <si>
    <t>2025-09-04 09:02</t>
  </si>
  <si>
    <t>2025-09-07 20:09</t>
  </si>
  <si>
    <t>2025-09-07 20:11</t>
  </si>
  <si>
    <t>2025-09-04 09:19</t>
  </si>
  <si>
    <t>2025-09-07 20:20</t>
  </si>
  <si>
    <t>2025-09-10 11:20</t>
  </si>
  <si>
    <t>2025-09-28 11:27</t>
  </si>
  <si>
    <t>2025-09-28 11:40</t>
  </si>
  <si>
    <t>2025-09-28 11:44</t>
  </si>
  <si>
    <t>2025-09-28 11:45</t>
  </si>
  <si>
    <t>2025-09-28 11:48</t>
  </si>
  <si>
    <t>2025-09-28 11:53</t>
  </si>
  <si>
    <t>2025-11-01 18:35</t>
  </si>
  <si>
    <t>2025-11-01 18:39</t>
  </si>
  <si>
    <t>2025-11-01 18:55</t>
  </si>
  <si>
    <t>2025-11-01 18:58</t>
  </si>
  <si>
    <t>2025-11-01 18:59</t>
  </si>
  <si>
    <t>2025-11-01 19:02</t>
  </si>
  <si>
    <t>2025-11-01 19:03</t>
  </si>
  <si>
    <t>2025-11-01 19:06</t>
  </si>
  <si>
    <t>2025-11-06 10:06</t>
  </si>
  <si>
    <t>2025-11-06 10:10</t>
  </si>
  <si>
    <t>2025-11-06 10:12</t>
  </si>
  <si>
    <t>2025-11-06 10:14</t>
  </si>
  <si>
    <t>2025-11-06 10:15</t>
  </si>
  <si>
    <t>2025-11-06 10:17</t>
  </si>
  <si>
    <t>2025-11-06 10:18</t>
  </si>
  <si>
    <t>2025-11-06 10:21</t>
  </si>
  <si>
    <t>2025-11-06 10:24</t>
  </si>
  <si>
    <t>2026-01-01 17:56</t>
  </si>
  <si>
    <t>音视频观看详情</t>
  </si>
  <si>
    <t>1c029654795cf1e1be5da6ed5ee4cfac.mp4(4.9分钟)</t>
  </si>
  <si>
    <t>第一章 移动应用开发技术体系1.mp4(6.1分钟)</t>
  </si>
  <si>
    <t>第一章 移动应用开发技术体系2.mp4(5.6分钟)</t>
  </si>
  <si>
    <t>第二章 原生开发基础1.mp4(11.5分钟)</t>
  </si>
  <si>
    <t>第二章 原生开发基础2.mp4(4.2分钟)</t>
  </si>
  <si>
    <t>第三章 混合开发技术1.mp4(6.1分钟)</t>
  </si>
  <si>
    <t>第三章 混合开发技术2.mp4(5.0分钟)</t>
  </si>
  <si>
    <t>第三章 混合开发技术3.mp4(4.6分钟)</t>
  </si>
  <si>
    <t>第四章 小程序开发1.mp4(5.2分钟)</t>
  </si>
  <si>
    <t>第四章 小程序开发2.mp4(5.7分钟)</t>
  </si>
  <si>
    <t>第五章 华为多端应用开发1.mp4(6.6分钟)</t>
  </si>
  <si>
    <t>第五章 华为多端应用开发2(1).mp4(4.4分钟)</t>
  </si>
  <si>
    <t>第五章 华为多端应用开发3.mp4(3.5分钟)</t>
  </si>
  <si>
    <t>第六章 综合开发实践1.mp4(3.4分钟)</t>
  </si>
  <si>
    <t>第六章 综合开发实践2.mp4(3.9分钟)</t>
  </si>
  <si>
    <t>第六章 综合开发实践3.mp4(4.1分钟)</t>
  </si>
  <si>
    <t>开始时间</t>
  </si>
  <si>
    <t>结束时间</t>
  </si>
  <si>
    <t>反刍比</t>
  </si>
  <si>
    <t>观看时长</t>
  </si>
  <si>
    <t>2025-09-12 21:40</t>
  </si>
  <si>
    <t>2025-09-12 21:51</t>
  </si>
  <si>
    <t>7.8分钟</t>
  </si>
  <si>
    <t>2025-09-12 23:20</t>
  </si>
  <si>
    <t>6.1分钟</t>
  </si>
  <si>
    <t>2025-09-12 23:27</t>
  </si>
  <si>
    <t>2025-09-12 23:32</t>
  </si>
  <si>
    <t>5.6分钟</t>
  </si>
  <si>
    <t>2025-09-27 17:31</t>
  </si>
  <si>
    <t>11.5分钟</t>
  </si>
  <si>
    <t>2025-09-27 17:48</t>
  </si>
  <si>
    <t>4.2分钟</t>
  </si>
  <si>
    <t>2025-09-27 17:59</t>
  </si>
  <si>
    <t>2025-09-27 18:01</t>
  </si>
  <si>
    <t>5.0分钟</t>
  </si>
  <si>
    <t>2025-09-27 18:07</t>
  </si>
  <si>
    <t>2025-09-27 18:11</t>
  </si>
  <si>
    <t>4.6分钟</t>
  </si>
  <si>
    <t>2025-09-27 18:15</t>
  </si>
  <si>
    <t>2025-09-27 18:20</t>
  </si>
  <si>
    <t>5.2分钟</t>
  </si>
  <si>
    <t>2025-10-25 20:40</t>
  </si>
  <si>
    <t>2025-10-25 20:46</t>
  </si>
  <si>
    <t>2025-10-25 20:52</t>
  </si>
  <si>
    <t>6.5分钟</t>
  </si>
  <si>
    <t>2025-10-25 21:32</t>
  </si>
  <si>
    <t>2025-10-25 21:36</t>
  </si>
  <si>
    <t>4.4分钟</t>
  </si>
  <si>
    <t>2025-10-25 21:49</t>
  </si>
  <si>
    <t>2025-10-25 21:52</t>
  </si>
  <si>
    <t>3.5分钟</t>
  </si>
  <si>
    <t>2026-01-01 23:42</t>
  </si>
  <si>
    <t>2026-01-01 23:47</t>
  </si>
  <si>
    <t>4.8分钟</t>
  </si>
  <si>
    <t>2026-01-01 23:53</t>
  </si>
  <si>
    <t>4.1分钟</t>
  </si>
  <si>
    <t>2025-09-07 20:46</t>
  </si>
  <si>
    <t>2025-09-07 20:51</t>
  </si>
  <si>
    <t>5.9分钟</t>
  </si>
  <si>
    <t>2025-09-07 20:53</t>
  </si>
  <si>
    <t>2025-09-07 20:59</t>
  </si>
  <si>
    <t>7.0分钟</t>
  </si>
  <si>
    <t>2025-09-09 09:10</t>
  </si>
  <si>
    <t>2025-09-09 09:15</t>
  </si>
  <si>
    <t>11.4分钟</t>
  </si>
  <si>
    <t>2025-09-13 16:47</t>
  </si>
  <si>
    <t>10.5分钟</t>
  </si>
  <si>
    <t>2025-09-18 07:58</t>
  </si>
  <si>
    <t>10.2分钟</t>
  </si>
  <si>
    <t>5.1分钟</t>
  </si>
  <si>
    <t>3.4分钟</t>
  </si>
  <si>
    <t>2025-10-23 08:14</t>
  </si>
  <si>
    <t>4.0分钟</t>
  </si>
  <si>
    <t>2025-10-23 08:16</t>
  </si>
  <si>
    <t>3.9分钟</t>
  </si>
  <si>
    <t>2025-09-18 08:50</t>
  </si>
  <si>
    <t>3.2分钟</t>
  </si>
  <si>
    <t>2025-09-18 08:55</t>
  </si>
  <si>
    <t>3.8分钟</t>
  </si>
  <si>
    <t>2025-09-22 10:06</t>
  </si>
  <si>
    <t>2025-09-22 10:16</t>
  </si>
  <si>
    <t>12.5分钟</t>
  </si>
  <si>
    <t>2025-09-22 10:23</t>
  </si>
  <si>
    <t>2025-09-22 10:27</t>
  </si>
  <si>
    <t>2025-09-22 10:30</t>
  </si>
  <si>
    <t>2025-09-22 10:36</t>
  </si>
  <si>
    <t>2025-09-22 10:40</t>
  </si>
  <si>
    <t>2025-09-22 10:45</t>
  </si>
  <si>
    <t>2025-10-04 19:05</t>
  </si>
  <si>
    <t>2025-10-04 19:10</t>
  </si>
  <si>
    <t>2025-10-04 19:59</t>
  </si>
  <si>
    <t>2025-10-04 20:05</t>
  </si>
  <si>
    <t>2025-10-04 20:17</t>
  </si>
  <si>
    <t>2025-10-04 20:22</t>
  </si>
  <si>
    <t>5.7分钟</t>
  </si>
  <si>
    <t>2025-10-04 20:28</t>
  </si>
  <si>
    <t>2025-10-04 20:31</t>
  </si>
  <si>
    <t>3.3分钟</t>
  </si>
  <si>
    <t>2025-10-04 20:58</t>
  </si>
  <si>
    <t>1.8分钟</t>
  </si>
  <si>
    <t>1.7分钟</t>
  </si>
  <si>
    <t>2025-10-04 21:18</t>
  </si>
  <si>
    <t>1.9分钟</t>
  </si>
  <si>
    <t>2025-10-04 21:21</t>
  </si>
  <si>
    <t>2025-10-04 21:23</t>
  </si>
  <si>
    <t>2.0分钟</t>
  </si>
  <si>
    <t>2025-09-05 08:38</t>
  </si>
  <si>
    <t>4.7分钟</t>
  </si>
  <si>
    <t>2025-09-05 14:57</t>
  </si>
  <si>
    <t>2025-09-05 15:20</t>
  </si>
  <si>
    <t>5.8分钟</t>
  </si>
  <si>
    <t>2025-09-05 15:38</t>
  </si>
  <si>
    <t>2025-09-05 15:42</t>
  </si>
  <si>
    <t>2025-09-11 08:09</t>
  </si>
  <si>
    <t>2025-09-11 08:19</t>
  </si>
  <si>
    <t>6.7分钟</t>
  </si>
  <si>
    <t>2025-09-13 09:01</t>
  </si>
  <si>
    <t>2025-09-13 09:04</t>
  </si>
  <si>
    <t>2.8分钟</t>
  </si>
  <si>
    <t>2025-09-13 09:07</t>
  </si>
  <si>
    <t>2025-09-13 09:10</t>
  </si>
  <si>
    <t>3.0分钟</t>
  </si>
  <si>
    <t>2025-09-18 08:39</t>
  </si>
  <si>
    <t>6.2分钟</t>
  </si>
  <si>
    <t>2025-09-18 08:48</t>
  </si>
  <si>
    <t>2025-09-18 08:52</t>
  </si>
  <si>
    <t>2025-09-18 09:00</t>
  </si>
  <si>
    <t>2025-09-18 09:05</t>
  </si>
  <si>
    <t>2025-09-18 09:28</t>
  </si>
  <si>
    <t>2025-09-18 09:33</t>
  </si>
  <si>
    <t>2025-09-24 10:51</t>
  </si>
  <si>
    <t>6.6分钟</t>
  </si>
  <si>
    <t>2025-10-13 20:59</t>
  </si>
  <si>
    <t>2025-10-13 21:04</t>
  </si>
  <si>
    <t>2025-09-25 08:31</t>
  </si>
  <si>
    <t>2025-09-25 08:40</t>
  </si>
  <si>
    <t>2025-09-25 08:44</t>
  </si>
  <si>
    <t>2025-09-25 08:52</t>
  </si>
  <si>
    <t>2025-09-25 09:03</t>
  </si>
  <si>
    <t>4.9分钟</t>
  </si>
  <si>
    <t>2025-09-25 09:05</t>
  </si>
  <si>
    <t>2025-09-25 09:10</t>
  </si>
  <si>
    <t>2025-09-09 22:15</t>
  </si>
  <si>
    <t>2025-09-09 22:19</t>
  </si>
  <si>
    <t>3.7分钟</t>
  </si>
  <si>
    <t>2025-09-04 09:04</t>
  </si>
  <si>
    <t>11.1分钟</t>
  </si>
  <si>
    <t>2025-09-04 09:21</t>
  </si>
  <si>
    <t>2025-09-04 09:26</t>
  </si>
  <si>
    <t>12.1分钟</t>
  </si>
  <si>
    <t>2025-09-27 17:41</t>
  </si>
  <si>
    <t>20.4分钟</t>
  </si>
  <si>
    <t>2025-09-27 18:03</t>
  </si>
  <si>
    <t>2.2分钟</t>
  </si>
  <si>
    <t>2025-10-08 18:47</t>
  </si>
  <si>
    <t>2025-10-13 10:42</t>
  </si>
  <si>
    <t>2025-10-13 10:56</t>
  </si>
  <si>
    <t>2025-10-13 11:00</t>
  </si>
  <si>
    <t>2025-10-14 17:10</t>
  </si>
  <si>
    <t>2025-10-14 17:14</t>
  </si>
  <si>
    <t>2025-10-20 10:05</t>
  </si>
  <si>
    <t>7.7分钟</t>
  </si>
  <si>
    <t>6.0分钟</t>
  </si>
  <si>
    <t>2025-10-23 08:25</t>
  </si>
  <si>
    <t>2025-10-23 08:29</t>
  </si>
  <si>
    <t>2025-10-23 08:38</t>
  </si>
  <si>
    <t>2025-09-04 08:14</t>
  </si>
  <si>
    <t>2.5分钟</t>
  </si>
  <si>
    <t>3.1分钟</t>
  </si>
  <si>
    <t>2025-09-27 17:28</t>
  </si>
  <si>
    <t>12.7分钟</t>
  </si>
  <si>
    <t>4.5分钟</t>
  </si>
  <si>
    <t>2025-09-27 17:56</t>
  </si>
  <si>
    <t>2.9分钟</t>
  </si>
  <si>
    <t>2025-11-21 12:34</t>
  </si>
  <si>
    <t>2025-11-21 12:38</t>
  </si>
  <si>
    <t>2025-11-21 12:41</t>
  </si>
  <si>
    <t>2025-11-21 12:46</t>
  </si>
  <si>
    <t>2025-11-21 12:50</t>
  </si>
  <si>
    <t>2025-11-21 12:57</t>
  </si>
  <si>
    <t>7.5分钟</t>
  </si>
  <si>
    <t>2025-11-21 13:21</t>
  </si>
  <si>
    <t>2025-11-21 13:26</t>
  </si>
  <si>
    <t>2025-11-21 13:32</t>
  </si>
  <si>
    <t>2025-11-21 13:35</t>
  </si>
  <si>
    <t>2025-11-21 13:37</t>
  </si>
  <si>
    <t>2025-11-21 13:40</t>
  </si>
  <si>
    <t>2025-11-21 13:42</t>
  </si>
  <si>
    <t>2025-11-21 13:46</t>
  </si>
  <si>
    <t>2025-11-21 13:50</t>
  </si>
  <si>
    <t>2025-09-28 07:59</t>
  </si>
  <si>
    <t>8.9分钟</t>
  </si>
  <si>
    <t>2025-09-28 08:04</t>
  </si>
  <si>
    <t>2025-09-28 08:17</t>
  </si>
  <si>
    <t>2025-09-28 08:25</t>
  </si>
  <si>
    <t>9.5分钟</t>
  </si>
  <si>
    <t>2.1分钟</t>
  </si>
  <si>
    <t>2.3分钟</t>
  </si>
  <si>
    <t>2.6分钟</t>
  </si>
  <si>
    <t>2025-09-28 10:56</t>
  </si>
  <si>
    <t>2025-09-28 11:14</t>
  </si>
  <si>
    <t>2025-11-19 20:57</t>
  </si>
  <si>
    <t>2025-11-19 21:04</t>
  </si>
  <si>
    <t>2025-09-28 11:24</t>
  </si>
  <si>
    <t>2025-09-28 11:39</t>
  </si>
  <si>
    <t>2025-09-28 11:51</t>
  </si>
  <si>
    <t>15.7分钟</t>
  </si>
  <si>
    <t>6.8分钟</t>
  </si>
  <si>
    <t>2025-09-28 11:09</t>
  </si>
  <si>
    <t>2025-09-28 11:32</t>
  </si>
  <si>
    <t>2025-09-28 11:37</t>
  </si>
  <si>
    <t>2025-09-28 11:42</t>
  </si>
  <si>
    <t>2025-09-29 10:35</t>
  </si>
  <si>
    <t>2025-09-29 10:41</t>
  </si>
  <si>
    <t>6.3分钟</t>
  </si>
  <si>
    <t>2025-10-09 08:16</t>
  </si>
  <si>
    <t>7.3分钟</t>
  </si>
  <si>
    <t>2025-10-23 08:06</t>
  </si>
  <si>
    <t>2025-10-09 08:46</t>
  </si>
  <si>
    <t>2025-10-09 08:53</t>
  </si>
  <si>
    <t>2025-10-09 08:56</t>
  </si>
  <si>
    <t>2025-10-09 09:07</t>
  </si>
  <si>
    <t>2025-10-09 09:12</t>
  </si>
  <si>
    <t>4.3分钟</t>
  </si>
  <si>
    <t>2025-10-09 09:39</t>
  </si>
  <si>
    <t>5.5分钟</t>
  </si>
  <si>
    <t>2026-01-10 11:03</t>
  </si>
  <si>
    <t>2026-01-10 11:07</t>
  </si>
  <si>
    <t>2.4分钟</t>
  </si>
  <si>
    <t>2026-01-10 11:11</t>
  </si>
  <si>
    <t>2026-01-10 11:14</t>
  </si>
  <si>
    <t>2026-01-10 11:16</t>
  </si>
  <si>
    <t>2026-01-10 11:26</t>
  </si>
  <si>
    <t>2026-01-10 11:29</t>
  </si>
  <si>
    <t>2026-01-10 11:32</t>
  </si>
  <si>
    <t>2026-01-10 11:35</t>
  </si>
  <si>
    <t>2026-01-10 11:38</t>
  </si>
  <si>
    <t>2026-01-10 11:41</t>
  </si>
  <si>
    <t>2026-01-10 11:44</t>
  </si>
  <si>
    <t>2026-01-10 11:45</t>
  </si>
  <si>
    <t>2026-01-10 11:49</t>
  </si>
  <si>
    <t>2026-01-10 11:51</t>
  </si>
  <si>
    <t>2026-01-10 11:53</t>
  </si>
  <si>
    <t>2026-01-10 11:55</t>
  </si>
  <si>
    <t>2026-01-10 11:58</t>
  </si>
  <si>
    <t>2026-01-10 12:01</t>
  </si>
  <si>
    <t>9.8分钟</t>
  </si>
  <si>
    <t>2025-09-08 10:21</t>
  </si>
  <si>
    <t>2025-09-10 11:45</t>
  </si>
  <si>
    <t>6.9分钟</t>
  </si>
  <si>
    <t>2025-09-18 09:43</t>
  </si>
  <si>
    <t>2025-09-24 08:29</t>
  </si>
  <si>
    <t>2025-09-24 08:35</t>
  </si>
  <si>
    <t>2025-09-24 08:41</t>
  </si>
  <si>
    <t>2025-09-24 09:39</t>
  </si>
  <si>
    <t>2025-10-22 11:38</t>
  </si>
  <si>
    <t>2025-10-13 10:01</t>
  </si>
  <si>
    <t>2025-10-13 10:05</t>
  </si>
  <si>
    <t>2025-10-13 10:11</t>
  </si>
  <si>
    <t>2025-10-13 10:15</t>
  </si>
  <si>
    <t>2025-09-10 10:57</t>
  </si>
  <si>
    <t>2025-09-10 11:04</t>
  </si>
  <si>
    <t>2025-09-18 07:53</t>
  </si>
  <si>
    <t>2025-09-27 18:28</t>
  </si>
  <si>
    <t>2025-09-27 18:33</t>
  </si>
  <si>
    <t>2025-09-27 18:44</t>
  </si>
  <si>
    <t>2025-09-27 19:02</t>
  </si>
  <si>
    <t>16.7分钟</t>
  </si>
  <si>
    <t>2025-11-10 18:07</t>
  </si>
  <si>
    <t>2025-09-04 10:53</t>
  </si>
  <si>
    <t>2025-11-10 18:14</t>
  </si>
  <si>
    <t>2025-11-10 18:24</t>
  </si>
  <si>
    <t>2025-11-10 18:28</t>
  </si>
  <si>
    <t>2025-11-10 18:30</t>
  </si>
  <si>
    <t>2025-11-10 18:36</t>
  </si>
  <si>
    <t>2025-11-10 18:41</t>
  </si>
  <si>
    <t>2025-11-10 18:51</t>
  </si>
  <si>
    <t>2025-11-10 19:00</t>
  </si>
  <si>
    <t>2025-11-10 19:04</t>
  </si>
  <si>
    <t>5.4分钟</t>
  </si>
  <si>
    <t>2025-11-10 19:06</t>
  </si>
  <si>
    <t>2025-11-10 19:09</t>
  </si>
  <si>
    <t>2025-11-10 19:18</t>
  </si>
  <si>
    <t>2025-11-10 19:33</t>
  </si>
  <si>
    <t>2025-11-10 19:38</t>
  </si>
  <si>
    <t>2025-11-10 19:42</t>
  </si>
  <si>
    <t>2025-11-10 19:45</t>
  </si>
  <si>
    <t>2025-11-10 19:49</t>
  </si>
  <si>
    <t>3.6分钟</t>
  </si>
  <si>
    <t>2025-09-18 08:17</t>
  </si>
  <si>
    <t>2025-09-18 08:32</t>
  </si>
  <si>
    <t>2025-09-28 10:16</t>
  </si>
  <si>
    <t>2025-11-03 12:25</t>
  </si>
  <si>
    <t>2025-11-03 12:27</t>
  </si>
  <si>
    <t>2025-09-29 10:48</t>
  </si>
  <si>
    <t>2025-09-29 10:50</t>
  </si>
  <si>
    <t>2025-09-29 11:04</t>
  </si>
  <si>
    <t>2025-09-29 11:06</t>
  </si>
  <si>
    <t>11.6分钟</t>
  </si>
  <si>
    <t>2025-09-24 10:09</t>
  </si>
  <si>
    <t>2025-09-24 10:16</t>
  </si>
  <si>
    <t>7.1分钟</t>
  </si>
  <si>
    <t>2025-09-25 08:23</t>
  </si>
  <si>
    <t>2025-10-22 10:06</t>
  </si>
  <si>
    <t>2025-10-22 10:10</t>
  </si>
  <si>
    <t>2025-10-22 10:31</t>
  </si>
  <si>
    <t>2025-10-22 10:36</t>
  </si>
  <si>
    <t>2025-10-22 11:22</t>
  </si>
  <si>
    <t>2025-10-22 11:25</t>
  </si>
  <si>
    <t>2025-09-10 10:07</t>
  </si>
  <si>
    <t>2025-09-11 07:56</t>
  </si>
  <si>
    <t>2025-09-11 08:01</t>
  </si>
  <si>
    <t>10.0分钟</t>
  </si>
  <si>
    <t>2025-11-10 22:25</t>
  </si>
  <si>
    <t>2025-11-10 22:28</t>
  </si>
  <si>
    <t>2025-11-10 22:30</t>
  </si>
  <si>
    <t>2025-11-10 22:33</t>
  </si>
  <si>
    <t>2025-11-10 22:41</t>
  </si>
  <si>
    <t>2025-11-10 22:43</t>
  </si>
  <si>
    <t>2025-11-10 22:47</t>
  </si>
  <si>
    <t>2025-11-10 22:49</t>
  </si>
  <si>
    <t>2025-11-10 22:57</t>
  </si>
  <si>
    <t>2025-11-10 23:01</t>
  </si>
  <si>
    <t>2025-11-10 23:05</t>
  </si>
  <si>
    <t>2025-11-10 23:08</t>
  </si>
  <si>
    <t>2025-11-10 23:11</t>
  </si>
  <si>
    <t>2025-11-10 23:13</t>
  </si>
  <si>
    <t>2025-11-10 23:17</t>
  </si>
  <si>
    <t>2025-11-10 23:19</t>
  </si>
  <si>
    <t>2025-11-10 23:22</t>
  </si>
  <si>
    <t>2025-11-10 23:25</t>
  </si>
  <si>
    <t>2025-11-10 23:27</t>
  </si>
  <si>
    <t>2025-09-12 20:03</t>
  </si>
  <si>
    <t>8.0分钟</t>
  </si>
  <si>
    <t>2025-09-12 20:07</t>
  </si>
  <si>
    <t>2025-09-27 19:22</t>
  </si>
  <si>
    <t>2025-09-27 19:24</t>
  </si>
  <si>
    <t>2025-09-27 19:27</t>
  </si>
  <si>
    <t>2025-09-27 19:33</t>
  </si>
  <si>
    <t>2025-09-27 19:35</t>
  </si>
  <si>
    <t>2025-09-27 19:47</t>
  </si>
  <si>
    <t>2025-09-27 19:52</t>
  </si>
  <si>
    <t>2025-10-16 08:48</t>
  </si>
  <si>
    <t>2025-10-16 08:50</t>
  </si>
  <si>
    <t>2025-10-09 08:31</t>
  </si>
  <si>
    <t>2025-09-10 10:48</t>
  </si>
  <si>
    <t>2025-09-11 07:59</t>
  </si>
  <si>
    <t>2025-09-11 08:05</t>
  </si>
  <si>
    <t>8.1分钟</t>
  </si>
  <si>
    <t>2025-09-27 17:18</t>
  </si>
  <si>
    <t>2025-09-27 17:24</t>
  </si>
  <si>
    <t>2025-10-09 08:37</t>
  </si>
  <si>
    <t>2025-10-09 08:41</t>
  </si>
  <si>
    <t>2025-10-16 08:28</t>
  </si>
  <si>
    <t>2025-10-16 08:31</t>
  </si>
  <si>
    <t>2025-10-16 08:34</t>
  </si>
  <si>
    <t>2025-10-16 08:36</t>
  </si>
  <si>
    <t>2025-10-16 08:39</t>
  </si>
  <si>
    <t>2025-10-16 08:41</t>
  </si>
  <si>
    <t>2025-10-16 08:43</t>
  </si>
  <si>
    <t>2025-09-11 07:48</t>
  </si>
  <si>
    <t>2025-09-11 08:25</t>
  </si>
  <si>
    <t>2025-09-18 07:52</t>
  </si>
  <si>
    <t>2025-09-18 08:19</t>
  </si>
  <si>
    <t>2025-09-28 10:41</t>
  </si>
  <si>
    <t>2025-09-28 11:05</t>
  </si>
  <si>
    <t>2025-10-27 10:21</t>
  </si>
  <si>
    <t>2025-10-27 10:25</t>
  </si>
  <si>
    <t>2025-10-27 10:28</t>
  </si>
  <si>
    <t>2025-10-27 10:32</t>
  </si>
  <si>
    <t>2025-10-27 10:37</t>
  </si>
  <si>
    <t>2025-10-27 10:39</t>
  </si>
  <si>
    <t>2025-10-27 10:42</t>
  </si>
  <si>
    <t>2025-10-27 10:45</t>
  </si>
  <si>
    <t>2025-09-13 19:11</t>
  </si>
  <si>
    <t>2025-09-13 19:16</t>
  </si>
  <si>
    <t>5.3分钟</t>
  </si>
  <si>
    <t>2025-11-03 09:57</t>
  </si>
  <si>
    <t>2025-11-03 10:04</t>
  </si>
  <si>
    <t>2025-11-03 10:05</t>
  </si>
  <si>
    <t>2025-11-03 10:14</t>
  </si>
  <si>
    <t>2025-11-03 10:17</t>
  </si>
  <si>
    <t>2025-11-03 10:19</t>
  </si>
  <si>
    <t>2025-11-03 10:24</t>
  </si>
  <si>
    <t>2025-11-03 10:26</t>
  </si>
  <si>
    <t>2025-11-03 10:29</t>
  </si>
  <si>
    <t>2025-11-03 10:31</t>
  </si>
  <si>
    <t>2025-11-03 10:33</t>
  </si>
  <si>
    <t>2025-11-03 10:36</t>
  </si>
  <si>
    <t>2025-11-03 10:42</t>
  </si>
  <si>
    <t>2025-11-03 10:45</t>
  </si>
  <si>
    <t>2025-11-03 10:46</t>
  </si>
  <si>
    <t>2025-11-03 10:48</t>
  </si>
  <si>
    <t>2025-11-03 10:50</t>
  </si>
  <si>
    <t>2025-11-03 10:52</t>
  </si>
  <si>
    <t>2025-11-03 10:55</t>
  </si>
  <si>
    <t>2025-11-03 10:57</t>
  </si>
  <si>
    <t>2025-11-03 10:58</t>
  </si>
  <si>
    <t>2025-11-03 11:00</t>
  </si>
  <si>
    <t>2025-09-09 23:19</t>
  </si>
  <si>
    <t>2025-09-10 10:01</t>
  </si>
  <si>
    <t>2.7分钟</t>
  </si>
  <si>
    <t>2025-09-25 08:20</t>
  </si>
  <si>
    <t>2025-09-26 16:41</t>
  </si>
  <si>
    <t>2025-09-26 16:44</t>
  </si>
  <si>
    <t>8.6分钟</t>
  </si>
  <si>
    <t>2025-09-29 10:02</t>
  </si>
  <si>
    <t>2025-11-10 18:12</t>
  </si>
  <si>
    <t>2025-11-10 18:16</t>
  </si>
  <si>
    <t>2025-10-09 08:10</t>
  </si>
  <si>
    <t>2025-09-13 19:06</t>
  </si>
  <si>
    <t>2025-09-13 19:09</t>
  </si>
  <si>
    <t>2025-10-11 19:03</t>
  </si>
  <si>
    <t>2025-10-11 19:07</t>
  </si>
  <si>
    <t>2025-10-11 19:09</t>
  </si>
  <si>
    <t>2025-10-11 19:12</t>
  </si>
  <si>
    <t>2025-11-01 18:07</t>
  </si>
  <si>
    <t>2025-11-01 18:13</t>
  </si>
  <si>
    <t>2025-11-15 18:36</t>
  </si>
  <si>
    <t>2025-11-15 18:39</t>
  </si>
  <si>
    <t>2025-11-15 19:30</t>
  </si>
  <si>
    <t>2025-11-15 19:33</t>
  </si>
  <si>
    <t>2025-11-15 19:43</t>
  </si>
  <si>
    <t>2025-11-15 19:46</t>
  </si>
  <si>
    <t>2025-11-15 19:51</t>
  </si>
  <si>
    <t>2025-11-15 19:53</t>
  </si>
  <si>
    <t>2025-11-22 22:37</t>
  </si>
  <si>
    <t>2025-11-22 22:42</t>
  </si>
  <si>
    <t>2025-11-22 22:45</t>
  </si>
  <si>
    <t>2025-11-22 22:46</t>
  </si>
  <si>
    <t>2025-11-22 22:49</t>
  </si>
  <si>
    <t>2025-11-22 22:56</t>
  </si>
  <si>
    <t>2025-11-22 22:58</t>
  </si>
  <si>
    <t>2025-11-23 00:24</t>
  </si>
  <si>
    <t>2025-11-23 00:26</t>
  </si>
  <si>
    <t>2025-11-23 00:37</t>
  </si>
  <si>
    <t>2025-11-23 00:39</t>
  </si>
  <si>
    <t>2025-11-23 00:41</t>
  </si>
  <si>
    <t>2025-11-23 00:43</t>
  </si>
  <si>
    <t>13.6分钟</t>
  </si>
  <si>
    <t>2025-09-10 10:27</t>
  </si>
  <si>
    <t>21.3分钟</t>
  </si>
  <si>
    <t>2025-10-09 09:01</t>
  </si>
  <si>
    <t>2025-10-22 10:23</t>
  </si>
  <si>
    <t>2025-10-22 10:40</t>
  </si>
  <si>
    <t>2025-11-03 10:08</t>
  </si>
  <si>
    <t>2025-09-14 15:10</t>
  </si>
  <si>
    <t>2025-09-14 15:21</t>
  </si>
  <si>
    <t>2025-09-14 15:25</t>
  </si>
  <si>
    <t>2025-09-14 15:35</t>
  </si>
  <si>
    <t>11.8分钟</t>
  </si>
  <si>
    <t>2025-09-17 22:21</t>
  </si>
  <si>
    <t>2025-09-17 22:25</t>
  </si>
  <si>
    <t>2025-09-18 09:30</t>
  </si>
  <si>
    <t>2025-09-18 09:36</t>
  </si>
  <si>
    <t>2025-09-20 21:07</t>
  </si>
  <si>
    <t>2025-09-20 21:11</t>
  </si>
  <si>
    <t>2025-09-23 15:45</t>
  </si>
  <si>
    <t>2025-09-23 15:52</t>
  </si>
  <si>
    <t>2025-09-23 16:05</t>
  </si>
  <si>
    <t>6.4分钟</t>
  </si>
  <si>
    <t>2025-10-23 08:31</t>
  </si>
  <si>
    <t>2025-10-23 08:35</t>
  </si>
  <si>
    <t>2025-09-23 16:17</t>
  </si>
  <si>
    <t>2025-09-23 16:23</t>
  </si>
  <si>
    <t>2025-09-23 16:39</t>
  </si>
  <si>
    <t>2025-09-23 16:40</t>
  </si>
  <si>
    <t>2025-09-23 16:45</t>
  </si>
  <si>
    <t>2025-09-23 16:50</t>
  </si>
  <si>
    <t>2025-09-23 16:54</t>
  </si>
  <si>
    <t>8.5分钟</t>
  </si>
  <si>
    <t>13.5分钟</t>
  </si>
  <si>
    <t>2025-09-18 08:30</t>
  </si>
  <si>
    <t>2025-09-18 08:43</t>
  </si>
  <si>
    <t>7.6分钟</t>
  </si>
  <si>
    <t>2025-10-22 10:08</t>
  </si>
  <si>
    <t>2025-10-13 10:51</t>
  </si>
  <si>
    <t>2025-10-22 10:18</t>
  </si>
  <si>
    <t>2025-11-06 10:27</t>
  </si>
  <si>
    <t>2025-11-06 10:32</t>
  </si>
  <si>
    <t>2025-11-06 10:38</t>
  </si>
  <si>
    <t>2025-11-06 10:40</t>
  </si>
  <si>
    <t>2025-09-05 09:54</t>
  </si>
  <si>
    <t>2025-09-04 09:05</t>
  </si>
  <si>
    <t>2025-09-09 23:17</t>
  </si>
  <si>
    <t>2025-09-09 23:20</t>
  </si>
  <si>
    <t>2025-09-11 00:33</t>
  </si>
  <si>
    <t>2025-09-25 08:15</t>
  </si>
  <si>
    <t>7.4分钟</t>
  </si>
  <si>
    <t>2025-10-16 07:49</t>
  </si>
  <si>
    <t>2025-10-16 07:53</t>
  </si>
  <si>
    <t>2025-09-07 11:10</t>
  </si>
  <si>
    <t>2025-09-07 11:15</t>
  </si>
  <si>
    <t>2025-09-07 11:32</t>
  </si>
  <si>
    <t>17.9分钟</t>
  </si>
  <si>
    <t>2025-10-13 10:30</t>
  </si>
  <si>
    <t>2025-10-23 08:22</t>
  </si>
  <si>
    <t>9.6分钟</t>
  </si>
  <si>
    <t>2025-10-30 13:36</t>
  </si>
  <si>
    <t>2025-10-30 13:40</t>
  </si>
  <si>
    <t>2025-11-01 17:41</t>
  </si>
  <si>
    <t>2025-11-01 17:48</t>
  </si>
  <si>
    <t>2025-11-01 17:50</t>
  </si>
  <si>
    <t>2025-11-01 17:56</t>
  </si>
  <si>
    <t>2025-11-01 18:02</t>
  </si>
  <si>
    <t>2025-11-01 18:16</t>
  </si>
  <si>
    <t>2025-11-02 18:52</t>
  </si>
  <si>
    <t>2025-11-02 18:57</t>
  </si>
  <si>
    <t>2025-11-02 19:21</t>
  </si>
  <si>
    <t>2025-11-02 19:47</t>
  </si>
  <si>
    <t>2025-11-02 19:51</t>
  </si>
  <si>
    <t>2025-11-02 19:55</t>
  </si>
  <si>
    <t>2025-11-02 19:59</t>
  </si>
  <si>
    <t>2025-11-02 20:04</t>
  </si>
  <si>
    <t>2025-11-02 20:08</t>
  </si>
  <si>
    <t>2025-11-02 20:13</t>
  </si>
  <si>
    <t>2025-11-02 20:17</t>
  </si>
  <si>
    <t>2025-09-04 09:08</t>
  </si>
  <si>
    <t>2025-09-04 09:42</t>
  </si>
  <si>
    <t>2025-09-08 10:04</t>
  </si>
  <si>
    <t>2025-09-24 11:24</t>
  </si>
  <si>
    <t>2025-09-25 08:08</t>
  </si>
  <si>
    <t>2025-09-25 08:19</t>
  </si>
  <si>
    <t>2025-09-25 08:27</t>
  </si>
  <si>
    <t>2025-09-25 08:29</t>
  </si>
  <si>
    <t>2025-09-25 08:41</t>
  </si>
  <si>
    <t>2025-10-16 08:08</t>
  </si>
  <si>
    <t>2025-09-07 15:40</t>
  </si>
  <si>
    <t>2025-09-07 15:45</t>
  </si>
  <si>
    <t>2025-09-07 19:04</t>
  </si>
  <si>
    <t>2025-09-07 19:10</t>
  </si>
  <si>
    <t>2025-09-07 19:55</t>
  </si>
  <si>
    <t>2025-09-07 20:40</t>
  </si>
  <si>
    <t>2025-09-16 16:48</t>
  </si>
  <si>
    <t>2025-09-16 17:00</t>
  </si>
  <si>
    <t>10.6分钟</t>
  </si>
  <si>
    <t>2025-09-27 19:00</t>
  </si>
  <si>
    <t>2025-10-08 12:10</t>
  </si>
  <si>
    <t>2025-10-08 12:17</t>
  </si>
  <si>
    <t>2025-10-08 12:18</t>
  </si>
  <si>
    <t>2025-10-08 12:23</t>
  </si>
  <si>
    <t>2025-10-08 12:46</t>
  </si>
  <si>
    <t>2025-10-08 12:52</t>
  </si>
  <si>
    <t>2025-10-31 22:32</t>
  </si>
  <si>
    <t>2025-10-31 22:36</t>
  </si>
  <si>
    <t>2025-10-08 12:57</t>
  </si>
  <si>
    <t>2025-10-08 13:00</t>
  </si>
  <si>
    <t>2025-10-08 13:04</t>
  </si>
  <si>
    <t>2025-10-08 13:07</t>
  </si>
  <si>
    <t>2025-10-08 13:08</t>
  </si>
  <si>
    <t>2025-10-08 13:12</t>
  </si>
  <si>
    <t>2025-10-08 13:16</t>
  </si>
  <si>
    <t>2025-09-10 10:53</t>
  </si>
  <si>
    <t>2025-09-10 11:00</t>
  </si>
  <si>
    <t>2025-10-31 16:16</t>
  </si>
  <si>
    <t>2025-10-31 16:26</t>
  </si>
  <si>
    <t>12.4分钟</t>
  </si>
  <si>
    <t>2025-10-31 16:33</t>
  </si>
  <si>
    <t>2025-10-31 16:38</t>
  </si>
  <si>
    <t>2025-10-31 16:44</t>
  </si>
  <si>
    <t>2025-10-31 16:48</t>
  </si>
  <si>
    <t>2025-10-31 16:50</t>
  </si>
  <si>
    <t>2025-10-31 17:03</t>
  </si>
  <si>
    <t>2025-10-31 17:05</t>
  </si>
  <si>
    <t>2025-11-04 17:15</t>
  </si>
  <si>
    <t>2025-11-04 17:18</t>
  </si>
  <si>
    <t>2025-11-04 19:58</t>
  </si>
  <si>
    <t>2025-11-04 20:01</t>
  </si>
  <si>
    <t>2025-11-04 20:19</t>
  </si>
  <si>
    <t>2025-11-04 20:24</t>
  </si>
  <si>
    <t>2025-11-04 20:26</t>
  </si>
  <si>
    <t>2025-11-04 20:46</t>
  </si>
  <si>
    <t>2025-11-04 20:48</t>
  </si>
  <si>
    <t>2025-11-04 20:52</t>
  </si>
  <si>
    <t>2025-11-04 20:54</t>
  </si>
  <si>
    <t>2025-11-04 21:01</t>
  </si>
  <si>
    <t>2025-11-04 21:03</t>
  </si>
  <si>
    <t>2025-09-07 22:21</t>
  </si>
  <si>
    <t>2025-09-07 22:26</t>
  </si>
  <si>
    <t>2025-09-10 10:20</t>
  </si>
  <si>
    <t>2025-09-11 08:37</t>
  </si>
  <si>
    <t>2025-09-13 20:06</t>
  </si>
  <si>
    <t>17.6分钟</t>
  </si>
  <si>
    <t>2025-09-13 20:12</t>
  </si>
  <si>
    <t>2025-09-13 20:16</t>
  </si>
  <si>
    <t>2025-09-13 20:22</t>
  </si>
  <si>
    <t>2025-09-13 20:42</t>
  </si>
  <si>
    <t>2025-09-13 20:47</t>
  </si>
  <si>
    <t>2025-09-13 20:48</t>
  </si>
  <si>
    <t>2025-09-13 20:53</t>
  </si>
  <si>
    <t>2025-09-23 15:54</t>
  </si>
  <si>
    <t>2025-09-23 16:00</t>
  </si>
  <si>
    <t>2025-10-18 23:03</t>
  </si>
  <si>
    <t>2025-10-18 23:07</t>
  </si>
  <si>
    <t>2025-10-18 23:09</t>
  </si>
  <si>
    <t>2025-10-18 23:14</t>
  </si>
  <si>
    <t>2025-10-18 23:17</t>
  </si>
  <si>
    <t>2025-10-18 23:18</t>
  </si>
  <si>
    <t>2025-10-18 23:22</t>
  </si>
  <si>
    <t>2025-10-18 23:26</t>
  </si>
  <si>
    <t>2025-09-27 14:21</t>
  </si>
  <si>
    <t>2025-09-27 14:26</t>
  </si>
  <si>
    <t>2025-09-27 14:29</t>
  </si>
  <si>
    <t>2025-09-27 14:31</t>
  </si>
  <si>
    <t>2025-09-27 14:34</t>
  </si>
  <si>
    <t>2025-09-27 14:35</t>
  </si>
  <si>
    <t>2025-09-27 14:40</t>
  </si>
  <si>
    <t>2025-09-27 14:49</t>
  </si>
  <si>
    <t>2025-09-27 14:51</t>
  </si>
  <si>
    <t>2025-09-27 15:02</t>
  </si>
  <si>
    <t>2025-09-27 15:06</t>
  </si>
  <si>
    <t>2025-09-27 15:14</t>
  </si>
  <si>
    <t>2025-11-10 18:19</t>
  </si>
  <si>
    <t>2025-11-10 18:26</t>
  </si>
  <si>
    <t>2025-11-11 12:56</t>
  </si>
  <si>
    <t>2025-11-11 13:33</t>
  </si>
  <si>
    <t>2025-11-11 13:48</t>
  </si>
  <si>
    <t>2025-11-11 13:50</t>
  </si>
  <si>
    <t>2025-11-13 11:22</t>
  </si>
  <si>
    <t>2025-11-13 11:24</t>
  </si>
  <si>
    <t>2025-11-13 11:26</t>
  </si>
  <si>
    <t>2025-11-13 11:28</t>
  </si>
  <si>
    <t>2025-11-13 11:31</t>
  </si>
  <si>
    <t>2025-11-13 11:33</t>
  </si>
  <si>
    <t>2025-09-08 10:11</t>
  </si>
  <si>
    <t>2025-09-04 09:06</t>
  </si>
  <si>
    <t>2025-09-08 10:20</t>
  </si>
  <si>
    <t>2025-09-08 10:41</t>
  </si>
  <si>
    <t>2025-09-08 10:45</t>
  </si>
  <si>
    <t>10.4分钟</t>
  </si>
  <si>
    <t>2025-11-10 18:45</t>
  </si>
  <si>
    <t>2025-11-10 18:52</t>
  </si>
  <si>
    <t>2025-11-10 18:58</t>
  </si>
  <si>
    <t>2025-11-15 22:23</t>
  </si>
  <si>
    <t>2025-11-15 22:31</t>
  </si>
  <si>
    <t>2025-11-15 22:38</t>
  </si>
  <si>
    <t>2025-11-15 22:43</t>
  </si>
  <si>
    <t>2025-11-15 22:47</t>
  </si>
  <si>
    <t>2025-11-15 22:49</t>
  </si>
  <si>
    <t>2025-11-15 22:50</t>
  </si>
  <si>
    <t>2025-11-15 22:53</t>
  </si>
  <si>
    <t>2025-11-15 22:55</t>
  </si>
  <si>
    <t>2025-09-11 08:36</t>
  </si>
  <si>
    <t>2025-09-11 08:46</t>
  </si>
  <si>
    <t>2025-09-11 09:16</t>
  </si>
  <si>
    <t>2025-10-17 23:12</t>
  </si>
  <si>
    <t>2025-10-17 23:16</t>
  </si>
  <si>
    <t>2025-09-28 11:01</t>
  </si>
  <si>
    <t>2025-09-18 07:50</t>
  </si>
  <si>
    <t>2025-09-18 09:20</t>
  </si>
  <si>
    <t>2025-09-18 09:22</t>
  </si>
  <si>
    <t>2025-09-20 07:56</t>
  </si>
  <si>
    <t>8.4分钟</t>
  </si>
  <si>
    <t>2025-09-20 08:00</t>
  </si>
  <si>
    <t>2025-09-20 08:07</t>
  </si>
  <si>
    <t>2025-09-20 08:13</t>
  </si>
  <si>
    <t>2025-09-20 08:20</t>
  </si>
  <si>
    <t>2025-09-20 08:25</t>
  </si>
  <si>
    <t>2025-09-20 08:30</t>
  </si>
  <si>
    <t>2025-09-20 08:34</t>
  </si>
  <si>
    <t>2025-09-24 09:54</t>
  </si>
  <si>
    <t>2025-09-24 09:59</t>
  </si>
  <si>
    <t>2025-09-24 10:00</t>
  </si>
  <si>
    <t>2025-09-24 10:05</t>
  </si>
  <si>
    <t>2025-09-24 11:27</t>
  </si>
  <si>
    <t>2025-10-16 08:13</t>
  </si>
  <si>
    <t>2025-10-16 08:17</t>
  </si>
  <si>
    <t>2025-09-28 09:56</t>
  </si>
  <si>
    <t>2025-09-12 19:21</t>
  </si>
  <si>
    <t>2025-09-12 19:23</t>
  </si>
  <si>
    <t>2025-09-12 19:41</t>
  </si>
  <si>
    <t>2025-09-15 10:15</t>
  </si>
  <si>
    <t>2025-09-15 10:17</t>
  </si>
  <si>
    <t>2025-09-15 10:20</t>
  </si>
  <si>
    <t>2025-09-15 10:38</t>
  </si>
  <si>
    <t>2025-09-15 10:40</t>
  </si>
  <si>
    <t>2025-09-15 10:54</t>
  </si>
  <si>
    <t>2025-09-15 10:56</t>
  </si>
  <si>
    <t>2025-09-17 08:05</t>
  </si>
  <si>
    <t>2025-09-17 08:08</t>
  </si>
  <si>
    <t>2025-09-17 08:12</t>
  </si>
  <si>
    <t>2025-09-17 08:14</t>
  </si>
  <si>
    <t>2025-11-15 12:49</t>
  </si>
  <si>
    <t>2025-11-23 10:07</t>
  </si>
  <si>
    <t>2025-11-23 10:31</t>
  </si>
  <si>
    <t>2025-11-23 10:35</t>
  </si>
  <si>
    <t>2025-11-23 10:42</t>
  </si>
  <si>
    <t>2025-11-23 13:49</t>
  </si>
  <si>
    <t>2025-11-23 13:51</t>
  </si>
  <si>
    <t>2025-11-23 14:20</t>
  </si>
  <si>
    <t>2025-11-23 14:22</t>
  </si>
  <si>
    <t>2025-11-23 14:40</t>
  </si>
  <si>
    <t>2025-11-23 14:42</t>
  </si>
  <si>
    <t>2025-09-11 08:54</t>
  </si>
  <si>
    <t>2025-09-11 08:59</t>
  </si>
  <si>
    <t>2025-09-11 09:04</t>
  </si>
  <si>
    <t>2025-09-22 10:43</t>
  </si>
  <si>
    <t>2025-09-22 10:50</t>
  </si>
  <si>
    <t>2025-09-22 10:52</t>
  </si>
  <si>
    <t>2025-09-22 11:19</t>
  </si>
  <si>
    <t>2025-09-22 11:22</t>
  </si>
  <si>
    <t>2025-10-16 08:25</t>
  </si>
  <si>
    <t>2025-10-16 08:27</t>
  </si>
  <si>
    <t>2025-09-05 00:17</t>
  </si>
  <si>
    <t>2025-09-05 00:19</t>
  </si>
  <si>
    <t>2025-09-27 18:14</t>
  </si>
  <si>
    <t>2025-09-27 18:18</t>
  </si>
  <si>
    <t>2025-09-27 19:37</t>
  </si>
  <si>
    <t>2025-09-27 19:41</t>
  </si>
  <si>
    <t>2025-09-27 19:51</t>
  </si>
  <si>
    <t>2025-09-27 20:12</t>
  </si>
  <si>
    <t>2025-09-27 20:17</t>
  </si>
  <si>
    <t>2025-09-27 20:22</t>
  </si>
  <si>
    <t>2025-09-27 22:56</t>
  </si>
  <si>
    <t>2025-09-27 23:02</t>
  </si>
  <si>
    <t>2025-09-11 07:51</t>
  </si>
  <si>
    <t>2025-09-24 11:25</t>
  </si>
  <si>
    <t>2025-09-24 11:30</t>
  </si>
  <si>
    <t>2025-09-24 11:40</t>
  </si>
  <si>
    <t>2025-09-27 17:46</t>
  </si>
  <si>
    <t>2025-10-22 10:15</t>
  </si>
  <si>
    <t>2025-11-11 13:04</t>
  </si>
  <si>
    <t>2025-11-11 13:09</t>
  </si>
  <si>
    <t>2025-11-11 13:12</t>
  </si>
  <si>
    <t>2025-11-11 13:18</t>
  </si>
  <si>
    <t>2025-11-11 13:22</t>
  </si>
  <si>
    <t>2025-11-11 13:27</t>
  </si>
  <si>
    <t>2025-11-11 13:31</t>
  </si>
  <si>
    <t>2025-09-04 08:32</t>
  </si>
  <si>
    <t>2025-09-14 16:02</t>
  </si>
  <si>
    <t>2025-09-14 16:08</t>
  </si>
  <si>
    <t>2025-09-14 16:16</t>
  </si>
  <si>
    <t>2025-09-14 16:21</t>
  </si>
  <si>
    <t>2025-09-14 16:29</t>
  </si>
  <si>
    <t>2025-09-14 16:40</t>
  </si>
  <si>
    <t>2025-09-14 17:16</t>
  </si>
  <si>
    <t>2025-09-14 17:20</t>
  </si>
  <si>
    <t>2025-10-18 12:33</t>
  </si>
  <si>
    <t>2025-10-18 12:39</t>
  </si>
  <si>
    <t>2025-10-18 13:17</t>
  </si>
  <si>
    <t>2025-10-18 13:34</t>
  </si>
  <si>
    <t>2025-11-11 12:58</t>
  </si>
  <si>
    <t>2025-11-11 13:02</t>
  </si>
  <si>
    <t>2025-11-11 14:08</t>
  </si>
  <si>
    <t>2025-11-11 14:13</t>
  </si>
  <si>
    <t>2025-11-21 21:46</t>
  </si>
  <si>
    <t>2025-11-21 21:53</t>
  </si>
  <si>
    <t>2025-11-21 21:57</t>
  </si>
  <si>
    <t>2025-11-21 22:00</t>
  </si>
  <si>
    <t>2025-11-21 22:03</t>
  </si>
  <si>
    <t>2025-11-21 22:06</t>
  </si>
  <si>
    <t>2025-11-21 22:09</t>
  </si>
  <si>
    <t>2025-11-21 22:11</t>
  </si>
  <si>
    <t>2025-11-21 22:16</t>
  </si>
  <si>
    <t>2025-11-21 22:20</t>
  </si>
  <si>
    <t>25.9分钟</t>
  </si>
  <si>
    <t>2025-09-18 08:00</t>
  </si>
  <si>
    <t>2025-09-18 08:26</t>
  </si>
  <si>
    <t>2025-09-27 19:42</t>
  </si>
  <si>
    <t>2025-09-28 10:02</t>
  </si>
  <si>
    <t>2025-10-17 20:00</t>
  </si>
  <si>
    <t>2025-10-17 20:04</t>
  </si>
  <si>
    <t>2025-10-08 13:24</t>
  </si>
  <si>
    <t>2025-10-08 13:27</t>
  </si>
  <si>
    <t>2025-10-08 13:28</t>
  </si>
  <si>
    <t>2025-10-08 13:33</t>
  </si>
  <si>
    <t>2025-10-08 13:36</t>
  </si>
  <si>
    <t>2025-09-08 10:10</t>
  </si>
  <si>
    <t>2025-09-28 09:52</t>
  </si>
  <si>
    <t>2025-10-09 07:59</t>
  </si>
  <si>
    <t>11.9分钟</t>
  </si>
  <si>
    <t>2025-11-03 09:47</t>
  </si>
  <si>
    <t>2025-11-03 09:53</t>
  </si>
  <si>
    <t>2025-11-03 09:55</t>
  </si>
  <si>
    <t>2025-11-03 10:07</t>
  </si>
  <si>
    <t>2025-09-14 15:44</t>
  </si>
  <si>
    <t>2025-09-27 20:42</t>
  </si>
  <si>
    <t>2025-10-29 15:34</t>
  </si>
  <si>
    <t>2025-10-29 15:39</t>
  </si>
  <si>
    <t>2025-11-19 23:17</t>
  </si>
  <si>
    <t>2025-11-20 13:04</t>
  </si>
  <si>
    <t>11.7分钟</t>
  </si>
  <si>
    <t>2025-11-20 13:06</t>
  </si>
  <si>
    <t>2025-11-20 13:10</t>
  </si>
  <si>
    <t>2025-11-20 13:11</t>
  </si>
  <si>
    <t>2025-11-20 13:17</t>
  </si>
  <si>
    <t>2025-11-20 13:21</t>
  </si>
  <si>
    <t>2025-11-20 13:26</t>
  </si>
  <si>
    <t>2025-11-20 13:27</t>
  </si>
  <si>
    <t>2025-11-20 13:31</t>
  </si>
  <si>
    <t>2025-11-20 13:33</t>
  </si>
  <si>
    <t>2025-11-20 13:38</t>
  </si>
  <si>
    <t>2025-11-20 13:40</t>
  </si>
  <si>
    <t>2025-11-20 13:45</t>
  </si>
  <si>
    <t>2025-11-20 13:47</t>
  </si>
  <si>
    <t>2025-11-20 13:54</t>
  </si>
  <si>
    <t>2025-11-20 13:59</t>
  </si>
  <si>
    <t>2025-11-20 14:02</t>
  </si>
  <si>
    <t>2025-11-20 14:04</t>
  </si>
  <si>
    <t>2025-11-20 14:07</t>
  </si>
  <si>
    <t>2025-11-20 14:13</t>
  </si>
  <si>
    <t>2025-11-20 14:18</t>
  </si>
  <si>
    <t>2025-11-20 14:22</t>
  </si>
  <si>
    <t>2025-09-12 23:54</t>
  </si>
  <si>
    <t>2025-09-19 16:55</t>
  </si>
  <si>
    <t>2025-09-25 16:28</t>
  </si>
  <si>
    <t>2025-09-25 16:31</t>
  </si>
  <si>
    <t>15.3分钟</t>
  </si>
  <si>
    <t>2025-10-04 12:18</t>
  </si>
  <si>
    <t>2025-10-04 12:20</t>
  </si>
  <si>
    <t>2025-10-04 12:22</t>
  </si>
  <si>
    <t>2025-10-04 12:26</t>
  </si>
  <si>
    <t>2025-10-04 12:30</t>
  </si>
  <si>
    <t>2025-10-04 12:33</t>
  </si>
  <si>
    <t>2025-10-04 12:36</t>
  </si>
  <si>
    <t>2025-10-04 12:39</t>
  </si>
  <si>
    <t>2025-10-04 12:42</t>
  </si>
  <si>
    <t>2025-10-04 12:43</t>
  </si>
  <si>
    <t>2025-10-04 12:46</t>
  </si>
  <si>
    <t>2025-10-19 22:03</t>
  </si>
  <si>
    <t>2025-10-19 22:07</t>
  </si>
  <si>
    <t>2025-10-04 13:41</t>
  </si>
  <si>
    <t>2025-10-04 13:45</t>
  </si>
  <si>
    <t>2025-10-04 13:48</t>
  </si>
  <si>
    <t>2025-10-04 13:51</t>
  </si>
  <si>
    <t>2025-10-04 13:53</t>
  </si>
  <si>
    <t>2025-09-08 10:16</t>
  </si>
  <si>
    <t>2025-09-10 11:01</t>
  </si>
  <si>
    <t>2025-09-10 11:36</t>
  </si>
  <si>
    <t>2025-09-23 16:11</t>
  </si>
  <si>
    <t>2025-09-23 16:15</t>
  </si>
  <si>
    <t>2025-09-23 16:20</t>
  </si>
  <si>
    <t>2025-09-23 16:27</t>
  </si>
  <si>
    <t>2025-09-23 16:32</t>
  </si>
  <si>
    <t>2025-09-23 16:34</t>
  </si>
  <si>
    <t>2025-10-22 10:02</t>
  </si>
  <si>
    <t>2025-10-22 11:18</t>
  </si>
  <si>
    <t>2025-10-22 11:31</t>
  </si>
  <si>
    <t>2025-10-22 11:35</t>
  </si>
  <si>
    <t>2025-10-23 08:02</t>
  </si>
  <si>
    <t>2025-10-23 08:07</t>
  </si>
  <si>
    <t>2025-09-28 13:44</t>
  </si>
  <si>
    <t>2025-09-28 13:47</t>
  </si>
  <si>
    <t>2025-09-28 13:52</t>
  </si>
  <si>
    <t>2025-09-28 13:56</t>
  </si>
  <si>
    <t>2025-09-28 13:59</t>
  </si>
  <si>
    <t>2025-09-28 14:06</t>
  </si>
  <si>
    <t>2025-09-28 14:15</t>
  </si>
  <si>
    <t>2025-09-28 14:18</t>
  </si>
  <si>
    <t>2025-09-28 14:19</t>
  </si>
  <si>
    <t>2025-09-28 14:23</t>
  </si>
  <si>
    <t>2025-09-28 14:27</t>
  </si>
  <si>
    <t>2025-09-28 14:31</t>
  </si>
  <si>
    <t>2025-09-28 14:34</t>
  </si>
  <si>
    <t>2025-09-28 14:38</t>
  </si>
  <si>
    <t>2025-09-28 14:41</t>
  </si>
  <si>
    <t>2025-09-28 14:53</t>
  </si>
  <si>
    <t>2025-09-28 14:56</t>
  </si>
  <si>
    <t>2025-09-28 15:00</t>
  </si>
  <si>
    <t>2025-09-28 15:04</t>
  </si>
  <si>
    <t>2025-11-19 17:52</t>
  </si>
  <si>
    <t>2025-11-19 17:58</t>
  </si>
  <si>
    <t>2025-09-28 15:16</t>
  </si>
  <si>
    <t>2025-09-28 15:18</t>
  </si>
  <si>
    <t>2025-09-28 15:25</t>
  </si>
  <si>
    <t>2025-09-28 15:28</t>
  </si>
  <si>
    <t>2025-09-28 15:32</t>
  </si>
  <si>
    <t>2025-09-28 15:35</t>
  </si>
  <si>
    <t>2025-11-20 11:54</t>
  </si>
  <si>
    <t>2025-11-20 11:59</t>
  </si>
  <si>
    <t>2025-11-20 12:02</t>
  </si>
  <si>
    <t>2025-11-20 12:05</t>
  </si>
  <si>
    <t>2025-11-20 12:10</t>
  </si>
  <si>
    <t>2025-11-20 12:13</t>
  </si>
  <si>
    <t>2025-11-20 12:20</t>
  </si>
  <si>
    <t>2025-11-20 12:24</t>
  </si>
  <si>
    <t>2025-11-20 12:29</t>
  </si>
  <si>
    <t>2025-09-27 18:24</t>
  </si>
  <si>
    <t>2025-09-27 18:54</t>
  </si>
  <si>
    <t>2025-09-27 21:04</t>
  </si>
  <si>
    <t>2025-09-27 21:14</t>
  </si>
  <si>
    <t>2025-09-27 21:18</t>
  </si>
  <si>
    <t>2025-09-27 21:24</t>
  </si>
  <si>
    <t>2025-09-27 21:30</t>
  </si>
  <si>
    <t>2025-09-27 21:41</t>
  </si>
  <si>
    <t>2025-09-27 21:47</t>
  </si>
  <si>
    <t>2025-09-27 22:20</t>
  </si>
  <si>
    <t>2025-09-27 22:26</t>
  </si>
  <si>
    <t>2025-09-27 22:31</t>
  </si>
  <si>
    <t>2025-09-27 23:09</t>
  </si>
  <si>
    <t>2025-09-27 23:14</t>
  </si>
  <si>
    <t>2025-09-27 23:16</t>
  </si>
  <si>
    <t>2025-12-14 13:13</t>
  </si>
  <si>
    <t>0.0分钟</t>
  </si>
  <si>
    <t>2025-09-27 23:30</t>
  </si>
  <si>
    <t>2025-09-27 23:33</t>
  </si>
  <si>
    <t>2025-09-27 23:34</t>
  </si>
  <si>
    <t>2025-09-27 23:37</t>
  </si>
  <si>
    <t>2025-09-27 23:51</t>
  </si>
  <si>
    <t>2025-09-27 23:55</t>
  </si>
  <si>
    <t>2025-09-27 23:57</t>
  </si>
  <si>
    <t>2025-09-28 00:01</t>
  </si>
  <si>
    <t>2025-09-12 22:43</t>
  </si>
  <si>
    <t>16.1分钟</t>
  </si>
  <si>
    <t>2025-09-29 10:52</t>
  </si>
  <si>
    <t>2025-09-29 11:00</t>
  </si>
  <si>
    <t>2025-09-29 11:12</t>
  </si>
  <si>
    <t>2025-09-29 11:18</t>
  </si>
  <si>
    <t>2025-09-29 11:19</t>
  </si>
  <si>
    <t>2025-09-29 11:26</t>
  </si>
  <si>
    <t>2025-09-29 11:32</t>
  </si>
  <si>
    <t>2025-09-29 11:37</t>
  </si>
  <si>
    <t>2025-09-29 11:45</t>
  </si>
  <si>
    <t>2025-10-05 12:51</t>
  </si>
  <si>
    <t>2025-10-05 12:53</t>
  </si>
  <si>
    <t>2025-10-18 19:24</t>
  </si>
  <si>
    <t>2025-10-19 21:47</t>
  </si>
  <si>
    <t>2025-10-05 13:00</t>
  </si>
  <si>
    <t>2025-10-05 13:02</t>
  </si>
  <si>
    <t>2025-10-05 13:04</t>
  </si>
  <si>
    <t>2025-10-05 13:06</t>
  </si>
  <si>
    <t>2025-10-05 13:07</t>
  </si>
  <si>
    <t>2025-10-05 13:10</t>
  </si>
  <si>
    <t>2025-10-05 13:13</t>
  </si>
  <si>
    <t>2025-11-26 19:40</t>
  </si>
  <si>
    <t>2025-11-26 19:46</t>
  </si>
  <si>
    <t>2025-11-26 19:58</t>
  </si>
  <si>
    <t>12.9分钟</t>
  </si>
  <si>
    <t>2025-11-27 08:50</t>
  </si>
  <si>
    <t>2025-11-27 08:55</t>
  </si>
  <si>
    <t>2025-11-27 08:56</t>
  </si>
  <si>
    <t>2025-11-27 09:03</t>
  </si>
  <si>
    <t>2025-11-27 09:43</t>
  </si>
  <si>
    <t>2025-11-27 09:51</t>
  </si>
  <si>
    <t>2025-11-27 10:04</t>
  </si>
  <si>
    <t>2025-11-27 15:15</t>
  </si>
  <si>
    <t>11.3分钟</t>
  </si>
  <si>
    <t>2025-11-27 15:22</t>
  </si>
  <si>
    <t>2025-11-29 08:58</t>
  </si>
  <si>
    <t>2025-11-29 09:02</t>
  </si>
  <si>
    <t>2025-11-29 09:07</t>
  </si>
  <si>
    <t>2025-11-29 09:13</t>
  </si>
  <si>
    <t>2025-11-29 09:17</t>
  </si>
  <si>
    <t>2025-11-29 09:23</t>
  </si>
  <si>
    <t>2025-11-29 09:25</t>
  </si>
  <si>
    <t>2025-11-29 09:29</t>
  </si>
  <si>
    <t>2025-09-04 08:40</t>
  </si>
  <si>
    <t>2025-09-25 08:36</t>
  </si>
  <si>
    <t>2025-10-09 08:01</t>
  </si>
  <si>
    <t>2025-10-09 08:58</t>
  </si>
  <si>
    <t>2025-10-09 09:23</t>
  </si>
  <si>
    <t>2025-10-13 10:38</t>
  </si>
  <si>
    <t>2025-10-16 07:56</t>
  </si>
  <si>
    <t>2025-10-16 08:00</t>
  </si>
  <si>
    <t>2025-10-16 08:04</t>
  </si>
  <si>
    <t>2025-10-16 08:06</t>
  </si>
  <si>
    <t>2025-10-16 08:10</t>
  </si>
  <si>
    <t>2025-10-16 08:11</t>
  </si>
  <si>
    <t>2025-10-16 08:15</t>
  </si>
  <si>
    <t>2025-09-07 20:10</t>
  </si>
  <si>
    <t>2025-09-07 20:17</t>
  </si>
  <si>
    <t>2025-09-07 20:21</t>
  </si>
  <si>
    <t>2025-09-28 11:28</t>
  </si>
  <si>
    <t>2025-09-28 11:36</t>
  </si>
  <si>
    <t>2025-09-28 11:54</t>
  </si>
  <si>
    <t>2025-11-01 18:36</t>
  </si>
  <si>
    <t>2025-11-01 18:40</t>
  </si>
  <si>
    <t>2025-11-01 18:56</t>
  </si>
  <si>
    <t>2025-11-01 19:00</t>
  </si>
  <si>
    <t>2025-11-01 19:04</t>
  </si>
  <si>
    <t>2025-11-01 19:07</t>
  </si>
  <si>
    <t>2025-11-06 10:07</t>
  </si>
  <si>
    <t>2025-11-06 10:11</t>
  </si>
  <si>
    <t>2025-11-06 10:13</t>
  </si>
  <si>
    <t>2025-11-06 10:16</t>
  </si>
  <si>
    <t>2025-11-06 10:20</t>
  </si>
  <si>
    <t>2025-11-06 10:22</t>
  </si>
  <si>
    <t>2025-11-06 10:23</t>
  </si>
  <si>
    <t>2025-11-06 10:25</t>
  </si>
  <si>
    <t>讨论参与详情</t>
  </si>
  <si>
    <t>总讨论数</t>
  </si>
  <si>
    <t>发表讨论</t>
  </si>
  <si>
    <t>回复讨论</t>
  </si>
  <si>
    <t>回复话题个数</t>
  </si>
  <si>
    <t>获赞数</t>
  </si>
  <si>
    <t>作业统计</t>
  </si>
  <si>
    <t>实验一开发环境搭建</t>
  </si>
  <si>
    <t>作业1概述</t>
  </si>
  <si>
    <t>作业2原生Android</t>
  </si>
  <si>
    <t>实验二原生应用开发</t>
  </si>
  <si>
    <t>作业3原生iOS</t>
  </si>
  <si>
    <t>作业4原生应用开发</t>
  </si>
  <si>
    <t>实验三Flutter混合应用</t>
  </si>
  <si>
    <t>作业5Flutter混合应用</t>
  </si>
  <si>
    <t>作业6Cordova&amp;UniApp混合应用</t>
  </si>
  <si>
    <t>实验四Uniapp多端开发</t>
  </si>
  <si>
    <t>作业7 MAUI&amp;&amp;WXMiniApp</t>
  </si>
  <si>
    <t>实验五微信小程序开发</t>
  </si>
  <si>
    <t>实验六华为多端应用开发</t>
  </si>
  <si>
    <t>作业8小程序2</t>
  </si>
  <si>
    <t>作业9华为多端应用开发1</t>
  </si>
  <si>
    <t>作业10华为多端应用开发2</t>
  </si>
  <si>
    <t>实验七跨平台项目实战</t>
  </si>
  <si>
    <t>课程考核大作业1——项目启动</t>
  </si>
  <si>
    <t>课程考核大作业2——核心开发</t>
  </si>
  <si>
    <t>课程考核大作业3——系统整合</t>
  </si>
  <si>
    <t>考核报告1——答辩报告</t>
  </si>
  <si>
    <t>考核报告2——个人报告</t>
  </si>
  <si>
    <t>考核报告3——小组报告</t>
  </si>
  <si>
    <t>考核报告4——项目报告</t>
  </si>
  <si>
    <t>课程考核大作业4——测试交付</t>
  </si>
  <si>
    <t>课程考试大作业</t>
  </si>
  <si>
    <t>成绩</t>
  </si>
  <si>
    <t>提交时间</t>
  </si>
  <si>
    <t>2025-09-13 22:44</t>
  </si>
  <si>
    <t>2025-09-12 22:56</t>
  </si>
  <si>
    <t>2025-09-14 18:32</t>
  </si>
  <si>
    <t>2025-09-20 21:45</t>
  </si>
  <si>
    <t>2025-09-20 20:36</t>
  </si>
  <si>
    <t>2025-10-08 15:08</t>
  </si>
  <si>
    <t>2025-09-27 20:50</t>
  </si>
  <si>
    <t>2025-10-18 18:32</t>
  </si>
  <si>
    <t>2025-10-25 20:38</t>
  </si>
  <si>
    <t>2025-10-18 18:33</t>
  </si>
  <si>
    <t>2025-10-22 09:59</t>
  </si>
  <si>
    <t>2025-11-01 15:33</t>
  </si>
  <si>
    <t>2025-11-01 15:36</t>
  </si>
  <si>
    <t>2025-11-08 20:54</t>
  </si>
  <si>
    <t>2025-11-15 20:26</t>
  </si>
  <si>
    <t>2025-11-24 20:33</t>
  </si>
  <si>
    <t>2025-11-27 13:09</t>
  </si>
  <si>
    <t>2025-11-29 21:33</t>
  </si>
  <si>
    <t>2025-12-02 15:20</t>
  </si>
  <si>
    <t>2025-11-19 20:40</t>
  </si>
  <si>
    <t>2025-09-13 16:35</t>
  </si>
  <si>
    <t>2025-09-10 11:46</t>
  </si>
  <si>
    <t>2025-09-14 14:24</t>
  </si>
  <si>
    <t>2025-09-20 18:54</t>
  </si>
  <si>
    <t>2025-10-08 16:37</t>
  </si>
  <si>
    <t>2025-09-27 21:58</t>
  </si>
  <si>
    <t>2025-09-28 13:04</t>
  </si>
  <si>
    <t>2025-10-13 11:42</t>
  </si>
  <si>
    <t>2025-10-25 09:55</t>
  </si>
  <si>
    <t>2025-11-01 11:40</t>
  </si>
  <si>
    <t>2025-11-01 20:17</t>
  </si>
  <si>
    <t>2025-11-08 21:39</t>
  </si>
  <si>
    <t>2025-11-15 20:23</t>
  </si>
  <si>
    <t>2025-11-25 23:18</t>
  </si>
  <si>
    <t>2025-11-27 00:46</t>
  </si>
  <si>
    <t>2025-11-29 17:43</t>
  </si>
  <si>
    <t>2025-11-29 22:20</t>
  </si>
  <si>
    <t>2025-11-19 20:42</t>
  </si>
  <si>
    <t>2025-09-13 22:53</t>
  </si>
  <si>
    <t>2025-09-13 00:16</t>
  </si>
  <si>
    <t>2025-09-14 11:44</t>
  </si>
  <si>
    <t>2025-09-20 20:07</t>
  </si>
  <si>
    <t>2025-09-19 22:36</t>
  </si>
  <si>
    <t>2025-10-08 15:40</t>
  </si>
  <si>
    <t>2025-10-04 19:57</t>
  </si>
  <si>
    <t>2025-10-11 18:10</t>
  </si>
  <si>
    <t>2025-10-18 19:45</t>
  </si>
  <si>
    <t>2025-10-25 18:03</t>
  </si>
  <si>
    <t>2025-10-18 18:03</t>
  </si>
  <si>
    <t>2025-10-21 23:31</t>
  </si>
  <si>
    <t>2025-10-21 23:35</t>
  </si>
  <si>
    <t>2025-11-01 18:51</t>
  </si>
  <si>
    <t>2025-11-01 20:04</t>
  </si>
  <si>
    <t>2025-11-08 21:29</t>
  </si>
  <si>
    <t>2025-11-15 18:29</t>
  </si>
  <si>
    <t>2025-11-24 21:57</t>
  </si>
  <si>
    <t>2025-11-27 21:06</t>
  </si>
  <si>
    <t>2025-11-28 18:01</t>
  </si>
  <si>
    <t>2025-11-29 22:04</t>
  </si>
  <si>
    <t>2025-11-19 20:48</t>
  </si>
  <si>
    <t>2025-12-08 21:10</t>
  </si>
  <si>
    <t>2025-09-13 22:36</t>
  </si>
  <si>
    <t>2025-09-14 17:09</t>
  </si>
  <si>
    <t>2025-09-20 19:39</t>
  </si>
  <si>
    <t>2025-09-20 16:21</t>
  </si>
  <si>
    <t>2025-10-06 09:49</t>
  </si>
  <si>
    <t>2025-09-27 19:48</t>
  </si>
  <si>
    <t>2025-09-29 10:23</t>
  </si>
  <si>
    <t>2025-10-13 11:04</t>
  </si>
  <si>
    <t>2025-10-20 15:31</t>
  </si>
  <si>
    <t>2025-10-21 12:50</t>
  </si>
  <si>
    <t>2025-10-21 12:52</t>
  </si>
  <si>
    <t>2025-10-30 08:50</t>
  </si>
  <si>
    <t>2025-11-01 19:01</t>
  </si>
  <si>
    <t>2025-11-08 20:33</t>
  </si>
  <si>
    <t>2025-11-15 20:47</t>
  </si>
  <si>
    <t>2025-11-24 20:49</t>
  </si>
  <si>
    <t>2025-11-27 20:50</t>
  </si>
  <si>
    <t>2025-11-29 18:41</t>
  </si>
  <si>
    <t>2025-11-30 20:30</t>
  </si>
  <si>
    <t>2025-11-19 20:59</t>
  </si>
  <si>
    <t>2025-12-08 19:25</t>
  </si>
  <si>
    <t>2025-09-13 16:12</t>
  </si>
  <si>
    <t>2025-09-14 16:48</t>
  </si>
  <si>
    <t>2025-09-15 14:27</t>
  </si>
  <si>
    <t>2025-09-26 17:02</t>
  </si>
  <si>
    <t>2025-09-20 15:20</t>
  </si>
  <si>
    <t>2025-10-08 12:47</t>
  </si>
  <si>
    <t>2025-09-27 18:57</t>
  </si>
  <si>
    <t>2025-09-26 17:08</t>
  </si>
  <si>
    <t>2025-10-14 14:08</t>
  </si>
  <si>
    <t>2025-10-20 16:45</t>
  </si>
  <si>
    <t>2025-10-22 10:20</t>
  </si>
  <si>
    <t>2025-10-29 18:25</t>
  </si>
  <si>
    <t>2025-11-08 18:59</t>
  </si>
  <si>
    <t>2025-11-15 21:53</t>
  </si>
  <si>
    <t>2025-11-24 21:44</t>
  </si>
  <si>
    <t>2025-11-27 11:58</t>
  </si>
  <si>
    <t>2025-11-29 21:06</t>
  </si>
  <si>
    <t>2025-11-30 21:53</t>
  </si>
  <si>
    <t>2025-11-19 20:25</t>
  </si>
  <si>
    <t>2025-12-08 21:17</t>
  </si>
  <si>
    <t>2025-09-13 21:23</t>
  </si>
  <si>
    <t>2025-09-14 20:17</t>
  </si>
  <si>
    <t>2025-09-20 18:59</t>
  </si>
  <si>
    <t>2025-09-19 15:52</t>
  </si>
  <si>
    <t>2025-09-27 15:19</t>
  </si>
  <si>
    <t>2025-10-04 19:00</t>
  </si>
  <si>
    <t>2025-10-09 07:57</t>
  </si>
  <si>
    <t>2025-10-18 15:55</t>
  </si>
  <si>
    <t>2025-10-25 13:16</t>
  </si>
  <si>
    <t>2025-10-16 08:55</t>
  </si>
  <si>
    <t>2025-10-22 10:04</t>
  </si>
  <si>
    <t>2025-11-01 13:15</t>
  </si>
  <si>
    <t>2025-11-08 16:11</t>
  </si>
  <si>
    <t>2025-11-15 18:40</t>
  </si>
  <si>
    <t>2025-11-24 20:09</t>
  </si>
  <si>
    <t>2025-11-26 13:14</t>
  </si>
  <si>
    <t>2025-11-29 19:52</t>
  </si>
  <si>
    <t>2025-11-30 15:20</t>
  </si>
  <si>
    <t>2025-11-19 21:46</t>
  </si>
  <si>
    <t>2025-12-07 20:10</t>
  </si>
  <si>
    <t>2025-09-13 22:45</t>
  </si>
  <si>
    <t>2025-09-20 21:35</t>
  </si>
  <si>
    <t>2025-09-25 09:16</t>
  </si>
  <si>
    <t>2025-09-25 08:37</t>
  </si>
  <si>
    <t>2025-10-04 19:43</t>
  </si>
  <si>
    <t>2025-10-18 09:49</t>
  </si>
  <si>
    <t>2025-10-25 16:55</t>
  </si>
  <si>
    <t>2025-10-16 23:32</t>
  </si>
  <si>
    <t>2025-10-22 11:28</t>
  </si>
  <si>
    <t>2025-11-01 20:55</t>
  </si>
  <si>
    <t>2025-11-01 20:18</t>
  </si>
  <si>
    <t>2025-11-08 18:08</t>
  </si>
  <si>
    <t>2025-11-15 21:17</t>
  </si>
  <si>
    <t>2025-11-25 21:18</t>
  </si>
  <si>
    <t>2025-11-25 22:00</t>
  </si>
  <si>
    <t>2025-11-28 10:57</t>
  </si>
  <si>
    <t>2025-11-20 07:47</t>
  </si>
  <si>
    <t>2025-12-08 18:41</t>
  </si>
  <si>
    <t>2025-09-13 22:46</t>
  </si>
  <si>
    <t>2025-09-10 11:39</t>
  </si>
  <si>
    <t>2025-09-15 10:10</t>
  </si>
  <si>
    <t>2025-09-20 21:55</t>
  </si>
  <si>
    <t>2025-09-20 21:57</t>
  </si>
  <si>
    <t>2025-09-26 16:15</t>
  </si>
  <si>
    <t>2025-09-27 08:27</t>
  </si>
  <si>
    <t>2025-09-26 16:47</t>
  </si>
  <si>
    <t>2025-09-26 16:52</t>
  </si>
  <si>
    <t>2025-10-18 21:20</t>
  </si>
  <si>
    <t>2025-10-25 20:56</t>
  </si>
  <si>
    <t>2025-10-15 21:14</t>
  </si>
  <si>
    <t>2025-10-22 10:21</t>
  </si>
  <si>
    <t>2025-11-01 19:42</t>
  </si>
  <si>
    <t>2025-11-01 18:54</t>
  </si>
  <si>
    <t>2025-11-01 19:41</t>
  </si>
  <si>
    <t>2025-11-15 20:18</t>
  </si>
  <si>
    <t>2025-11-24 20:44</t>
  </si>
  <si>
    <t>2025-11-27 17:31</t>
  </si>
  <si>
    <t>2025-11-28 12:42</t>
  </si>
  <si>
    <t>2025-11-19 20:55</t>
  </si>
  <si>
    <t>2025-12-08 19:38</t>
  </si>
  <si>
    <t>2025-09-14 15:29</t>
  </si>
  <si>
    <t>2025-09-14 19:18</t>
  </si>
  <si>
    <t>2025-09-13 22:23</t>
  </si>
  <si>
    <t>2025-09-10 22:17</t>
  </si>
  <si>
    <t>2025-09-14 20:15</t>
  </si>
  <si>
    <t>2025-09-20 20:32</t>
  </si>
  <si>
    <t>2025-09-20 10:07</t>
  </si>
  <si>
    <t>2025-10-07 23:45</t>
  </si>
  <si>
    <t>2025-09-25 09:26</t>
  </si>
  <si>
    <t>2025-09-25 09:30</t>
  </si>
  <si>
    <t>2025-10-04 20:37</t>
  </si>
  <si>
    <t>2025-10-09 09:25</t>
  </si>
  <si>
    <t>2025-10-18 19:33</t>
  </si>
  <si>
    <t>2025-10-25 11:29</t>
  </si>
  <si>
    <t>2025-10-18 19:32</t>
  </si>
  <si>
    <t>2025-10-22 09:54</t>
  </si>
  <si>
    <t>2025-11-01 19:52</t>
  </si>
  <si>
    <t>2025-11-01 18:23</t>
  </si>
  <si>
    <t>2025-11-08 20:19</t>
  </si>
  <si>
    <t>2025-11-15 20:22</t>
  </si>
  <si>
    <t>2025-11-24 21:16</t>
  </si>
  <si>
    <t>2025-11-27 14:12</t>
  </si>
  <si>
    <t>2025-11-28 18:52</t>
  </si>
  <si>
    <t>2025-11-19 20:37</t>
  </si>
  <si>
    <t>2025-12-08 21:54</t>
  </si>
  <si>
    <t>2025-09-13 21:56</t>
  </si>
  <si>
    <t>2025-09-13 07:19</t>
  </si>
  <si>
    <t>2025-09-14 20:19</t>
  </si>
  <si>
    <t>2025-09-16 00:20</t>
  </si>
  <si>
    <t>2025-10-08 15:57</t>
  </si>
  <si>
    <t>2025-09-23 17:00</t>
  </si>
  <si>
    <t>2025-10-04 17:25</t>
  </si>
  <si>
    <t>2025-10-11 14:07</t>
  </si>
  <si>
    <t>2025-10-18 13:54</t>
  </si>
  <si>
    <t>2025-10-25 18:33</t>
  </si>
  <si>
    <t>2025-10-18 14:13</t>
  </si>
  <si>
    <t>2025-10-22 10:00</t>
  </si>
  <si>
    <t>2025-10-31 14:48</t>
  </si>
  <si>
    <t>2025-10-31 15:12</t>
  </si>
  <si>
    <t>2025-11-08 21:44</t>
  </si>
  <si>
    <t>2025-11-15 20:34</t>
  </si>
  <si>
    <t>2025-11-24 21:54</t>
  </si>
  <si>
    <t>2025-11-27 12:13</t>
  </si>
  <si>
    <t>2025-11-28 22:03</t>
  </si>
  <si>
    <t>2025-11-30 18:08</t>
  </si>
  <si>
    <t>2025-11-19 21:24</t>
  </si>
  <si>
    <t>2025-12-08 20:58</t>
  </si>
  <si>
    <t>2025-09-13 21:05</t>
  </si>
  <si>
    <t>2025-09-11 21:34</t>
  </si>
  <si>
    <t>2025-09-12 23:06</t>
  </si>
  <si>
    <t>2025-09-20 21:30</t>
  </si>
  <si>
    <t>2025-09-20 18:35</t>
  </si>
  <si>
    <t>2025-10-08 11:39</t>
  </si>
  <si>
    <t>2025-09-27 14:58</t>
  </si>
  <si>
    <t>2025-10-15 17:06</t>
  </si>
  <si>
    <t>2025-10-25 16:43</t>
  </si>
  <si>
    <t>2025-10-22 10:01</t>
  </si>
  <si>
    <t>2025-11-01 15:57</t>
  </si>
  <si>
    <t>2025-11-01 17:09</t>
  </si>
  <si>
    <t>2025-11-08 20:18</t>
  </si>
  <si>
    <t>2025-11-24 21:20</t>
  </si>
  <si>
    <t>2025-11-28 13:29</t>
  </si>
  <si>
    <t>2025-11-19 20:23</t>
  </si>
  <si>
    <t>2025-12-08 20:42</t>
  </si>
  <si>
    <t>2025-09-14 20:39</t>
  </si>
  <si>
    <t>2025-09-20 21:59</t>
  </si>
  <si>
    <t>2025-09-20 08:17</t>
  </si>
  <si>
    <t>2025-10-09 09:13</t>
  </si>
  <si>
    <t>2025-09-27 19:49</t>
  </si>
  <si>
    <t>2025-10-03 22:56</t>
  </si>
  <si>
    <t>2025-10-16 20:20</t>
  </si>
  <si>
    <t>2025-10-25 14:35</t>
  </si>
  <si>
    <t>2025-10-21 21:03</t>
  </si>
  <si>
    <t>2025-11-01 15:49</t>
  </si>
  <si>
    <t>2025-11-01 16:40</t>
  </si>
  <si>
    <t>2025-11-08 16:30</t>
  </si>
  <si>
    <t>2025-11-15 20:30</t>
  </si>
  <si>
    <t>2025-11-24 21:13</t>
  </si>
  <si>
    <t>2025-11-27 17:30</t>
  </si>
  <si>
    <t>2025-11-29 14:13</t>
  </si>
  <si>
    <t>2025-11-19 20:32</t>
  </si>
  <si>
    <t>2025-12-08 21:57</t>
  </si>
  <si>
    <t>2025-09-13 22:54</t>
  </si>
  <si>
    <t>2025-09-10 11:41</t>
  </si>
  <si>
    <t>2025-09-14 17:33</t>
  </si>
  <si>
    <t>2025-09-20 18:06</t>
  </si>
  <si>
    <t>2025-09-20 17:32</t>
  </si>
  <si>
    <t>2025-10-08 15:41</t>
  </si>
  <si>
    <t>2025-10-04 18:23</t>
  </si>
  <si>
    <t>2025-10-11 20:31</t>
  </si>
  <si>
    <t>2025-10-18 20:14</t>
  </si>
  <si>
    <t>2025-10-25 13:12</t>
  </si>
  <si>
    <t>2025-10-18 20:16</t>
  </si>
  <si>
    <t>2025-10-22 11:19</t>
  </si>
  <si>
    <t>2025-10-31 14:47</t>
  </si>
  <si>
    <t>2025-10-31 14:58</t>
  </si>
  <si>
    <t>2025-11-08 21:26</t>
  </si>
  <si>
    <t>2025-11-15 20:40</t>
  </si>
  <si>
    <t>2025-11-24 21:38</t>
  </si>
  <si>
    <t>2025-11-26 14:44</t>
  </si>
  <si>
    <t>2025-11-27 20:34</t>
  </si>
  <si>
    <t>2025-11-30 18:25</t>
  </si>
  <si>
    <t>2025-11-19 22:05</t>
  </si>
  <si>
    <t>2025-12-08 18:14</t>
  </si>
  <si>
    <t>2025-09-13 22:47</t>
  </si>
  <si>
    <t>2025-09-12 19:57</t>
  </si>
  <si>
    <t>2025-09-12 21:04</t>
  </si>
  <si>
    <t>2025-09-20 20:29</t>
  </si>
  <si>
    <t>2025-09-20 20:09</t>
  </si>
  <si>
    <t>2025-10-08 15:38</t>
  </si>
  <si>
    <t>2025-09-27 20:14</t>
  </si>
  <si>
    <t>2025-09-27 14:59</t>
  </si>
  <si>
    <t>2025-10-13 11:24</t>
  </si>
  <si>
    <t>2025-10-25 16:40</t>
  </si>
  <si>
    <t>2025-10-16 08:12</t>
  </si>
  <si>
    <t>2025-10-22 09:55</t>
  </si>
  <si>
    <t>2025-10-22 09:58</t>
  </si>
  <si>
    <t>2025-11-01 17:10</t>
  </si>
  <si>
    <t>2025-11-24 21:22</t>
  </si>
  <si>
    <t>2025-11-24 21:15</t>
  </si>
  <si>
    <t>2025-11-28 13:25</t>
  </si>
  <si>
    <t>2025-11-28 13:28</t>
  </si>
  <si>
    <t>2025-11-19 20:24</t>
  </si>
  <si>
    <t>2025-09-13 21:16</t>
  </si>
  <si>
    <t>2025-09-14 20:08</t>
  </si>
  <si>
    <t>2025-09-20 19:07</t>
  </si>
  <si>
    <t>2025-09-20 19:10</t>
  </si>
  <si>
    <t>2025-10-07 21:32</t>
  </si>
  <si>
    <t>2025-09-27 19:13</t>
  </si>
  <si>
    <t>2025-09-27 18:31</t>
  </si>
  <si>
    <t>2025-10-04 17:43</t>
  </si>
  <si>
    <t>2025-10-09 09:02</t>
  </si>
  <si>
    <t>2025-10-18 21:18</t>
  </si>
  <si>
    <t>2025-10-18 21:21</t>
  </si>
  <si>
    <t>2025-10-22 00:01</t>
  </si>
  <si>
    <t>2025-11-01 21:19</t>
  </si>
  <si>
    <t>2025-11-01 21:30</t>
  </si>
  <si>
    <t>2025-11-15 21:52</t>
  </si>
  <si>
    <t>2025-11-24 21:41</t>
  </si>
  <si>
    <t>2025-11-27 21:27</t>
  </si>
  <si>
    <t>2025-11-29 20:27</t>
  </si>
  <si>
    <t>2025-11-30 21:57</t>
  </si>
  <si>
    <t>2025-11-19 21:12</t>
  </si>
  <si>
    <t>2025-12-08 21:59</t>
  </si>
  <si>
    <t>2025-09-13 20:19</t>
  </si>
  <si>
    <t>2025-09-13 19:58</t>
  </si>
  <si>
    <t>2025-09-13 20:18</t>
  </si>
  <si>
    <t>2025-09-20 17:28</t>
  </si>
  <si>
    <t>2025-09-20 20:23</t>
  </si>
  <si>
    <t>2025-09-27 20:20</t>
  </si>
  <si>
    <t>2025-10-04 21:44</t>
  </si>
  <si>
    <t>2025-10-18 08:20</t>
  </si>
  <si>
    <t>2025-10-25 00:42</t>
  </si>
  <si>
    <t>2025-10-18 08:07</t>
  </si>
  <si>
    <t>2025-10-21 19:24</t>
  </si>
  <si>
    <t>2025-10-22 21:47</t>
  </si>
  <si>
    <t>2025-11-01 18:48</t>
  </si>
  <si>
    <t>2025-11-01 20:13</t>
  </si>
  <si>
    <t>2025-11-08 19:12</t>
  </si>
  <si>
    <t>2025-11-15 21:12</t>
  </si>
  <si>
    <t>2025-11-27 21:48</t>
  </si>
  <si>
    <t>2025-11-29 20:19</t>
  </si>
  <si>
    <t>2025-11-30 21:32</t>
  </si>
  <si>
    <t>2025-11-19 21:18</t>
  </si>
  <si>
    <t>2025-11-07 17:41</t>
  </si>
  <si>
    <t>2025-11-15 21:16</t>
  </si>
  <si>
    <t>2025-11-29 20:53</t>
  </si>
  <si>
    <t>2025-11-27 21:22</t>
  </si>
  <si>
    <t>2025-11-29 19:24</t>
  </si>
  <si>
    <t>2025-11-30 21:45</t>
  </si>
  <si>
    <t>2025-11-20 18:30</t>
  </si>
  <si>
    <t>2025-09-13 19:36</t>
  </si>
  <si>
    <t>2025-09-11 09:10</t>
  </si>
  <si>
    <t>2025-09-13 14:32</t>
  </si>
  <si>
    <t>2025-09-20 12:44</t>
  </si>
  <si>
    <t>2025-09-20 12:47</t>
  </si>
  <si>
    <t>2025-10-08 00:02</t>
  </si>
  <si>
    <t>2025-09-26 16:33</t>
  </si>
  <si>
    <t>2025-09-26 14:23</t>
  </si>
  <si>
    <t>2025-09-26 14:25</t>
  </si>
  <si>
    <t>2025-10-04 14:55</t>
  </si>
  <si>
    <t>2025-10-18 00:13</t>
  </si>
  <si>
    <t>2025-10-24 23:59</t>
  </si>
  <si>
    <t>2025-10-18 00:18</t>
  </si>
  <si>
    <t>2025-10-21 23:01</t>
  </si>
  <si>
    <t>2025-11-01 00:25</t>
  </si>
  <si>
    <t>2025-11-01 00:40</t>
  </si>
  <si>
    <t>2025-11-08 19:07</t>
  </si>
  <si>
    <t>2025-11-15 18:49</t>
  </si>
  <si>
    <t>2025-11-24 15:57</t>
  </si>
  <si>
    <t>2025-11-27 11:34</t>
  </si>
  <si>
    <t>2025-11-28 23:42</t>
  </si>
  <si>
    <t>2025-11-30 20:01</t>
  </si>
  <si>
    <t>2025-11-19 18:48</t>
  </si>
  <si>
    <t>2025-12-08 20:53</t>
  </si>
  <si>
    <t>2025-09-13 19:57</t>
  </si>
  <si>
    <t>2025-09-14 21:28</t>
  </si>
  <si>
    <t>2025-09-20 18:24</t>
  </si>
  <si>
    <t>2025-10-08 16:20</t>
  </si>
  <si>
    <t>2025-09-27 15:54</t>
  </si>
  <si>
    <t>2025-10-04 21:31</t>
  </si>
  <si>
    <t>2025-10-11 19:02</t>
  </si>
  <si>
    <t>2025-10-18 20:07</t>
  </si>
  <si>
    <t>2025-10-18 20:12</t>
  </si>
  <si>
    <t>2025-10-22 11:20</t>
  </si>
  <si>
    <t>2025-11-01 20:35</t>
  </si>
  <si>
    <t>2025-11-01 20:38</t>
  </si>
  <si>
    <t>2025-11-08 18:25</t>
  </si>
  <si>
    <t>2025-11-15 20:25</t>
  </si>
  <si>
    <t>2025-11-24 21:56</t>
  </si>
  <si>
    <t>2025-11-27 21:45</t>
  </si>
  <si>
    <t>2025-11-29 20:12</t>
  </si>
  <si>
    <t>2025-11-30 19:30</t>
  </si>
  <si>
    <t>2025-11-19 20:28</t>
  </si>
  <si>
    <t>2025-12-08 21:18</t>
  </si>
  <si>
    <t>2025-09-12 23:33</t>
  </si>
  <si>
    <t>2025-09-10 13:19</t>
  </si>
  <si>
    <t>2025-09-12 21:03</t>
  </si>
  <si>
    <t>2025-09-20 20:59</t>
  </si>
  <si>
    <t>2025-09-20 20:45</t>
  </si>
  <si>
    <t>2025-10-08 16:29</t>
  </si>
  <si>
    <t>2025-09-24 23:36</t>
  </si>
  <si>
    <t>2025-09-24 22:30</t>
  </si>
  <si>
    <t>2025-09-24 22:36</t>
  </si>
  <si>
    <t>2025-10-04 21:48</t>
  </si>
  <si>
    <t>2025-10-11 08:23</t>
  </si>
  <si>
    <t>2025-10-17 22:57</t>
  </si>
  <si>
    <t>2025-10-25 14:23</t>
  </si>
  <si>
    <t>2025-10-16 19:52</t>
  </si>
  <si>
    <t>2025-10-21 22:58</t>
  </si>
  <si>
    <t>2025-10-21 23:00</t>
  </si>
  <si>
    <t>2025-10-29 18:39</t>
  </si>
  <si>
    <t>2025-11-15 20:44</t>
  </si>
  <si>
    <t>2025-11-24 21:49</t>
  </si>
  <si>
    <t>2025-11-27 21:04</t>
  </si>
  <si>
    <t>2025-11-29 21:36</t>
  </si>
  <si>
    <t>2025-11-30 21:56</t>
  </si>
  <si>
    <t>2025-11-19 21:33</t>
  </si>
  <si>
    <t>2025-12-08 21:53</t>
  </si>
  <si>
    <t>2025-09-13 22:13</t>
  </si>
  <si>
    <t>2025-09-13 19:52</t>
  </si>
  <si>
    <t>2025-09-14 20:33</t>
  </si>
  <si>
    <t>2025-09-20 20:24</t>
  </si>
  <si>
    <t>2025-09-19 14:06</t>
  </si>
  <si>
    <t>2025-10-08 12:06</t>
  </si>
  <si>
    <t>2025-09-27 21:50</t>
  </si>
  <si>
    <t>2025-09-25 21:05</t>
  </si>
  <si>
    <t>2025-09-25 21:08</t>
  </si>
  <si>
    <t>2025-10-04 21:39</t>
  </si>
  <si>
    <t>2025-10-09 07:55</t>
  </si>
  <si>
    <t>2025-10-17 17:22</t>
  </si>
  <si>
    <t>2025-10-24 21:07</t>
  </si>
  <si>
    <t>2025-10-16 22:47</t>
  </si>
  <si>
    <t>2025-10-21 19:21</t>
  </si>
  <si>
    <t>2025-10-21 19:23</t>
  </si>
  <si>
    <t>2025-11-01 18:37</t>
  </si>
  <si>
    <t>2025-11-01 14:47</t>
  </si>
  <si>
    <t>2025-11-08 19:50</t>
  </si>
  <si>
    <t>2025-11-24 21:45</t>
  </si>
  <si>
    <t>2025-11-27 19:48</t>
  </si>
  <si>
    <t>2025-11-29 17:56</t>
  </si>
  <si>
    <t>2025-11-30 21:52</t>
  </si>
  <si>
    <t>2025-11-19 20:02</t>
  </si>
  <si>
    <t>2025-09-13 21:08</t>
  </si>
  <si>
    <t>2025-09-14 18:41</t>
  </si>
  <si>
    <t>2025-09-20 20:08</t>
  </si>
  <si>
    <t>2025-09-20 19:43</t>
  </si>
  <si>
    <t>2025-10-08 13:40</t>
  </si>
  <si>
    <t>2025-09-27 21:53</t>
  </si>
  <si>
    <t>2025-09-27 21:52</t>
  </si>
  <si>
    <t>2025-09-27 21:51</t>
  </si>
  <si>
    <t>2025-10-04 20:12</t>
  </si>
  <si>
    <t>2025-10-18 21:55</t>
  </si>
  <si>
    <t>2025-10-25 20:36</t>
  </si>
  <si>
    <t>2025-10-16 08:19</t>
  </si>
  <si>
    <t>2025-10-21 23:54</t>
  </si>
  <si>
    <t>2025-11-01 19:55</t>
  </si>
  <si>
    <t>2025-11-08 15:03</t>
  </si>
  <si>
    <t>2025-11-24 21:59</t>
  </si>
  <si>
    <t>2025-11-27 19:59</t>
  </si>
  <si>
    <t>2025-11-29 20:11</t>
  </si>
  <si>
    <t>2025-12-08 21:12</t>
  </si>
  <si>
    <t>2025-09-13 18:38</t>
  </si>
  <si>
    <t>2025-09-12 23:08</t>
  </si>
  <si>
    <t>2025-09-14 20:11</t>
  </si>
  <si>
    <t>2025-09-20 12:21</t>
  </si>
  <si>
    <t>2025-09-19 19:45</t>
  </si>
  <si>
    <t>2025-09-27 12:11</t>
  </si>
  <si>
    <t>2025-09-27 11:47</t>
  </si>
  <si>
    <t>2025-09-26 23:35</t>
  </si>
  <si>
    <t>2025-09-26 23:37</t>
  </si>
  <si>
    <t>2025-10-03 23:57</t>
  </si>
  <si>
    <t>2025-10-11 12:24</t>
  </si>
  <si>
    <t>2025-10-17 23:30</t>
  </si>
  <si>
    <t>2025-10-25 12:04</t>
  </si>
  <si>
    <t>2025-10-17 23:11</t>
  </si>
  <si>
    <t>2025-10-21 23:09</t>
  </si>
  <si>
    <t>2025-11-01 12:11</t>
  </si>
  <si>
    <t>2025-11-01 12:06</t>
  </si>
  <si>
    <t>2025-11-08 19:29</t>
  </si>
  <si>
    <t>2025-11-15 19:20</t>
  </si>
  <si>
    <t>2025-11-24 19:05</t>
  </si>
  <si>
    <t>2025-11-27 00:24</t>
  </si>
  <si>
    <t>2025-11-28 23:41</t>
  </si>
  <si>
    <t>2025-11-30 19:54</t>
  </si>
  <si>
    <t>2025-11-19 18:37</t>
  </si>
  <si>
    <t>2025-12-08 20:17</t>
  </si>
  <si>
    <t>2025-09-13 21:48</t>
  </si>
  <si>
    <t>2025-09-14 16:45</t>
  </si>
  <si>
    <t>2025-09-20 16:00</t>
  </si>
  <si>
    <t>2025-10-08 15:54</t>
  </si>
  <si>
    <t>2025-09-27 16:14</t>
  </si>
  <si>
    <t>2025-09-27 16:23</t>
  </si>
  <si>
    <t>2025-10-04 21:52</t>
  </si>
  <si>
    <t>2025-10-10 11:54</t>
  </si>
  <si>
    <t>2025-10-18 21:52</t>
  </si>
  <si>
    <t>2025-10-25 20:25</t>
  </si>
  <si>
    <t>2025-10-18 20:13</t>
  </si>
  <si>
    <t>2025-10-31 15:59</t>
  </si>
  <si>
    <t>2025-11-01 13:48</t>
  </si>
  <si>
    <t>2025-11-07 12:10</t>
  </si>
  <si>
    <t>2025-11-14 12:41</t>
  </si>
  <si>
    <t>2025-11-24 22:11</t>
  </si>
  <si>
    <t>2025-11-26 19:30</t>
  </si>
  <si>
    <t>2025-11-29 20:04</t>
  </si>
  <si>
    <t>2025-11-30 10:43</t>
  </si>
  <si>
    <t>2025-11-17 17:36</t>
  </si>
  <si>
    <t>2025-12-08 20:30</t>
  </si>
  <si>
    <t>2025-09-13 18:52</t>
  </si>
  <si>
    <t>2025-09-13 18:10</t>
  </si>
  <si>
    <t>2025-09-14 20:12</t>
  </si>
  <si>
    <t>2025-09-20 11:35</t>
  </si>
  <si>
    <t>2025-09-19 22:40</t>
  </si>
  <si>
    <t>2025-09-27 11:31</t>
  </si>
  <si>
    <t>2025-09-27 17:00</t>
  </si>
  <si>
    <t>2025-09-27 11:18</t>
  </si>
  <si>
    <t>2025-09-27 11:29</t>
  </si>
  <si>
    <t>2025-10-04 12:49</t>
  </si>
  <si>
    <t>2025-10-11 20:34</t>
  </si>
  <si>
    <t>2025-10-17 23:05</t>
  </si>
  <si>
    <t>2025-10-25 00:27</t>
  </si>
  <si>
    <t>2025-10-17 23:08</t>
  </si>
  <si>
    <t>2025-10-21 23:56</t>
  </si>
  <si>
    <t>2025-10-23 00:07</t>
  </si>
  <si>
    <t>2025-11-01 08:22</t>
  </si>
  <si>
    <t>2025-11-01 12:46</t>
  </si>
  <si>
    <t>2025-11-08 19:00</t>
  </si>
  <si>
    <t>2025-11-15 19:09</t>
  </si>
  <si>
    <t>2025-11-24 16:45</t>
  </si>
  <si>
    <t>2025-11-27 12:01</t>
  </si>
  <si>
    <t>2025-11-29 19:23</t>
  </si>
  <si>
    <t>2025-11-19 18:30</t>
  </si>
  <si>
    <t>2025-12-08 19:46</t>
  </si>
  <si>
    <t>2025-09-13 21:00</t>
  </si>
  <si>
    <t>2025-09-11 21:25</t>
  </si>
  <si>
    <t>2025-09-13 22:37</t>
  </si>
  <si>
    <t>2025-09-20 20:49</t>
  </si>
  <si>
    <t>2025-09-18 07:49</t>
  </si>
  <si>
    <t>2025-10-08 12:08</t>
  </si>
  <si>
    <t>2025-09-27 18:56</t>
  </si>
  <si>
    <t>2025-10-03 10:45</t>
  </si>
  <si>
    <t>2025-10-18 15:10</t>
  </si>
  <si>
    <t>2025-10-25 18:38</t>
  </si>
  <si>
    <t>2025-10-21 12:02</t>
  </si>
  <si>
    <t>2025-11-01 21:28</t>
  </si>
  <si>
    <t>2025-11-01 19:51</t>
  </si>
  <si>
    <t>2025-11-08 19:01</t>
  </si>
  <si>
    <t>2025-11-15 21:55</t>
  </si>
  <si>
    <t>2025-11-24 21:31</t>
  </si>
  <si>
    <t>2025-11-27 20:07</t>
  </si>
  <si>
    <t>2025-11-29 21:46</t>
  </si>
  <si>
    <t>2025-11-19 21:05</t>
  </si>
  <si>
    <t>2025-09-13 21:55</t>
  </si>
  <si>
    <t>2025-09-20 09:13</t>
  </si>
  <si>
    <t>2025-10-08 15:53</t>
  </si>
  <si>
    <t>2025-09-27 16:52</t>
  </si>
  <si>
    <t>2025-09-26 16:01</t>
  </si>
  <si>
    <t>2025-09-26 23:32</t>
  </si>
  <si>
    <t>2025-10-03 22:34</t>
  </si>
  <si>
    <t>2025-10-10 22:14</t>
  </si>
  <si>
    <t>2025-10-16 13:57</t>
  </si>
  <si>
    <t>2025-10-16 16:59</t>
  </si>
  <si>
    <t>2025-10-21 22:44</t>
  </si>
  <si>
    <t>2025-10-21 22:45</t>
  </si>
  <si>
    <t>2025-10-31 23:45</t>
  </si>
  <si>
    <t>2025-11-01 18:43</t>
  </si>
  <si>
    <t>2025-11-08 20:29</t>
  </si>
  <si>
    <t>2025-11-16 09:03</t>
  </si>
  <si>
    <t>2025-11-24 20:21</t>
  </si>
  <si>
    <t>2025-11-27 11:53</t>
  </si>
  <si>
    <t>2025-11-29 21:39</t>
  </si>
  <si>
    <t>2025-11-30 21:58</t>
  </si>
  <si>
    <t>2025-12-08 17:26</t>
  </si>
  <si>
    <t>2025-09-13 23:05</t>
  </si>
  <si>
    <t>2025-09-10 13:31</t>
  </si>
  <si>
    <t>2025-09-14 20:10</t>
  </si>
  <si>
    <t>2025-09-20 21:25</t>
  </si>
  <si>
    <t>2025-09-20 19:34</t>
  </si>
  <si>
    <t>2025-10-08 15:36</t>
  </si>
  <si>
    <t>2025-09-27 08:31</t>
  </si>
  <si>
    <t>2025-09-27 08:32</t>
  </si>
  <si>
    <t>2025-10-04 20:59</t>
  </si>
  <si>
    <t>2025-10-11 12:21</t>
  </si>
  <si>
    <t>2025-10-18 13:48</t>
  </si>
  <si>
    <t>2025-10-25 18:49</t>
  </si>
  <si>
    <t>2025-10-18 01:52</t>
  </si>
  <si>
    <t>2025-10-21 16:36</t>
  </si>
  <si>
    <t>2025-10-22 22:35</t>
  </si>
  <si>
    <t>2025-10-30 13:51</t>
  </si>
  <si>
    <t>2025-11-01 09:19</t>
  </si>
  <si>
    <t>2025-11-08 19:31</t>
  </si>
  <si>
    <t>2025-11-27 21:07</t>
  </si>
  <si>
    <t>2025-11-29 17:48</t>
  </si>
  <si>
    <t>2025-11-19 19:14</t>
  </si>
  <si>
    <t>2025-09-13 14:09</t>
  </si>
  <si>
    <t>2025-09-10 13:46</t>
  </si>
  <si>
    <t>2025-09-14 18:59</t>
  </si>
  <si>
    <t>2025-09-22 12:13</t>
  </si>
  <si>
    <t>2025-09-19 15:47</t>
  </si>
  <si>
    <t>2025-09-27 20:41</t>
  </si>
  <si>
    <t>2025-09-26 15:40</t>
  </si>
  <si>
    <t>2025-09-26 15:42</t>
  </si>
  <si>
    <t>2025-10-03 19:14</t>
  </si>
  <si>
    <t>2025-10-11 20:29</t>
  </si>
  <si>
    <t>2025-10-18 15:06</t>
  </si>
  <si>
    <t>2025-10-25 14:06</t>
  </si>
  <si>
    <t>2025-10-18 09:38</t>
  </si>
  <si>
    <t>2025-10-21 12:43</t>
  </si>
  <si>
    <t>2025-10-31 17:20</t>
  </si>
  <si>
    <t>2025-11-01 18:52</t>
  </si>
  <si>
    <t>2025-11-08 20:31</t>
  </si>
  <si>
    <t>2025-11-15 20:42</t>
  </si>
  <si>
    <t>2025-11-25 23:29</t>
  </si>
  <si>
    <t>2025-11-27 21:59</t>
  </si>
  <si>
    <t>2025-11-29 11:56</t>
  </si>
  <si>
    <t>2025-11-19 21:20</t>
  </si>
  <si>
    <t>2025-09-13 21:51</t>
  </si>
  <si>
    <t>2025-09-14 16:06</t>
  </si>
  <si>
    <t>2025-09-20 22:55</t>
  </si>
  <si>
    <t>2025-09-20 21:38</t>
  </si>
  <si>
    <t>2025-10-08 15:27</t>
  </si>
  <si>
    <t>2025-09-27 08:48</t>
  </si>
  <si>
    <t>2025-09-27 08:44</t>
  </si>
  <si>
    <t>2025-10-04 15:26</t>
  </si>
  <si>
    <t>2025-10-10 23:30</t>
  </si>
  <si>
    <t>2025-10-18 00:28</t>
  </si>
  <si>
    <t>2025-10-25 18:54</t>
  </si>
  <si>
    <t>2025-10-17 23:56</t>
  </si>
  <si>
    <t>2025-10-23 09:04</t>
  </si>
  <si>
    <t>2025-11-01 18:46</t>
  </si>
  <si>
    <t>2025-11-08 19:40</t>
  </si>
  <si>
    <t>2025-11-15 14:21</t>
  </si>
  <si>
    <t>2025-11-27 21:12</t>
  </si>
  <si>
    <t>2025-11-27 19:55</t>
  </si>
  <si>
    <t>2025-11-30 18:42</t>
  </si>
  <si>
    <t>2025-09-13 21:59</t>
  </si>
  <si>
    <t>2025-09-14 20:14</t>
  </si>
  <si>
    <t>2025-09-20 21:19</t>
  </si>
  <si>
    <t>2025-09-19 23:23</t>
  </si>
  <si>
    <t>2025-09-27 21:15</t>
  </si>
  <si>
    <t>2025-09-27 14:48</t>
  </si>
  <si>
    <t>2025-10-04 12:27</t>
  </si>
  <si>
    <t>2025-10-11 20:35</t>
  </si>
  <si>
    <t>2025-10-18 15:00</t>
  </si>
  <si>
    <t>2025-10-25 18:13</t>
  </si>
  <si>
    <t>2025-10-18 15:07</t>
  </si>
  <si>
    <t>2025-10-21 23:06</t>
  </si>
  <si>
    <t>2025-10-23 08:39</t>
  </si>
  <si>
    <t>2025-11-01 00:43</t>
  </si>
  <si>
    <t>2025-11-01 00:23</t>
  </si>
  <si>
    <t>2025-11-08 14:00</t>
  </si>
  <si>
    <t>2025-11-15 19:03</t>
  </si>
  <si>
    <t>2025-11-24 17:10</t>
  </si>
  <si>
    <t>2025-11-28 23:25</t>
  </si>
  <si>
    <t>2025-11-29 11:58</t>
  </si>
  <si>
    <t>2025-11-19 19:35</t>
  </si>
  <si>
    <t>2025-09-13 21:26</t>
  </si>
  <si>
    <t>2025-09-10 11:50</t>
  </si>
  <si>
    <t>2025-09-14 18:29</t>
  </si>
  <si>
    <t>2025-09-20 07:44</t>
  </si>
  <si>
    <t>2025-10-08 15:18</t>
  </si>
  <si>
    <t>2025-09-26 14:50</t>
  </si>
  <si>
    <t>2025-10-04 18:52</t>
  </si>
  <si>
    <t>2025-10-11 09:39</t>
  </si>
  <si>
    <t>2025-10-18 15:39</t>
  </si>
  <si>
    <t>2025-10-25 17:08</t>
  </si>
  <si>
    <t>2025-10-16 10:24</t>
  </si>
  <si>
    <t>2025-10-22 09:50</t>
  </si>
  <si>
    <t>2025-10-22 09:49</t>
  </si>
  <si>
    <t>2025-11-01 13:28</t>
  </si>
  <si>
    <t>2025-11-01 19:21</t>
  </si>
  <si>
    <t>2025-11-08 16:08</t>
  </si>
  <si>
    <t>2025-11-15 18:24</t>
  </si>
  <si>
    <t>2025-11-24 21:32</t>
  </si>
  <si>
    <t>2025-11-30 16:06</t>
  </si>
  <si>
    <t>2025-11-19 18:54</t>
  </si>
  <si>
    <t>2025-09-11 19:33</t>
  </si>
  <si>
    <t>2025-09-14 18:25</t>
  </si>
  <si>
    <t>2025-09-22 11:29</t>
  </si>
  <si>
    <t>2025-09-19 16:03</t>
  </si>
  <si>
    <t>2025-09-25 19:58</t>
  </si>
  <si>
    <t>2025-10-03 19:24</t>
  </si>
  <si>
    <t>2025-10-10 15:03</t>
  </si>
  <si>
    <t>2025-10-18 21:47</t>
  </si>
  <si>
    <t>2025-10-25 20:41</t>
  </si>
  <si>
    <t>2025-10-18 21:35</t>
  </si>
  <si>
    <t>2025-10-22 10:29</t>
  </si>
  <si>
    <t>2025-11-01 21:01</t>
  </si>
  <si>
    <t>2025-11-01 12:41</t>
  </si>
  <si>
    <t>2025-11-08 15:07</t>
  </si>
  <si>
    <t>2025-11-15 13:56</t>
  </si>
  <si>
    <t>2025-11-24 21:33</t>
  </si>
  <si>
    <t>2025-11-29 19:25</t>
  </si>
  <si>
    <t>2025-11-29 19:26</t>
  </si>
  <si>
    <t>2025-11-19 16:56</t>
  </si>
  <si>
    <t>2025-09-13 21:31</t>
  </si>
  <si>
    <t>2025-09-11 08:40</t>
  </si>
  <si>
    <t>2025-09-14 16:37</t>
  </si>
  <si>
    <t>2025-09-21 11:42</t>
  </si>
  <si>
    <t>2025-09-21 11:16</t>
  </si>
  <si>
    <t>2025-10-07 21:35</t>
  </si>
  <si>
    <t>2025-09-27 21:10</t>
  </si>
  <si>
    <t>2025-10-04 15:22</t>
  </si>
  <si>
    <t>2025-10-18 19:47</t>
  </si>
  <si>
    <t>2025-10-25 15:29</t>
  </si>
  <si>
    <t>2025-10-18 19:29</t>
  </si>
  <si>
    <t>2025-10-22 09:25</t>
  </si>
  <si>
    <t>2025-10-22 09:27</t>
  </si>
  <si>
    <t>2025-11-01 10:44</t>
  </si>
  <si>
    <t>2025-11-08 16:19</t>
  </si>
  <si>
    <t>2025-11-26 13:01</t>
  </si>
  <si>
    <t>2025-11-30 15:18</t>
  </si>
  <si>
    <t>2025-11-19 21:22</t>
  </si>
  <si>
    <t>2025-09-10 23:18</t>
  </si>
  <si>
    <t>2025-09-13 16:24</t>
  </si>
  <si>
    <t>2025-09-20 17:02</t>
  </si>
  <si>
    <t>2025-09-18 22:34</t>
  </si>
  <si>
    <t>2025-10-07 23:25</t>
  </si>
  <si>
    <t>2025-09-27 11:12</t>
  </si>
  <si>
    <t>2025-09-26 16:21</t>
  </si>
  <si>
    <t>2025-09-26 16:23</t>
  </si>
  <si>
    <t>2025-10-04 13:39</t>
  </si>
  <si>
    <t>2025-10-11 12:45</t>
  </si>
  <si>
    <t>2025-10-18 15:21</t>
  </si>
  <si>
    <t>2025-10-22 19:01</t>
  </si>
  <si>
    <t>2025-10-18 14:28</t>
  </si>
  <si>
    <t>2025-10-22 09:01</t>
  </si>
  <si>
    <t>2025-10-22 09:03</t>
  </si>
  <si>
    <t>2025-11-01 21:29</t>
  </si>
  <si>
    <t>2025-11-01 12:34</t>
  </si>
  <si>
    <t>2025-11-15 21:28</t>
  </si>
  <si>
    <t>2025-11-24 18:21</t>
  </si>
  <si>
    <t>2025-11-29 16:21</t>
  </si>
  <si>
    <t>2025-11-30 19:07</t>
  </si>
  <si>
    <t>2025-11-19 16:48</t>
  </si>
  <si>
    <t>2025-12-08 21:56</t>
  </si>
  <si>
    <t>2025-09-13 15:32</t>
  </si>
  <si>
    <t>2025-09-10 11:55</t>
  </si>
  <si>
    <t>2025-09-14 18:08</t>
  </si>
  <si>
    <t>2025-09-18 22:58</t>
  </si>
  <si>
    <t>2025-10-08 16:17</t>
  </si>
  <si>
    <t>2025-09-27 21:59</t>
  </si>
  <si>
    <t>2025-09-27 17:33</t>
  </si>
  <si>
    <t>2025-10-03 20:59</t>
  </si>
  <si>
    <t>2025-10-18 16:31</t>
  </si>
  <si>
    <t>2025-10-25 13:42</t>
  </si>
  <si>
    <t>2025-10-16 09:20</t>
  </si>
  <si>
    <t>2025-10-22 09:52</t>
  </si>
  <si>
    <t>2025-11-01 17:12</t>
  </si>
  <si>
    <t>2025-11-08 20:27</t>
  </si>
  <si>
    <t>2025-11-27 20:09</t>
  </si>
  <si>
    <t>2025-11-30 21:55</t>
  </si>
  <si>
    <t>2025-11-19 21:55</t>
  </si>
  <si>
    <t>2025-12-08 20:31</t>
  </si>
  <si>
    <t>2025-09-12 22:53</t>
  </si>
  <si>
    <t>2025-09-10 13:21</t>
  </si>
  <si>
    <t>2025-09-14 18:10</t>
  </si>
  <si>
    <t>2025-09-20 21:00</t>
  </si>
  <si>
    <t>2025-10-08 14:52</t>
  </si>
  <si>
    <t>2025-09-27 20:34</t>
  </si>
  <si>
    <t>2025-09-27 16:13</t>
  </si>
  <si>
    <t>2025-09-27 16:15</t>
  </si>
  <si>
    <t>2025-10-04 19:54</t>
  </si>
  <si>
    <t>2025-10-18 14:35</t>
  </si>
  <si>
    <t>2025-10-24 23:11</t>
  </si>
  <si>
    <t>2025-10-18 10:08</t>
  </si>
  <si>
    <t>2025-10-22 09:46</t>
  </si>
  <si>
    <t>2025-11-01 16:00</t>
  </si>
  <si>
    <t>2025-11-08 21:25</t>
  </si>
  <si>
    <t>2025-11-15 20:43</t>
  </si>
  <si>
    <t>2025-11-27 21:00</t>
  </si>
  <si>
    <t>2025-11-29 21:37</t>
  </si>
  <si>
    <t>2025-11-19 21:36</t>
  </si>
  <si>
    <t>2025-12-08 21:58</t>
  </si>
  <si>
    <t>2025-09-13 21:49</t>
  </si>
  <si>
    <t>2025-09-10 11:32</t>
  </si>
  <si>
    <t>2025-09-13 00:06</t>
  </si>
  <si>
    <t>2025-09-20 21:02</t>
  </si>
  <si>
    <t>2025-10-08 11:32</t>
  </si>
  <si>
    <t>2025-09-27 15:26</t>
  </si>
  <si>
    <t>2025-10-03 21:26</t>
  </si>
  <si>
    <t>2025-10-09 09:04</t>
  </si>
  <si>
    <t>2025-10-18 13:55</t>
  </si>
  <si>
    <t>2025-10-25 17:19</t>
  </si>
  <si>
    <t>2025-10-17 16:11</t>
  </si>
  <si>
    <t>2025-10-21 23:04</t>
  </si>
  <si>
    <t>2025-11-15 15:08</t>
  </si>
  <si>
    <t>2025-11-24 19:41</t>
  </si>
  <si>
    <t>2025-11-27 16:24</t>
  </si>
  <si>
    <t>2025-11-29 18:48</t>
  </si>
  <si>
    <t>2025-11-29 18:53</t>
  </si>
  <si>
    <t>2025-12-08 20:59</t>
  </si>
  <si>
    <t>2025-09-13 21:42</t>
  </si>
  <si>
    <t>2025-09-13 18:07</t>
  </si>
  <si>
    <t>2025-09-14 18:31</t>
  </si>
  <si>
    <t>2025-09-20 15:31</t>
  </si>
  <si>
    <t>2025-09-19 14:18</t>
  </si>
  <si>
    <t>2025-10-08 12:36</t>
  </si>
  <si>
    <t>2025-09-27 19:17</t>
  </si>
  <si>
    <t>2025-09-26 14:53</t>
  </si>
  <si>
    <t>2025-10-03 13:24</t>
  </si>
  <si>
    <t>2025-10-10 11:22</t>
  </si>
  <si>
    <t>2025-10-17 13:49</t>
  </si>
  <si>
    <t>2025-10-25 17:20</t>
  </si>
  <si>
    <t>2025-11-01 13:46</t>
  </si>
  <si>
    <t>2025-11-08 17:44</t>
  </si>
  <si>
    <t>2025-11-15 18:26</t>
  </si>
  <si>
    <t>2025-11-27 20:23</t>
  </si>
  <si>
    <t>2025-11-29 19:55</t>
  </si>
  <si>
    <t>2025-11-30 15:21</t>
  </si>
  <si>
    <t>2025-11-19 20:33</t>
  </si>
  <si>
    <t>2025-12-08 15:03</t>
  </si>
  <si>
    <t>2025-09-13 20:17</t>
  </si>
  <si>
    <t>2025-09-14 19:02</t>
  </si>
  <si>
    <t>2025-09-20 19:47</t>
  </si>
  <si>
    <t>2025-09-27 20:36</t>
  </si>
  <si>
    <t>2025-09-27 20:37</t>
  </si>
  <si>
    <t>2025-10-11 21:33</t>
  </si>
  <si>
    <t>2025-10-22 00:31</t>
  </si>
  <si>
    <t>2025-10-23 09:20</t>
  </si>
  <si>
    <t>2025-09-13 13:53</t>
  </si>
  <si>
    <t>2025-09-10 11:37</t>
  </si>
  <si>
    <t>2025-09-12 23:57</t>
  </si>
  <si>
    <t>2025-09-20 19:23</t>
  </si>
  <si>
    <t>2025-09-20 10:39</t>
  </si>
  <si>
    <t>2025-10-06 00:00</t>
  </si>
  <si>
    <t>2025-09-27 21:11</t>
  </si>
  <si>
    <t>2025-10-04 12:40</t>
  </si>
  <si>
    <t>2025-10-12 00:22</t>
  </si>
  <si>
    <t>2025-10-24 23:15</t>
  </si>
  <si>
    <t>2025-10-16 18:11</t>
  </si>
  <si>
    <t>2025-10-21 12:42</t>
  </si>
  <si>
    <t>2025-10-31 23:29</t>
  </si>
  <si>
    <t>2025-11-01 20:02</t>
  </si>
  <si>
    <t>2025-11-08 21:22</t>
  </si>
  <si>
    <t>2025-11-15 18:32</t>
  </si>
  <si>
    <t>2025-11-24 19:39</t>
  </si>
  <si>
    <t>2025-11-25 12:46</t>
  </si>
  <si>
    <t>2025-11-30 20:21</t>
  </si>
  <si>
    <t>2025-11-19 20:38</t>
  </si>
  <si>
    <t>2025-12-08 21:16</t>
  </si>
  <si>
    <t>2025-09-13 22:08</t>
  </si>
  <si>
    <t>2025-09-10 11:56</t>
  </si>
  <si>
    <t>2025-09-14 19:28</t>
  </si>
  <si>
    <t>2025-09-20 20:04</t>
  </si>
  <si>
    <t>2025-09-19 22:30</t>
  </si>
  <si>
    <t>2025-10-08 16:14</t>
  </si>
  <si>
    <t>2025-09-27 21:56</t>
  </si>
  <si>
    <t>2025-09-27 17:16</t>
  </si>
  <si>
    <t>2025-10-04 16:38</t>
  </si>
  <si>
    <t>2025-10-10 12:50</t>
  </si>
  <si>
    <t>2025-10-18 16:29</t>
  </si>
  <si>
    <t>2025-10-25 13:46</t>
  </si>
  <si>
    <t>2025-10-18 15:52</t>
  </si>
  <si>
    <t>2025-10-22 09:56</t>
  </si>
  <si>
    <t>2025-11-01 19:45</t>
  </si>
  <si>
    <t>2025-11-01 19:46</t>
  </si>
  <si>
    <t>2025-11-08 20:30</t>
  </si>
  <si>
    <t>2025-11-24 21:55</t>
  </si>
  <si>
    <t>2025-11-27 21:10</t>
  </si>
  <si>
    <t>2025-11-19 21:57</t>
  </si>
  <si>
    <t>2025-12-08 21:49</t>
  </si>
  <si>
    <t>2025-09-15 17:06</t>
  </si>
  <si>
    <t>2025-09-14 19:13</t>
  </si>
  <si>
    <t>2025-09-20 21:58</t>
  </si>
  <si>
    <t>2025-09-20 21:18</t>
  </si>
  <si>
    <t>2025-10-04 18:44</t>
  </si>
  <si>
    <t>2025-10-11 20:40</t>
  </si>
  <si>
    <t>2025-10-18 16:34</t>
  </si>
  <si>
    <t>2025-10-25 19:13</t>
  </si>
  <si>
    <t>2025-10-18 16:36</t>
  </si>
  <si>
    <t>2025-10-23 08:45</t>
  </si>
  <si>
    <t>2025-11-01 18:53</t>
  </si>
  <si>
    <t>2025-11-08 17:17</t>
  </si>
  <si>
    <t>2025-11-15 20:27</t>
  </si>
  <si>
    <t>2025-11-24 22:24</t>
  </si>
  <si>
    <t>2025-11-27 20:25</t>
  </si>
  <si>
    <t>2025-11-29 19:27</t>
  </si>
  <si>
    <t>2025-11-30 19:25</t>
  </si>
  <si>
    <t>2025-11-19 18:09</t>
  </si>
  <si>
    <t>2025-12-08 21:03</t>
  </si>
  <si>
    <t>2025-09-13 20:45</t>
  </si>
  <si>
    <t>2025-09-14 20:58</t>
  </si>
  <si>
    <t>2025-09-20 20:43</t>
  </si>
  <si>
    <t>2025-09-20 20:35</t>
  </si>
  <si>
    <t>2025-10-08 12:15</t>
  </si>
  <si>
    <t>2025-09-27 20:45</t>
  </si>
  <si>
    <t>2025-09-27 16:37</t>
  </si>
  <si>
    <t>2025-09-27 16:38</t>
  </si>
  <si>
    <t>2025-10-04 20:09</t>
  </si>
  <si>
    <t>2025-10-11 19:45</t>
  </si>
  <si>
    <t>2025-10-18 18:52</t>
  </si>
  <si>
    <t>2025-10-25 19:37</t>
  </si>
  <si>
    <t>2025-10-18 18:49</t>
  </si>
  <si>
    <t>2025-11-01 17:24</t>
  </si>
  <si>
    <t>2025-11-08 16:35</t>
  </si>
  <si>
    <t>2025-11-24 23:53</t>
  </si>
  <si>
    <t>2025-11-26 23:16</t>
  </si>
  <si>
    <t>2025-11-29 18:18</t>
  </si>
  <si>
    <t>2025-11-30 17:30</t>
  </si>
  <si>
    <t>2025-11-19 20:34</t>
  </si>
  <si>
    <t>2025-09-13 22:55</t>
  </si>
  <si>
    <t>2025-09-12 20:21</t>
  </si>
  <si>
    <t>2025-09-20 20:41</t>
  </si>
  <si>
    <t>2025-10-08 14:42</t>
  </si>
  <si>
    <t>2025-09-27 20:54</t>
  </si>
  <si>
    <t>2025-09-27 18:36</t>
  </si>
  <si>
    <t>2025-09-27 18:48</t>
  </si>
  <si>
    <t>2025-10-04 20:34</t>
  </si>
  <si>
    <t>2025-10-18 20:38</t>
  </si>
  <si>
    <t>2025-10-25 20:11</t>
  </si>
  <si>
    <t>2025-10-18 13:29</t>
  </si>
  <si>
    <t>2025-10-21 23:16</t>
  </si>
  <si>
    <t>2025-10-21 23:21</t>
  </si>
  <si>
    <t>2025-11-01 21:31</t>
  </si>
  <si>
    <t>2025-11-01 20:03</t>
  </si>
  <si>
    <t>2025-11-08 21:31</t>
  </si>
  <si>
    <t>2025-11-15 18:48</t>
  </si>
  <si>
    <t>2025-11-24 19:08</t>
  </si>
  <si>
    <t>2025-11-27 20:53</t>
  </si>
  <si>
    <t>2025-11-28 17:59</t>
  </si>
  <si>
    <t>2025-11-30 20:04</t>
  </si>
  <si>
    <t>2025-09-13 22:27</t>
  </si>
  <si>
    <t>2025-09-10 11:49</t>
  </si>
  <si>
    <t>2025-09-20 20:37</t>
  </si>
  <si>
    <t>2025-10-07 22:38</t>
  </si>
  <si>
    <t>2025-09-27 21:28</t>
  </si>
  <si>
    <t>2025-10-04 20:02</t>
  </si>
  <si>
    <t>2025-10-18 21:25</t>
  </si>
  <si>
    <t>2025-10-23 17:24</t>
  </si>
  <si>
    <t>2025-10-16 09:17</t>
  </si>
  <si>
    <t>2025-10-21 12:36</t>
  </si>
  <si>
    <t>2025-10-21 12:45</t>
  </si>
  <si>
    <t>2025-10-31 19:10</t>
  </si>
  <si>
    <t>2025-11-01 20:10</t>
  </si>
  <si>
    <t>2025-11-08 21:28</t>
  </si>
  <si>
    <t>2025-11-27 21:33</t>
  </si>
  <si>
    <t>2025-11-30 20:09</t>
  </si>
  <si>
    <t>2025-11-19 20:41</t>
  </si>
  <si>
    <t>2025-12-08 21:40</t>
  </si>
  <si>
    <t>2025-09-13 22:12</t>
  </si>
  <si>
    <t>2025-09-14 20:23</t>
  </si>
  <si>
    <t>2025-09-20 20:42</t>
  </si>
  <si>
    <t>2025-10-08 15:50</t>
  </si>
  <si>
    <t>2025-09-25 08:05</t>
  </si>
  <si>
    <t>2025-09-25 08:03</t>
  </si>
  <si>
    <t>2025-10-09 10:40</t>
  </si>
  <si>
    <t>2025-10-25 18:41</t>
  </si>
  <si>
    <t>2025-10-23 08:36</t>
  </si>
  <si>
    <t>2025-11-01 18:21</t>
  </si>
  <si>
    <t>2025-11-01 18:20</t>
  </si>
  <si>
    <t>2025-11-15 18:25</t>
  </si>
  <si>
    <t>2025-11-24 20:43</t>
  </si>
  <si>
    <t>2025-11-27 11:01</t>
  </si>
  <si>
    <t>2025-11-29 20:07</t>
  </si>
  <si>
    <t>2025-12-08 15:44</t>
  </si>
  <si>
    <t>2025-09-17 11:33</t>
  </si>
  <si>
    <t>2025-09-14 15:50</t>
  </si>
  <si>
    <t>2025-09-20 21:17</t>
  </si>
  <si>
    <t>2025-09-20 20:58</t>
  </si>
  <si>
    <t>2025-10-09 22:55</t>
  </si>
  <si>
    <t>2025-10-11 12:34</t>
  </si>
  <si>
    <t>2025-10-18 21:46</t>
  </si>
  <si>
    <t>2025-10-25 21:00</t>
  </si>
  <si>
    <t>2025-10-18 21:27</t>
  </si>
  <si>
    <t>2025-10-22 09:51</t>
  </si>
  <si>
    <t>2025-11-01 21:56</t>
  </si>
  <si>
    <t>2025-11-08 21:34</t>
  </si>
  <si>
    <t>2025-11-15 21:31</t>
  </si>
  <si>
    <t>2025-11-26 12:13</t>
  </si>
  <si>
    <t>2025-11-29 19:15</t>
  </si>
  <si>
    <t>2025-11-30 19:14</t>
  </si>
  <si>
    <t>2025-11-19 19:09</t>
  </si>
  <si>
    <t>2025-12-08 21:05</t>
  </si>
  <si>
    <t>2025-09-13 22:56</t>
  </si>
  <si>
    <t>2025-09-14 00:18</t>
  </si>
  <si>
    <t>2025-09-20 11:37</t>
  </si>
  <si>
    <t>2025-09-19 16:19</t>
  </si>
  <si>
    <t>2025-10-08 15:12</t>
  </si>
  <si>
    <t>2025-09-27 19:04</t>
  </si>
  <si>
    <t>2025-10-04 16:46</t>
  </si>
  <si>
    <t>2025-10-25 19:12</t>
  </si>
  <si>
    <t>2025-10-18 00:30</t>
  </si>
  <si>
    <t>2025-10-23 09:07</t>
  </si>
  <si>
    <t>2025-11-01 18:03</t>
  </si>
  <si>
    <t>2025-11-08 19:57</t>
  </si>
  <si>
    <t>2025-11-15 20:03</t>
  </si>
  <si>
    <t>2025-11-24 22:38</t>
  </si>
  <si>
    <t>2025-11-27 21:32</t>
  </si>
  <si>
    <t>2025-11-27 21:31</t>
  </si>
  <si>
    <t>2025-11-30 19:18</t>
  </si>
  <si>
    <t>2025-11-19 19:21</t>
  </si>
  <si>
    <t>2025-12-08 18:42</t>
  </si>
  <si>
    <t>考试统计</t>
  </si>
  <si>
    <t>课程考核大作业</t>
  </si>
  <si>
    <t>课程考核大作业提交最终打印稿</t>
  </si>
  <si>
    <t>领取时间</t>
  </si>
  <si>
    <t>2025-12-27 17:07</t>
  </si>
  <si>
    <t>2025-12-27 19:27</t>
  </si>
  <si>
    <t>2026-01-01 11:37</t>
  </si>
  <si>
    <t>2026-01-01 11:38</t>
  </si>
  <si>
    <t>待批阅</t>
  </si>
  <si>
    <t>2025-12-26 17:10</t>
  </si>
  <si>
    <t>2025-12-26 17:12</t>
  </si>
  <si>
    <t>2026-01-01 14:15</t>
  </si>
  <si>
    <t>2026-01-01 14:16</t>
  </si>
  <si>
    <t>2025-12-26 22:30</t>
  </si>
  <si>
    <t>2025-12-26 22:31</t>
  </si>
  <si>
    <t>2026-01-01 13:04</t>
  </si>
  <si>
    <t>2026-01-01 13:05</t>
  </si>
  <si>
    <t>2025-12-27 19:21</t>
  </si>
  <si>
    <t>2025-12-27 19:23</t>
  </si>
  <si>
    <t>2026-01-01 08:38</t>
  </si>
  <si>
    <t>2026-01-01 08:39</t>
  </si>
  <si>
    <t>2025-12-25 18:19</t>
  </si>
  <si>
    <t>2025-12-26 14:30</t>
  </si>
  <si>
    <t>2025-12-31 19:29</t>
  </si>
  <si>
    <t>2025-12-31 19:30</t>
  </si>
  <si>
    <t>2025-12-24 14:58</t>
  </si>
  <si>
    <t>2025-12-24 14:59</t>
  </si>
  <si>
    <t>2025-12-31 19:34</t>
  </si>
  <si>
    <t>2025-12-26 13:48</t>
  </si>
  <si>
    <t>2025-12-26 13:49</t>
  </si>
  <si>
    <t>2025-12-31 19:04</t>
  </si>
  <si>
    <t>2025-12-31 19:07</t>
  </si>
  <si>
    <t>2025-12-22 18:33</t>
  </si>
  <si>
    <t>2025-12-23 19:24</t>
  </si>
  <si>
    <t>未参加考试</t>
  </si>
  <si>
    <t>待解答</t>
  </si>
  <si>
    <t>2025-12-27 18:15</t>
  </si>
  <si>
    <t>2025-12-27 18:18</t>
  </si>
  <si>
    <t>2026-01-01 11:20</t>
  </si>
  <si>
    <t>2026-01-01 11:21</t>
  </si>
  <si>
    <t>2025-12-27 14:34</t>
  </si>
  <si>
    <t>2025-12-27 14:41</t>
  </si>
  <si>
    <t>2026-01-01 11:08</t>
  </si>
  <si>
    <t>2026-01-01 11:09</t>
  </si>
  <si>
    <t>2025-12-23 19:27</t>
  </si>
  <si>
    <t>2025-12-26 23:58</t>
  </si>
  <si>
    <t>2025-12-31 20:08</t>
  </si>
  <si>
    <t>2025-12-31 20:09</t>
  </si>
  <si>
    <t>2025-12-25 16:12</t>
  </si>
  <si>
    <t>2025-12-27 00:14</t>
  </si>
  <si>
    <t>2026-01-01 11:24</t>
  </si>
  <si>
    <t>2026-01-01 11:25</t>
  </si>
  <si>
    <t>2025-12-27 14:43</t>
  </si>
  <si>
    <t>2025-12-27 14:44</t>
  </si>
  <si>
    <t>2026-01-01 11:23</t>
  </si>
  <si>
    <t>2025-12-26 20:53</t>
  </si>
  <si>
    <t>2025-12-26 20:59</t>
  </si>
  <si>
    <t>2026-01-01 11:06</t>
  </si>
  <si>
    <t>2025-12-27 18:20</t>
  </si>
  <si>
    <t>2025-12-27 18:22</t>
  </si>
  <si>
    <t>2026-01-01 16:02</t>
  </si>
  <si>
    <t>2026-01-01 16:03</t>
  </si>
  <si>
    <t>2025-12-27 22:35</t>
  </si>
  <si>
    <t>2025-12-27 22:36</t>
  </si>
  <si>
    <t>2026-01-01 11:05</t>
  </si>
  <si>
    <t>2026-01-01 13:34</t>
  </si>
  <si>
    <t>2026-01-01 13:36</t>
  </si>
  <si>
    <t>2025-12-24 22:51</t>
  </si>
  <si>
    <t>2025-12-24 22:53</t>
  </si>
  <si>
    <t>2025-12-31 22:28</t>
  </si>
  <si>
    <t>2025-12-26 14:26</t>
  </si>
  <si>
    <t>2025-12-27 18:41</t>
  </si>
  <si>
    <t>2026-01-03 18:37</t>
  </si>
  <si>
    <t>2026-01-03 18:40</t>
  </si>
  <si>
    <t>2025-12-27 21:14</t>
  </si>
  <si>
    <t>2025-12-27 21:16</t>
  </si>
  <si>
    <t>2025-12-27 13:38</t>
  </si>
  <si>
    <t>2025-12-27 13:40</t>
  </si>
  <si>
    <t>2025-12-31 18:44</t>
  </si>
  <si>
    <t>2025-12-31 18:48</t>
  </si>
  <si>
    <t>2025-12-31 18:45</t>
  </si>
  <si>
    <t>2025-12-31 18:47</t>
  </si>
  <si>
    <t>2025-12-26 17:50</t>
  </si>
  <si>
    <t>2025-12-26 18:28</t>
  </si>
  <si>
    <t>2025-12-31 22:24</t>
  </si>
  <si>
    <t>2025-12-31 22:25</t>
  </si>
  <si>
    <t>2025-12-27 22:27</t>
  </si>
  <si>
    <t>2026-01-01 11:29</t>
  </si>
  <si>
    <t>2026-01-01 11:30</t>
  </si>
  <si>
    <t>2025-12-26 18:17</t>
  </si>
  <si>
    <t>2025-12-27 17:03</t>
  </si>
  <si>
    <t>2025-12-27 11:20</t>
  </si>
  <si>
    <t>2025-12-27 11:23</t>
  </si>
  <si>
    <t>2025-12-31 19:58</t>
  </si>
  <si>
    <t>2025-12-31 20:02</t>
  </si>
  <si>
    <t>2025-12-27 13:44</t>
  </si>
  <si>
    <t>2025-12-27 13:46</t>
  </si>
  <si>
    <t>2026-01-01 14:47</t>
  </si>
  <si>
    <t>2026-01-01 14:48</t>
  </si>
  <si>
    <t>2025-12-27 19:47</t>
  </si>
  <si>
    <t>2025-12-27 19:48</t>
  </si>
  <si>
    <t>2026-01-01 19:31</t>
  </si>
  <si>
    <t>2025-12-25 22:33</t>
  </si>
  <si>
    <t>2026-01-01 12:05</t>
  </si>
  <si>
    <t>2025-12-26 14:24</t>
  </si>
  <si>
    <t>2025-12-26 14:27</t>
  </si>
  <si>
    <t>2026-01-01 17:38</t>
  </si>
  <si>
    <t>2026-01-01 17:48</t>
  </si>
  <si>
    <t>2025-12-24 16:33</t>
  </si>
  <si>
    <t>2025-12-31 22:52</t>
  </si>
  <si>
    <t>2025-12-31 22:53</t>
  </si>
  <si>
    <t>2025-12-26 16:38</t>
  </si>
  <si>
    <t>2025-12-26 16:41</t>
  </si>
  <si>
    <t>2025-12-31 23:27</t>
  </si>
  <si>
    <t>2025-12-26 22:53</t>
  </si>
  <si>
    <t>2025-12-26 22:54</t>
  </si>
  <si>
    <t>2026-01-01 00:09</t>
  </si>
  <si>
    <t>2026-01-01 00:12</t>
  </si>
  <si>
    <t>2025-12-26 15:50</t>
  </si>
  <si>
    <t>2025-12-26 15:52</t>
  </si>
  <si>
    <t>2025-12-31 19:43</t>
  </si>
  <si>
    <t>2025-12-31 19:50</t>
  </si>
  <si>
    <t>2025-12-25 16:06</t>
  </si>
  <si>
    <t>2025-12-26 16:37</t>
  </si>
  <si>
    <t>2025-12-31 18:42</t>
  </si>
  <si>
    <t>2025-12-31 18:43</t>
  </si>
  <si>
    <t>2025-12-27 08:49</t>
  </si>
  <si>
    <t>2025-12-27 14:01</t>
  </si>
  <si>
    <t>2026-01-01 11:15</t>
  </si>
  <si>
    <t>2026-01-01 11:16</t>
  </si>
  <si>
    <t>2025-12-27 19:53</t>
  </si>
  <si>
    <t>2026-01-01 11:35</t>
  </si>
  <si>
    <t>2025-12-25 22:14</t>
  </si>
  <si>
    <t>2025-12-25 22:15</t>
  </si>
  <si>
    <t>2026-01-01 11:49</t>
  </si>
  <si>
    <t>2026-01-01 11:57</t>
  </si>
  <si>
    <t>2025-12-26 14:47</t>
  </si>
  <si>
    <t>2025-12-26 14:51</t>
  </si>
  <si>
    <t>2025-12-31 23:29</t>
  </si>
  <si>
    <t>2025-12-31 23:34</t>
  </si>
  <si>
    <t>2025-12-27 19:49</t>
  </si>
  <si>
    <t>2025-12-27 19:50</t>
  </si>
  <si>
    <t>2025-12-31 23:41</t>
  </si>
  <si>
    <t>2025-12-27 18:29</t>
  </si>
  <si>
    <t>2025-12-27 18:30</t>
  </si>
  <si>
    <t>2026-01-01 11:17</t>
  </si>
  <si>
    <t>2025-12-27 17:54</t>
  </si>
  <si>
    <t>2025-12-27 20:23</t>
  </si>
  <si>
    <t>2025-12-31 18:50</t>
  </si>
  <si>
    <t>2025-12-31 18:53</t>
  </si>
  <si>
    <t>2025-12-27 14:15</t>
  </si>
  <si>
    <t>2025-12-27 14:18</t>
  </si>
  <si>
    <t>2025-12-31 20:03</t>
  </si>
  <si>
    <t>2025-12-25 21:39</t>
  </si>
  <si>
    <t>2025-12-25 21:41</t>
  </si>
  <si>
    <t>2026-01-01 11:33</t>
  </si>
  <si>
    <t>2026-01-01 11:34</t>
  </si>
  <si>
    <t>2025-12-27 20:39</t>
  </si>
  <si>
    <t>2025-12-27 20:41</t>
  </si>
  <si>
    <t>2026-01-01 11:14</t>
  </si>
  <si>
    <t>2025-12-25 15:21</t>
  </si>
  <si>
    <t>2025-12-25 17:02</t>
  </si>
  <si>
    <t>2025-12-24 19:30</t>
  </si>
  <si>
    <t>2025-12-27 20:22</t>
  </si>
  <si>
    <t>2026-01-02 23:41</t>
  </si>
  <si>
    <t>2026-01-02 23:42</t>
  </si>
  <si>
    <t>2025-12-27 19:42</t>
  </si>
  <si>
    <t>2025-12-27 19:44</t>
  </si>
  <si>
    <t>2026-01-01 17:49</t>
  </si>
  <si>
    <t>2026-01-01 17:50</t>
  </si>
  <si>
    <t>章节测验统计</t>
  </si>
  <si>
    <t>线下成绩统计</t>
  </si>
  <si>
    <t>班级教学内容详情</t>
  </si>
  <si>
    <t>班级名称</t>
  </si>
  <si>
    <t>班级ID</t>
  </si>
  <si>
    <t>班级状态</t>
  </si>
  <si>
    <t>学习时间段</t>
  </si>
  <si>
    <t>班级人数</t>
  </si>
  <si>
    <t>非隐藏章节数</t>
  </si>
  <si>
    <t>非隐藏任务点数</t>
  </si>
  <si>
    <t>非隐藏章节测验数</t>
  </si>
  <si>
    <t>发放作业数</t>
  </si>
  <si>
    <t>发放考试数</t>
  </si>
  <si>
    <t>发布话题数</t>
  </si>
  <si>
    <t>回复话题数</t>
  </si>
  <si>
    <t>计科22选49</t>
  </si>
  <si>
    <t>126903882</t>
  </si>
  <si>
    <t>学习模式</t>
  </si>
  <si>
    <t>125776492</t>
  </si>
  <si>
    <t>复习模式</t>
  </si>
  <si>
    <t>122650769</t>
  </si>
  <si>
    <t>2025-07-13 20:13至2026-02-13 20:13</t>
  </si>
  <si>
    <t>《移动应用开发》课程考核大作业         2025.11.24</t>
  </si>
  <si>
    <t>学号</t>
  </si>
  <si>
    <t>姓名</t>
  </si>
  <si>
    <t>项目(30%)</t>
  </si>
  <si>
    <t>小组(20%)</t>
  </si>
  <si>
    <t>个人(20%)</t>
  </si>
  <si>
    <t>答辩(30%)</t>
  </si>
  <si>
    <t>总分(2位)</t>
  </si>
  <si>
    <t>总分</t>
  </si>
  <si>
    <t>《移动应用开发》实验成绩</t>
  </si>
  <si>
    <t>实验一</t>
  </si>
  <si>
    <t>实验二</t>
  </si>
  <si>
    <t>实验三</t>
  </si>
  <si>
    <t>实验四</t>
  </si>
  <si>
    <t>实验五</t>
  </si>
  <si>
    <t>实验六</t>
  </si>
  <si>
    <t>实验七</t>
  </si>
  <si>
    <t>平均分</t>
  </si>
  <si>
    <t>《移动应用开发》课堂表现</t>
  </si>
  <si>
    <t>知识图谱</t>
  </si>
  <si>
    <t>TRAE</t>
  </si>
  <si>
    <t>原生</t>
  </si>
  <si>
    <t>AS</t>
  </si>
  <si>
    <t>iOS</t>
  </si>
  <si>
    <t>Typora</t>
  </si>
  <si>
    <t>混合</t>
  </si>
  <si>
    <t>小程序</t>
  </si>
  <si>
    <t>PUML</t>
  </si>
  <si>
    <t>开发计划</t>
  </si>
  <si>
    <t>原始分</t>
  </si>
  <si>
    <t>最后得分</t>
  </si>
  <si>
    <t>《移动应用开发》课外学习</t>
  </si>
  <si>
    <t>《移动应用开发》期间测验</t>
  </si>
  <si>
    <t>《移动应用开发》成绩汇总表</t>
  </si>
  <si>
    <t>平时(20%)</t>
  </si>
  <si>
    <t>实验（30%）</t>
  </si>
  <si>
    <t>大作业（50%）</t>
  </si>
  <si>
    <t>总成绩</t>
  </si>
  <si>
    <t>课堂表现(20%)</t>
  </si>
  <si>
    <t>课外学习(50%)</t>
  </si>
  <si>
    <t>期间测验(30%)</t>
  </si>
  <si>
    <t>平时小计</t>
  </si>
  <si>
    <t>旷缺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</si>
</sst>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_ "/>
  </numFmts>
  <fonts count="31">
    <font>
      <sz val="11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Arial"/>
      <charset val="0"/>
    </font>
    <font>
      <sz val="11"/>
      <color theme="1"/>
      <name val="宋体"/>
      <charset val="0"/>
    </font>
    <font>
      <sz val="10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name val="Arial"/>
      <charset val="0"/>
    </font>
    <font>
      <sz val="11"/>
      <name val="宋体"/>
      <charset val="0"/>
    </font>
    <font>
      <b/>
      <sz val="18"/>
      <color indexed="9"/>
      <name val="微软雅黑"/>
      <charset val="134"/>
    </font>
    <font>
      <b/>
      <sz val="12"/>
      <color indexed="9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8A9F2"/>
        <bgColor indexed="64"/>
      </patternFill>
    </fill>
    <fill>
      <patternFill patternType="solid">
        <fgColor rgb="FFCBDF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6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6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45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1" xfId="0" applyFont="1" applyFill="1" applyBorder="1" applyAlignment="1"/>
    <xf numFmtId="176" fontId="2" fillId="0" borderId="1" xfId="0" applyNumberFormat="1" applyFont="1" applyFill="1" applyBorder="1" applyAlignment="1"/>
    <xf numFmtId="176" fontId="2" fillId="0" borderId="1" xfId="0" applyNumberFormat="1" applyFont="1" applyBorder="1">
      <alignment vertical="center"/>
    </xf>
    <xf numFmtId="176" fontId="2" fillId="0" borderId="1" xfId="0" applyNumberFormat="1" applyFont="1" applyFill="1" applyBorder="1" applyAlignment="1">
      <alignment horizontal="righ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vertical="center"/>
    </xf>
    <xf numFmtId="176" fontId="0" fillId="0" borderId="1" xfId="0" applyNumberFormat="1" applyFont="1" applyBorder="1" applyAlignment="1">
      <alignment horizontal="right" vertical="center"/>
    </xf>
    <xf numFmtId="0" fontId="0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176" fontId="0" fillId="0" borderId="1" xfId="0" applyNumberFormat="1" applyFont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6" fillId="0" borderId="1" xfId="0" applyFont="1" applyFill="1" applyBorder="1" applyAlignment="1"/>
    <xf numFmtId="177" fontId="6" fillId="0" borderId="1" xfId="0" applyNumberFormat="1" applyFont="1" applyFill="1" applyBorder="1" applyAlignment="1"/>
    <xf numFmtId="178" fontId="6" fillId="0" borderId="1" xfId="0" applyNumberFormat="1" applyFont="1" applyFill="1" applyBorder="1" applyAlignment="1"/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" fontId="11" fillId="4" borderId="2" xfId="0" applyNumberFormat="1" applyFont="1" applyFill="1" applyBorder="1" applyAlignment="1">
      <alignment horizontal="left" vertical="center"/>
    </xf>
    <xf numFmtId="0" fontId="11" fillId="4" borderId="2" xfId="0" applyNumberFormat="1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11" fillId="5" borderId="2" xfId="0" applyNumberFormat="1" applyFont="1" applyFill="1" applyBorder="1" applyAlignment="1">
      <alignment horizontal="left" vertical="center"/>
    </xf>
    <xf numFmtId="4" fontId="11" fillId="4" borderId="2" xfId="0" applyNumberFormat="1" applyFont="1" applyFill="1" applyBorder="1" applyAlignment="1">
      <alignment horizontal="left" vertical="center"/>
    </xf>
    <xf numFmtId="4" fontId="11" fillId="5" borderId="2" xfId="0" applyNumberFormat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10" fontId="11" fillId="4" borderId="2" xfId="0" applyNumberFormat="1" applyFont="1" applyFill="1" applyBorder="1" applyAlignment="1">
      <alignment horizontal="left" vertical="center"/>
    </xf>
    <xf numFmtId="10" fontId="11" fillId="5" borderId="2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workbookViewId="0">
      <pane xSplit="1" ySplit="3" topLeftCell="B40" activePane="bottomRight" state="frozen"/>
      <selection/>
      <selection pane="topRight"/>
      <selection pane="bottomLeft"/>
      <selection pane="bottomRight" activeCell="A2" sqref="A2:U52"/>
    </sheetView>
  </sheetViews>
  <sheetFormatPr defaultColWidth="8.88888888888889" defaultRowHeight="14.4"/>
  <cols>
    <col min="1" max="2" width="11" customWidth="1"/>
    <col min="3" max="3" width="13" customWidth="1"/>
    <col min="4" max="4" width="33" customWidth="1"/>
    <col min="5" max="5" width="19" customWidth="1"/>
    <col min="6" max="6" width="11" customWidth="1"/>
    <col min="7" max="7" width="18" customWidth="1"/>
    <col min="8" max="8" width="16" customWidth="1"/>
    <col min="9" max="10" width="12" customWidth="1"/>
    <col min="11" max="11" width="11" customWidth="1"/>
  </cols>
  <sheetData>
    <row r="1" ht="30" customHeight="1" spans="1:11">
      <c r="A1" s="31" t="s">
        <v>0</v>
      </c>
    </row>
    <row r="2" ht="30" customHeight="1" spans="1:11">
      <c r="A2" s="32" t="s">
        <v>1</v>
      </c>
    </row>
    <row r="3" ht="30" customHeight="1" spans="1:11">
      <c r="A3" s="33" t="s">
        <v>2</v>
      </c>
      <c r="B3" s="33" t="s">
        <v>3</v>
      </c>
      <c r="C3" s="33" t="s">
        <v>4</v>
      </c>
      <c r="D3" s="33" t="s">
        <v>5</v>
      </c>
      <c r="E3" s="33" t="s">
        <v>6</v>
      </c>
      <c r="F3" s="33" t="s">
        <v>7</v>
      </c>
      <c r="G3" s="33" t="s">
        <v>8</v>
      </c>
      <c r="H3" s="33" t="s">
        <v>9</v>
      </c>
      <c r="I3" s="33" t="s">
        <v>10</v>
      </c>
      <c r="J3" s="33" t="s">
        <v>11</v>
      </c>
      <c r="K3" s="33" t="s">
        <v>0</v>
      </c>
    </row>
    <row r="4" ht="30" customHeight="1" spans="1:11">
      <c r="A4" s="35">
        <v>1</v>
      </c>
      <c r="B4" s="34" t="s">
        <v>12</v>
      </c>
      <c r="C4" s="34" t="s">
        <v>13</v>
      </c>
      <c r="D4" s="34" t="s">
        <v>14</v>
      </c>
      <c r="E4" s="34" t="s">
        <v>15</v>
      </c>
      <c r="F4" s="34" t="s">
        <v>16</v>
      </c>
      <c r="G4" s="38">
        <v>40</v>
      </c>
      <c r="H4" s="38">
        <v>0</v>
      </c>
      <c r="I4" s="38">
        <v>18.37</v>
      </c>
      <c r="J4" s="38">
        <v>5.25</v>
      </c>
      <c r="K4" s="38">
        <v>63.62</v>
      </c>
    </row>
    <row r="5" ht="30" customHeight="1" spans="1:11">
      <c r="A5" s="37">
        <v>2</v>
      </c>
      <c r="B5" s="36" t="s">
        <v>17</v>
      </c>
      <c r="C5" s="36" t="s">
        <v>18</v>
      </c>
      <c r="D5" s="36" t="s">
        <v>14</v>
      </c>
      <c r="E5" s="36" t="s">
        <v>15</v>
      </c>
      <c r="F5" s="36" t="s">
        <v>16</v>
      </c>
      <c r="G5" s="39">
        <v>40</v>
      </c>
      <c r="H5" s="39">
        <v>0</v>
      </c>
      <c r="I5" s="39">
        <v>20.96</v>
      </c>
      <c r="J5" s="39">
        <v>4.5</v>
      </c>
      <c r="K5" s="39">
        <v>65.46</v>
      </c>
    </row>
    <row r="6" ht="30" customHeight="1" spans="1:11">
      <c r="A6" s="35">
        <v>3</v>
      </c>
      <c r="B6" s="34" t="s">
        <v>19</v>
      </c>
      <c r="C6" s="34" t="s">
        <v>20</v>
      </c>
      <c r="D6" s="34" t="s">
        <v>14</v>
      </c>
      <c r="E6" s="34" t="s">
        <v>15</v>
      </c>
      <c r="F6" s="34" t="s">
        <v>21</v>
      </c>
      <c r="G6" s="38">
        <v>40</v>
      </c>
      <c r="H6" s="38">
        <v>0</v>
      </c>
      <c r="I6" s="38">
        <v>22.12</v>
      </c>
      <c r="J6" s="38">
        <v>4.5</v>
      </c>
      <c r="K6" s="38">
        <v>66.62</v>
      </c>
    </row>
    <row r="7" ht="30" customHeight="1" spans="1:11">
      <c r="A7" s="37">
        <v>4</v>
      </c>
      <c r="B7" s="36" t="s">
        <v>22</v>
      </c>
      <c r="C7" s="36" t="s">
        <v>23</v>
      </c>
      <c r="D7" s="36" t="s">
        <v>14</v>
      </c>
      <c r="E7" s="36" t="s">
        <v>15</v>
      </c>
      <c r="F7" s="36" t="s">
        <v>21</v>
      </c>
      <c r="G7" s="39">
        <v>40</v>
      </c>
      <c r="H7" s="39">
        <v>0</v>
      </c>
      <c r="I7" s="39">
        <v>23.08</v>
      </c>
      <c r="J7" s="39">
        <v>6</v>
      </c>
      <c r="K7" s="39">
        <v>69.08</v>
      </c>
    </row>
    <row r="8" ht="30" customHeight="1" spans="1:11">
      <c r="A8" s="35">
        <v>5</v>
      </c>
      <c r="B8" s="34" t="s">
        <v>24</v>
      </c>
      <c r="C8" s="34" t="s">
        <v>25</v>
      </c>
      <c r="D8" s="34" t="s">
        <v>14</v>
      </c>
      <c r="E8" s="34" t="s">
        <v>15</v>
      </c>
      <c r="F8" s="34" t="s">
        <v>21</v>
      </c>
      <c r="G8" s="38">
        <v>40</v>
      </c>
      <c r="H8" s="38">
        <v>0</v>
      </c>
      <c r="I8" s="38">
        <v>21.3</v>
      </c>
      <c r="J8" s="38">
        <v>5.25</v>
      </c>
      <c r="K8" s="38">
        <v>66.55</v>
      </c>
    </row>
    <row r="9" ht="30" customHeight="1" spans="1:11">
      <c r="A9" s="37">
        <v>6</v>
      </c>
      <c r="B9" s="36" t="s">
        <v>26</v>
      </c>
      <c r="C9" s="36" t="s">
        <v>27</v>
      </c>
      <c r="D9" s="36" t="s">
        <v>14</v>
      </c>
      <c r="E9" s="36" t="s">
        <v>15</v>
      </c>
      <c r="F9" s="36" t="s">
        <v>21</v>
      </c>
      <c r="G9" s="39">
        <v>40</v>
      </c>
      <c r="H9" s="39">
        <v>0</v>
      </c>
      <c r="I9" s="39">
        <v>22.69</v>
      </c>
      <c r="J9" s="39">
        <v>6</v>
      </c>
      <c r="K9" s="39">
        <v>68.69</v>
      </c>
    </row>
    <row r="10" ht="30" customHeight="1" spans="1:11">
      <c r="A10" s="35">
        <v>7</v>
      </c>
      <c r="B10" s="34" t="s">
        <v>28</v>
      </c>
      <c r="C10" s="34" t="s">
        <v>29</v>
      </c>
      <c r="D10" s="34" t="s">
        <v>14</v>
      </c>
      <c r="E10" s="34" t="s">
        <v>15</v>
      </c>
      <c r="F10" s="34" t="s">
        <v>21</v>
      </c>
      <c r="G10" s="38">
        <v>40</v>
      </c>
      <c r="H10" s="38">
        <v>0</v>
      </c>
      <c r="I10" s="38">
        <v>20.67</v>
      </c>
      <c r="J10" s="38">
        <v>5.25</v>
      </c>
      <c r="K10" s="38">
        <v>65.92</v>
      </c>
    </row>
    <row r="11" ht="30" customHeight="1" spans="1:11">
      <c r="A11" s="37">
        <v>8</v>
      </c>
      <c r="B11" s="36" t="s">
        <v>30</v>
      </c>
      <c r="C11" s="36" t="s">
        <v>31</v>
      </c>
      <c r="D11" s="36" t="s">
        <v>14</v>
      </c>
      <c r="E11" s="36" t="s">
        <v>15</v>
      </c>
      <c r="F11" s="36" t="s">
        <v>21</v>
      </c>
      <c r="G11" s="39">
        <v>40</v>
      </c>
      <c r="H11" s="39">
        <v>0</v>
      </c>
      <c r="I11" s="39">
        <v>21.59</v>
      </c>
      <c r="J11" s="39">
        <v>5.92</v>
      </c>
      <c r="K11" s="39">
        <v>67.51</v>
      </c>
    </row>
    <row r="12" ht="30" customHeight="1" spans="1:11">
      <c r="A12" s="35">
        <v>9</v>
      </c>
      <c r="B12" s="34" t="s">
        <v>32</v>
      </c>
      <c r="C12" s="34" t="s">
        <v>33</v>
      </c>
      <c r="D12" s="34" t="s">
        <v>14</v>
      </c>
      <c r="E12" s="34" t="s">
        <v>15</v>
      </c>
      <c r="F12" s="34" t="s">
        <v>21</v>
      </c>
      <c r="G12" s="38">
        <v>40</v>
      </c>
      <c r="H12" s="38">
        <v>0</v>
      </c>
      <c r="I12" s="38">
        <v>1.54</v>
      </c>
      <c r="J12" s="38">
        <v>0</v>
      </c>
      <c r="K12" s="38">
        <v>41.54</v>
      </c>
    </row>
    <row r="13" ht="30" customHeight="1" spans="1:11">
      <c r="A13" s="37">
        <v>10</v>
      </c>
      <c r="B13" s="36" t="s">
        <v>34</v>
      </c>
      <c r="C13" s="36" t="s">
        <v>35</v>
      </c>
      <c r="D13" s="36" t="s">
        <v>14</v>
      </c>
      <c r="E13" s="36" t="s">
        <v>15</v>
      </c>
      <c r="F13" s="36" t="s">
        <v>21</v>
      </c>
      <c r="G13" s="39">
        <v>40</v>
      </c>
      <c r="H13" s="39">
        <v>0</v>
      </c>
      <c r="I13" s="39">
        <v>21.63</v>
      </c>
      <c r="J13" s="39">
        <v>6</v>
      </c>
      <c r="K13" s="39">
        <v>67.63</v>
      </c>
    </row>
    <row r="14" ht="30" customHeight="1" spans="1:11">
      <c r="A14" s="35">
        <v>11</v>
      </c>
      <c r="B14" s="34" t="s">
        <v>36</v>
      </c>
      <c r="C14" s="34" t="s">
        <v>37</v>
      </c>
      <c r="D14" s="34" t="s">
        <v>14</v>
      </c>
      <c r="E14" s="34" t="s">
        <v>15</v>
      </c>
      <c r="F14" s="34" t="s">
        <v>21</v>
      </c>
      <c r="G14" s="38">
        <v>40</v>
      </c>
      <c r="H14" s="38">
        <v>0</v>
      </c>
      <c r="I14" s="38">
        <v>21.97</v>
      </c>
      <c r="J14" s="38">
        <v>5.25</v>
      </c>
      <c r="K14" s="38">
        <v>67.22</v>
      </c>
    </row>
    <row r="15" ht="30" customHeight="1" spans="1:11">
      <c r="A15" s="37">
        <v>12</v>
      </c>
      <c r="B15" s="36" t="s">
        <v>38</v>
      </c>
      <c r="C15" s="36" t="s">
        <v>39</v>
      </c>
      <c r="D15" s="36" t="s">
        <v>14</v>
      </c>
      <c r="E15" s="36" t="s">
        <v>15</v>
      </c>
      <c r="F15" s="36" t="s">
        <v>21</v>
      </c>
      <c r="G15" s="39">
        <v>40</v>
      </c>
      <c r="H15" s="39">
        <v>0</v>
      </c>
      <c r="I15" s="39">
        <v>22.74</v>
      </c>
      <c r="J15" s="39">
        <v>6.75</v>
      </c>
      <c r="K15" s="39">
        <v>69.49</v>
      </c>
    </row>
    <row r="16" ht="30" customHeight="1" spans="1:11">
      <c r="A16" s="35">
        <v>13</v>
      </c>
      <c r="B16" s="34" t="s">
        <v>40</v>
      </c>
      <c r="C16" s="34" t="s">
        <v>41</v>
      </c>
      <c r="D16" s="34" t="s">
        <v>14</v>
      </c>
      <c r="E16" s="34" t="s">
        <v>15</v>
      </c>
      <c r="F16" s="34" t="s">
        <v>21</v>
      </c>
      <c r="G16" s="38">
        <v>40</v>
      </c>
      <c r="H16" s="38">
        <v>0</v>
      </c>
      <c r="I16" s="38">
        <v>21.25</v>
      </c>
      <c r="J16" s="38">
        <v>5.25</v>
      </c>
      <c r="K16" s="38">
        <v>66.5</v>
      </c>
    </row>
    <row r="17" ht="30" customHeight="1" spans="1:11">
      <c r="A17" s="37">
        <v>14</v>
      </c>
      <c r="B17" s="36" t="s">
        <v>42</v>
      </c>
      <c r="C17" s="36" t="s">
        <v>43</v>
      </c>
      <c r="D17" s="36" t="s">
        <v>14</v>
      </c>
      <c r="E17" s="36" t="s">
        <v>15</v>
      </c>
      <c r="F17" s="36" t="s">
        <v>21</v>
      </c>
      <c r="G17" s="39">
        <v>40</v>
      </c>
      <c r="H17" s="39">
        <v>0</v>
      </c>
      <c r="I17" s="39">
        <v>21.88</v>
      </c>
      <c r="J17" s="39">
        <v>5.25</v>
      </c>
      <c r="K17" s="39">
        <v>67.13</v>
      </c>
    </row>
    <row r="18" ht="30" customHeight="1" spans="1:11">
      <c r="A18" s="35">
        <v>15</v>
      </c>
      <c r="B18" s="34" t="s">
        <v>44</v>
      </c>
      <c r="C18" s="34" t="s">
        <v>45</v>
      </c>
      <c r="D18" s="34" t="s">
        <v>14</v>
      </c>
      <c r="E18" s="34" t="s">
        <v>15</v>
      </c>
      <c r="F18" s="34" t="s">
        <v>21</v>
      </c>
      <c r="G18" s="38">
        <v>40</v>
      </c>
      <c r="H18" s="38">
        <v>0</v>
      </c>
      <c r="I18" s="38">
        <v>22.74</v>
      </c>
      <c r="J18" s="38">
        <v>5.25</v>
      </c>
      <c r="K18" s="38">
        <v>67.99</v>
      </c>
    </row>
    <row r="19" ht="30" customHeight="1" spans="1:11">
      <c r="A19" s="37">
        <v>16</v>
      </c>
      <c r="B19" s="36" t="s">
        <v>46</v>
      </c>
      <c r="C19" s="36" t="s">
        <v>47</v>
      </c>
      <c r="D19" s="36" t="s">
        <v>14</v>
      </c>
      <c r="E19" s="36" t="s">
        <v>15</v>
      </c>
      <c r="F19" s="36" t="s">
        <v>21</v>
      </c>
      <c r="G19" s="39">
        <v>40</v>
      </c>
      <c r="H19" s="39">
        <v>0</v>
      </c>
      <c r="I19" s="39">
        <v>22.02</v>
      </c>
      <c r="J19" s="39">
        <v>6</v>
      </c>
      <c r="K19" s="39">
        <v>68.02</v>
      </c>
    </row>
    <row r="20" ht="30" customHeight="1" spans="1:11">
      <c r="A20" s="35">
        <v>17</v>
      </c>
      <c r="B20" s="34" t="s">
        <v>48</v>
      </c>
      <c r="C20" s="34" t="s">
        <v>49</v>
      </c>
      <c r="D20" s="34" t="s">
        <v>14</v>
      </c>
      <c r="E20" s="34" t="s">
        <v>15</v>
      </c>
      <c r="F20" s="34" t="s">
        <v>21</v>
      </c>
      <c r="G20" s="38">
        <v>40</v>
      </c>
      <c r="H20" s="38">
        <v>0</v>
      </c>
      <c r="I20" s="38">
        <v>22.5</v>
      </c>
      <c r="J20" s="38">
        <v>5.25</v>
      </c>
      <c r="K20" s="38">
        <v>67.75</v>
      </c>
    </row>
    <row r="21" ht="30" customHeight="1" spans="1:11">
      <c r="A21" s="37">
        <v>18</v>
      </c>
      <c r="B21" s="36" t="s">
        <v>50</v>
      </c>
      <c r="C21" s="36" t="s">
        <v>51</v>
      </c>
      <c r="D21" s="36" t="s">
        <v>14</v>
      </c>
      <c r="E21" s="36" t="s">
        <v>15</v>
      </c>
      <c r="F21" s="36" t="s">
        <v>21</v>
      </c>
      <c r="G21" s="39">
        <v>40</v>
      </c>
      <c r="H21" s="39">
        <v>0</v>
      </c>
      <c r="I21" s="39">
        <v>5.48</v>
      </c>
      <c r="J21" s="39">
        <v>0</v>
      </c>
      <c r="K21" s="39">
        <v>45.48</v>
      </c>
    </row>
    <row r="22" ht="30" customHeight="1" spans="1:11">
      <c r="A22" s="35">
        <v>19</v>
      </c>
      <c r="B22" s="34" t="s">
        <v>52</v>
      </c>
      <c r="C22" s="34" t="s">
        <v>53</v>
      </c>
      <c r="D22" s="34" t="s">
        <v>14</v>
      </c>
      <c r="E22" s="34" t="s">
        <v>15</v>
      </c>
      <c r="F22" s="34" t="s">
        <v>21</v>
      </c>
      <c r="G22" s="38">
        <v>40</v>
      </c>
      <c r="H22" s="38">
        <v>0</v>
      </c>
      <c r="I22" s="38">
        <v>21.11</v>
      </c>
      <c r="J22" s="38">
        <v>5.92</v>
      </c>
      <c r="K22" s="38">
        <v>67.03</v>
      </c>
    </row>
    <row r="23" ht="30" customHeight="1" spans="1:11">
      <c r="A23" s="37">
        <v>20</v>
      </c>
      <c r="B23" s="36" t="s">
        <v>54</v>
      </c>
      <c r="C23" s="36" t="s">
        <v>55</v>
      </c>
      <c r="D23" s="36" t="s">
        <v>14</v>
      </c>
      <c r="E23" s="36" t="s">
        <v>15</v>
      </c>
      <c r="F23" s="36" t="s">
        <v>21</v>
      </c>
      <c r="G23" s="39">
        <v>40</v>
      </c>
      <c r="H23" s="39">
        <v>0</v>
      </c>
      <c r="I23" s="39">
        <v>20.48</v>
      </c>
      <c r="J23" s="39">
        <v>5.25</v>
      </c>
      <c r="K23" s="39">
        <v>65.73</v>
      </c>
    </row>
    <row r="24" ht="30" customHeight="1" spans="1:11">
      <c r="A24" s="35">
        <v>21</v>
      </c>
      <c r="B24" s="34" t="s">
        <v>56</v>
      </c>
      <c r="C24" s="34" t="s">
        <v>57</v>
      </c>
      <c r="D24" s="34" t="s">
        <v>14</v>
      </c>
      <c r="E24" s="34" t="s">
        <v>15</v>
      </c>
      <c r="F24" s="34" t="s">
        <v>21</v>
      </c>
      <c r="G24" s="38">
        <v>40</v>
      </c>
      <c r="H24" s="38">
        <v>0</v>
      </c>
      <c r="I24" s="38">
        <v>20.67</v>
      </c>
      <c r="J24" s="38">
        <v>5.25</v>
      </c>
      <c r="K24" s="38">
        <v>65.92</v>
      </c>
    </row>
    <row r="25" ht="30" customHeight="1" spans="1:11">
      <c r="A25" s="37">
        <v>22</v>
      </c>
      <c r="B25" s="36" t="s">
        <v>58</v>
      </c>
      <c r="C25" s="36" t="s">
        <v>59</v>
      </c>
      <c r="D25" s="36" t="s">
        <v>14</v>
      </c>
      <c r="E25" s="36" t="s">
        <v>15</v>
      </c>
      <c r="F25" s="36" t="s">
        <v>21</v>
      </c>
      <c r="G25" s="39">
        <v>40</v>
      </c>
      <c r="H25" s="39">
        <v>0</v>
      </c>
      <c r="I25" s="39">
        <v>20.87</v>
      </c>
      <c r="J25" s="39">
        <v>5.25</v>
      </c>
      <c r="K25" s="39">
        <v>66.12</v>
      </c>
    </row>
    <row r="26" ht="30" customHeight="1" spans="1:11">
      <c r="A26" s="35">
        <v>23</v>
      </c>
      <c r="B26" s="34" t="s">
        <v>60</v>
      </c>
      <c r="C26" s="34" t="s">
        <v>61</v>
      </c>
      <c r="D26" s="34" t="s">
        <v>14</v>
      </c>
      <c r="E26" s="34" t="s">
        <v>15</v>
      </c>
      <c r="F26" s="34" t="s">
        <v>21</v>
      </c>
      <c r="G26" s="38">
        <v>40</v>
      </c>
      <c r="H26" s="38">
        <v>0</v>
      </c>
      <c r="I26" s="38">
        <v>21.54</v>
      </c>
      <c r="J26" s="38">
        <v>0</v>
      </c>
      <c r="K26" s="38">
        <v>61.54</v>
      </c>
    </row>
    <row r="27" ht="30" customHeight="1" spans="1:11">
      <c r="A27" s="37">
        <v>24</v>
      </c>
      <c r="B27" s="36" t="s">
        <v>62</v>
      </c>
      <c r="C27" s="36" t="s">
        <v>63</v>
      </c>
      <c r="D27" s="36" t="s">
        <v>14</v>
      </c>
      <c r="E27" s="36" t="s">
        <v>15</v>
      </c>
      <c r="F27" s="36" t="s">
        <v>21</v>
      </c>
      <c r="G27" s="39">
        <v>40</v>
      </c>
      <c r="H27" s="39">
        <v>0</v>
      </c>
      <c r="I27" s="39">
        <v>22.45</v>
      </c>
      <c r="J27" s="39">
        <v>5.25</v>
      </c>
      <c r="K27" s="39">
        <v>67.7</v>
      </c>
    </row>
    <row r="28" ht="30" customHeight="1" spans="1:11">
      <c r="A28" s="35">
        <v>25</v>
      </c>
      <c r="B28" s="34" t="s">
        <v>64</v>
      </c>
      <c r="C28" s="34" t="s">
        <v>65</v>
      </c>
      <c r="D28" s="34" t="s">
        <v>14</v>
      </c>
      <c r="E28" s="34" t="s">
        <v>15</v>
      </c>
      <c r="F28" s="34" t="s">
        <v>21</v>
      </c>
      <c r="G28" s="38">
        <v>40</v>
      </c>
      <c r="H28" s="38">
        <v>0</v>
      </c>
      <c r="I28" s="38">
        <v>22.16</v>
      </c>
      <c r="J28" s="38">
        <v>5.25</v>
      </c>
      <c r="K28" s="38">
        <v>67.41</v>
      </c>
    </row>
    <row r="29" ht="30" customHeight="1" spans="1:11">
      <c r="A29" s="37">
        <v>26</v>
      </c>
      <c r="B29" s="36" t="s">
        <v>66</v>
      </c>
      <c r="C29" s="36" t="s">
        <v>67</v>
      </c>
      <c r="D29" s="36" t="s">
        <v>14</v>
      </c>
      <c r="E29" s="36" t="s">
        <v>15</v>
      </c>
      <c r="F29" s="36" t="s">
        <v>21</v>
      </c>
      <c r="G29" s="39">
        <v>40</v>
      </c>
      <c r="H29" s="39">
        <v>0</v>
      </c>
      <c r="I29" s="39">
        <v>22.84</v>
      </c>
      <c r="J29" s="39">
        <v>5.25</v>
      </c>
      <c r="K29" s="39">
        <v>68.09</v>
      </c>
    </row>
    <row r="30" ht="30" customHeight="1" spans="1:11">
      <c r="A30" s="35">
        <v>27</v>
      </c>
      <c r="B30" s="34" t="s">
        <v>68</v>
      </c>
      <c r="C30" s="34" t="s">
        <v>69</v>
      </c>
      <c r="D30" s="34" t="s">
        <v>14</v>
      </c>
      <c r="E30" s="34" t="s">
        <v>15</v>
      </c>
      <c r="F30" s="34" t="s">
        <v>21</v>
      </c>
      <c r="G30" s="38">
        <v>40</v>
      </c>
      <c r="H30" s="38">
        <v>0</v>
      </c>
      <c r="I30" s="38">
        <v>21.83</v>
      </c>
      <c r="J30" s="38">
        <v>5.25</v>
      </c>
      <c r="K30" s="38">
        <v>67.08</v>
      </c>
    </row>
    <row r="31" ht="30" customHeight="1" spans="1:11">
      <c r="A31" s="37">
        <v>28</v>
      </c>
      <c r="B31" s="36" t="s">
        <v>70</v>
      </c>
      <c r="C31" s="36" t="s">
        <v>71</v>
      </c>
      <c r="D31" s="36" t="s">
        <v>14</v>
      </c>
      <c r="E31" s="36" t="s">
        <v>15</v>
      </c>
      <c r="F31" s="36" t="s">
        <v>16</v>
      </c>
      <c r="G31" s="39">
        <v>40</v>
      </c>
      <c r="H31" s="39">
        <v>0</v>
      </c>
      <c r="I31" s="39">
        <v>20.38</v>
      </c>
      <c r="J31" s="39">
        <v>5.25</v>
      </c>
      <c r="K31" s="39">
        <v>65.63</v>
      </c>
    </row>
    <row r="32" ht="30" customHeight="1" spans="1:11">
      <c r="A32" s="35">
        <v>29</v>
      </c>
      <c r="B32" s="34" t="s">
        <v>72</v>
      </c>
      <c r="C32" s="34" t="s">
        <v>73</v>
      </c>
      <c r="D32" s="34" t="s">
        <v>14</v>
      </c>
      <c r="E32" s="34" t="s">
        <v>15</v>
      </c>
      <c r="F32" s="34" t="s">
        <v>16</v>
      </c>
      <c r="G32" s="38">
        <v>40</v>
      </c>
      <c r="H32" s="38">
        <v>0</v>
      </c>
      <c r="I32" s="38">
        <v>20.67</v>
      </c>
      <c r="J32" s="38">
        <v>4.5</v>
      </c>
      <c r="K32" s="38">
        <v>65.17</v>
      </c>
    </row>
    <row r="33" ht="30" customHeight="1" spans="1:11">
      <c r="A33" s="37">
        <v>30</v>
      </c>
      <c r="B33" s="36" t="s">
        <v>74</v>
      </c>
      <c r="C33" s="36" t="s">
        <v>75</v>
      </c>
      <c r="D33" s="36" t="s">
        <v>14</v>
      </c>
      <c r="E33" s="36" t="s">
        <v>15</v>
      </c>
      <c r="F33" s="36" t="s">
        <v>16</v>
      </c>
      <c r="G33" s="39">
        <v>40</v>
      </c>
      <c r="H33" s="39">
        <v>0</v>
      </c>
      <c r="I33" s="39">
        <v>19.71</v>
      </c>
      <c r="J33" s="39">
        <v>4.5</v>
      </c>
      <c r="K33" s="39">
        <v>64.21</v>
      </c>
    </row>
    <row r="34" ht="30" customHeight="1" spans="1:11">
      <c r="A34" s="35">
        <v>31</v>
      </c>
      <c r="B34" s="34" t="s">
        <v>76</v>
      </c>
      <c r="C34" s="34" t="s">
        <v>77</v>
      </c>
      <c r="D34" s="34" t="s">
        <v>14</v>
      </c>
      <c r="E34" s="34" t="s">
        <v>15</v>
      </c>
      <c r="F34" s="34" t="s">
        <v>16</v>
      </c>
      <c r="G34" s="38">
        <v>40</v>
      </c>
      <c r="H34" s="38">
        <v>0</v>
      </c>
      <c r="I34" s="38">
        <v>20.77</v>
      </c>
      <c r="J34" s="38">
        <v>5.25</v>
      </c>
      <c r="K34" s="38">
        <v>66.02</v>
      </c>
    </row>
    <row r="35" ht="30" customHeight="1" spans="1:11">
      <c r="A35" s="37">
        <v>32</v>
      </c>
      <c r="B35" s="36" t="s">
        <v>78</v>
      </c>
      <c r="C35" s="36" t="s">
        <v>79</v>
      </c>
      <c r="D35" s="36" t="s">
        <v>14</v>
      </c>
      <c r="E35" s="36" t="s">
        <v>15</v>
      </c>
      <c r="F35" s="36" t="s">
        <v>16</v>
      </c>
      <c r="G35" s="39">
        <v>40</v>
      </c>
      <c r="H35" s="39">
        <v>0</v>
      </c>
      <c r="I35" s="39">
        <v>21.06</v>
      </c>
      <c r="J35" s="39">
        <v>5.25</v>
      </c>
      <c r="K35" s="39">
        <v>66.31</v>
      </c>
    </row>
    <row r="36" ht="30" customHeight="1" spans="1:11">
      <c r="A36" s="35">
        <v>33</v>
      </c>
      <c r="B36" s="34" t="s">
        <v>80</v>
      </c>
      <c r="C36" s="34" t="s">
        <v>81</v>
      </c>
      <c r="D36" s="34" t="s">
        <v>14</v>
      </c>
      <c r="E36" s="34" t="s">
        <v>15</v>
      </c>
      <c r="F36" s="34" t="s">
        <v>16</v>
      </c>
      <c r="G36" s="38">
        <v>40</v>
      </c>
      <c r="H36" s="38">
        <v>0</v>
      </c>
      <c r="I36" s="38">
        <v>22.02</v>
      </c>
      <c r="J36" s="38">
        <v>5.25</v>
      </c>
      <c r="K36" s="38">
        <v>67.27</v>
      </c>
    </row>
    <row r="37" ht="30" customHeight="1" spans="1:11">
      <c r="A37" s="37">
        <v>34</v>
      </c>
      <c r="B37" s="36" t="s">
        <v>82</v>
      </c>
      <c r="C37" s="36" t="s">
        <v>83</v>
      </c>
      <c r="D37" s="36" t="s">
        <v>14</v>
      </c>
      <c r="E37" s="36" t="s">
        <v>15</v>
      </c>
      <c r="F37" s="36" t="s">
        <v>16</v>
      </c>
      <c r="G37" s="39">
        <v>40</v>
      </c>
      <c r="H37" s="39">
        <v>0</v>
      </c>
      <c r="I37" s="39">
        <v>20.87</v>
      </c>
      <c r="J37" s="39">
        <v>5.25</v>
      </c>
      <c r="K37" s="39">
        <v>66.12</v>
      </c>
    </row>
    <row r="38" ht="30" customHeight="1" spans="1:11">
      <c r="A38" s="35">
        <v>35</v>
      </c>
      <c r="B38" s="34" t="s">
        <v>84</v>
      </c>
      <c r="C38" s="34" t="s">
        <v>85</v>
      </c>
      <c r="D38" s="34" t="s">
        <v>14</v>
      </c>
      <c r="E38" s="34" t="s">
        <v>15</v>
      </c>
      <c r="F38" s="34" t="s">
        <v>16</v>
      </c>
      <c r="G38" s="38">
        <v>40</v>
      </c>
      <c r="H38" s="38">
        <v>0</v>
      </c>
      <c r="I38" s="38">
        <v>20.48</v>
      </c>
      <c r="J38" s="38">
        <v>5.25</v>
      </c>
      <c r="K38" s="38">
        <v>65.73</v>
      </c>
    </row>
    <row r="39" ht="30" customHeight="1" spans="1:11">
      <c r="A39" s="37">
        <v>36</v>
      </c>
      <c r="B39" s="36" t="s">
        <v>86</v>
      </c>
      <c r="C39" s="36" t="s">
        <v>87</v>
      </c>
      <c r="D39" s="36" t="s">
        <v>14</v>
      </c>
      <c r="E39" s="36" t="s">
        <v>15</v>
      </c>
      <c r="F39" s="36" t="s">
        <v>16</v>
      </c>
      <c r="G39" s="39">
        <v>40</v>
      </c>
      <c r="H39" s="39">
        <v>0</v>
      </c>
      <c r="I39" s="39">
        <v>21.54</v>
      </c>
      <c r="J39" s="39">
        <v>5.25</v>
      </c>
      <c r="K39" s="39">
        <v>66.79</v>
      </c>
    </row>
    <row r="40" ht="30" customHeight="1" spans="1:11">
      <c r="A40" s="35">
        <v>37</v>
      </c>
      <c r="B40" s="34" t="s">
        <v>88</v>
      </c>
      <c r="C40" s="34" t="s">
        <v>89</v>
      </c>
      <c r="D40" s="34" t="s">
        <v>14</v>
      </c>
      <c r="E40" s="34" t="s">
        <v>15</v>
      </c>
      <c r="F40" s="34" t="s">
        <v>16</v>
      </c>
      <c r="G40" s="38">
        <v>40</v>
      </c>
      <c r="H40" s="38">
        <v>0</v>
      </c>
      <c r="I40" s="38">
        <v>21.06</v>
      </c>
      <c r="J40" s="38">
        <v>5.25</v>
      </c>
      <c r="K40" s="38">
        <v>66.31</v>
      </c>
    </row>
    <row r="41" ht="30" customHeight="1" spans="1:11">
      <c r="A41" s="37">
        <v>38</v>
      </c>
      <c r="B41" s="36" t="s">
        <v>90</v>
      </c>
      <c r="C41" s="36" t="s">
        <v>91</v>
      </c>
      <c r="D41" s="36" t="s">
        <v>14</v>
      </c>
      <c r="E41" s="36" t="s">
        <v>15</v>
      </c>
      <c r="F41" s="36" t="s">
        <v>16</v>
      </c>
      <c r="G41" s="39">
        <v>40</v>
      </c>
      <c r="H41" s="39">
        <v>0</v>
      </c>
      <c r="I41" s="39">
        <v>21.35</v>
      </c>
      <c r="J41" s="39">
        <v>5.92</v>
      </c>
      <c r="K41" s="39">
        <v>67.27</v>
      </c>
    </row>
    <row r="42" ht="30" customHeight="1" spans="1:11">
      <c r="A42" s="35">
        <v>39</v>
      </c>
      <c r="B42" s="34" t="s">
        <v>92</v>
      </c>
      <c r="C42" s="34" t="s">
        <v>93</v>
      </c>
      <c r="D42" s="34" t="s">
        <v>14</v>
      </c>
      <c r="E42" s="34" t="s">
        <v>15</v>
      </c>
      <c r="F42" s="34" t="s">
        <v>16</v>
      </c>
      <c r="G42" s="38">
        <v>40</v>
      </c>
      <c r="H42" s="38">
        <v>0</v>
      </c>
      <c r="I42" s="38">
        <v>22.21</v>
      </c>
      <c r="J42" s="38">
        <v>5.25</v>
      </c>
      <c r="K42" s="38">
        <v>67.46</v>
      </c>
    </row>
    <row r="43" ht="30" customHeight="1" spans="1:11">
      <c r="A43" s="37">
        <v>40</v>
      </c>
      <c r="B43" s="36" t="s">
        <v>94</v>
      </c>
      <c r="C43" s="36" t="s">
        <v>95</v>
      </c>
      <c r="D43" s="36" t="s">
        <v>14</v>
      </c>
      <c r="E43" s="36" t="s">
        <v>15</v>
      </c>
      <c r="F43" s="36" t="s">
        <v>16</v>
      </c>
      <c r="G43" s="39">
        <v>40</v>
      </c>
      <c r="H43" s="39">
        <v>0</v>
      </c>
      <c r="I43" s="39">
        <v>22.12</v>
      </c>
      <c r="J43" s="39">
        <v>6</v>
      </c>
      <c r="K43" s="39">
        <v>68.12</v>
      </c>
    </row>
    <row r="44" ht="30" customHeight="1" spans="1:11">
      <c r="A44" s="35">
        <v>41</v>
      </c>
      <c r="B44" s="34" t="s">
        <v>96</v>
      </c>
      <c r="C44" s="34" t="s">
        <v>97</v>
      </c>
      <c r="D44" s="34" t="s">
        <v>14</v>
      </c>
      <c r="E44" s="34" t="s">
        <v>15</v>
      </c>
      <c r="F44" s="34" t="s">
        <v>16</v>
      </c>
      <c r="G44" s="38">
        <v>40</v>
      </c>
      <c r="H44" s="38">
        <v>0</v>
      </c>
      <c r="I44" s="38">
        <v>6.92</v>
      </c>
      <c r="J44" s="38">
        <v>0</v>
      </c>
      <c r="K44" s="38">
        <v>46.92</v>
      </c>
    </row>
    <row r="45" ht="30" customHeight="1" spans="1:11">
      <c r="A45" s="37">
        <v>42</v>
      </c>
      <c r="B45" s="36" t="s">
        <v>98</v>
      </c>
      <c r="C45" s="36" t="s">
        <v>99</v>
      </c>
      <c r="D45" s="36" t="s">
        <v>14</v>
      </c>
      <c r="E45" s="36" t="s">
        <v>15</v>
      </c>
      <c r="F45" s="36" t="s">
        <v>16</v>
      </c>
      <c r="G45" s="39">
        <v>40</v>
      </c>
      <c r="H45" s="39">
        <v>0</v>
      </c>
      <c r="I45" s="39">
        <v>22.69</v>
      </c>
      <c r="J45" s="39">
        <v>5.25</v>
      </c>
      <c r="K45" s="39">
        <v>67.94</v>
      </c>
    </row>
    <row r="46" ht="30" customHeight="1" spans="1:11">
      <c r="A46" s="35">
        <v>43</v>
      </c>
      <c r="B46" s="34" t="s">
        <v>100</v>
      </c>
      <c r="C46" s="34" t="s">
        <v>101</v>
      </c>
      <c r="D46" s="34" t="s">
        <v>14</v>
      </c>
      <c r="E46" s="34" t="s">
        <v>15</v>
      </c>
      <c r="F46" s="34" t="s">
        <v>16</v>
      </c>
      <c r="G46" s="38">
        <v>40</v>
      </c>
      <c r="H46" s="38">
        <v>0</v>
      </c>
      <c r="I46" s="38">
        <v>21.2</v>
      </c>
      <c r="J46" s="38">
        <v>5.25</v>
      </c>
      <c r="K46" s="38">
        <v>66.45</v>
      </c>
    </row>
    <row r="47" ht="30" customHeight="1" spans="1:11">
      <c r="A47" s="37">
        <v>44</v>
      </c>
      <c r="B47" s="36" t="s">
        <v>102</v>
      </c>
      <c r="C47" s="36" t="s">
        <v>103</v>
      </c>
      <c r="D47" s="36" t="s">
        <v>14</v>
      </c>
      <c r="E47" s="36" t="s">
        <v>15</v>
      </c>
      <c r="F47" s="36" t="s">
        <v>16</v>
      </c>
      <c r="G47" s="39">
        <v>40</v>
      </c>
      <c r="H47" s="39">
        <v>0</v>
      </c>
      <c r="I47" s="39">
        <v>19.9</v>
      </c>
      <c r="J47" s="39">
        <v>6</v>
      </c>
      <c r="K47" s="39">
        <v>65.9</v>
      </c>
    </row>
    <row r="48" ht="30" customHeight="1" spans="1:11">
      <c r="A48" s="35">
        <v>45</v>
      </c>
      <c r="B48" s="34" t="s">
        <v>104</v>
      </c>
      <c r="C48" s="34" t="s">
        <v>105</v>
      </c>
      <c r="D48" s="34" t="s">
        <v>14</v>
      </c>
      <c r="E48" s="34" t="s">
        <v>15</v>
      </c>
      <c r="F48" s="34" t="s">
        <v>16</v>
      </c>
      <c r="G48" s="38">
        <v>40</v>
      </c>
      <c r="H48" s="38">
        <v>0</v>
      </c>
      <c r="I48" s="38">
        <v>19.23</v>
      </c>
      <c r="J48" s="38">
        <v>5.25</v>
      </c>
      <c r="K48" s="38">
        <v>64.48</v>
      </c>
    </row>
    <row r="49" ht="30" customHeight="1" spans="1:11">
      <c r="A49" s="37">
        <v>46</v>
      </c>
      <c r="B49" s="36" t="s">
        <v>106</v>
      </c>
      <c r="C49" s="36" t="s">
        <v>107</v>
      </c>
      <c r="D49" s="36" t="s">
        <v>14</v>
      </c>
      <c r="E49" s="36" t="s">
        <v>15</v>
      </c>
      <c r="F49" s="36" t="s">
        <v>16</v>
      </c>
      <c r="G49" s="39">
        <v>37.5</v>
      </c>
      <c r="H49" s="39">
        <v>0</v>
      </c>
      <c r="I49" s="39">
        <v>20.77</v>
      </c>
      <c r="J49" s="39">
        <v>4.5</v>
      </c>
      <c r="K49" s="39">
        <v>62.77</v>
      </c>
    </row>
    <row r="50" ht="30" customHeight="1" spans="1:11">
      <c r="A50" s="35">
        <v>47</v>
      </c>
      <c r="B50" s="34" t="s">
        <v>108</v>
      </c>
      <c r="C50" s="34" t="s">
        <v>109</v>
      </c>
      <c r="D50" s="34" t="s">
        <v>14</v>
      </c>
      <c r="E50" s="34" t="s">
        <v>15</v>
      </c>
      <c r="F50" s="34" t="s">
        <v>16</v>
      </c>
      <c r="G50" s="38">
        <v>40</v>
      </c>
      <c r="H50" s="38">
        <v>0</v>
      </c>
      <c r="I50" s="38">
        <v>22.02</v>
      </c>
      <c r="J50" s="38">
        <v>5.25</v>
      </c>
      <c r="K50" s="38">
        <v>67.27</v>
      </c>
    </row>
    <row r="51" ht="30" customHeight="1" spans="1:11">
      <c r="A51" s="37">
        <v>48</v>
      </c>
      <c r="B51" s="36" t="s">
        <v>110</v>
      </c>
      <c r="C51" s="36" t="s">
        <v>111</v>
      </c>
      <c r="D51" s="36" t="s">
        <v>14</v>
      </c>
      <c r="E51" s="36" t="s">
        <v>15</v>
      </c>
      <c r="F51" s="36" t="s">
        <v>16</v>
      </c>
      <c r="G51" s="39">
        <v>40</v>
      </c>
      <c r="H51" s="39">
        <v>0</v>
      </c>
      <c r="I51" s="39">
        <v>17.31</v>
      </c>
      <c r="J51" s="39">
        <v>6</v>
      </c>
      <c r="K51" s="39">
        <v>63.31</v>
      </c>
    </row>
    <row r="52" ht="30" customHeight="1" spans="1:11">
      <c r="A52" s="35">
        <v>49</v>
      </c>
      <c r="B52" s="34" t="s">
        <v>112</v>
      </c>
      <c r="C52" s="34" t="s">
        <v>113</v>
      </c>
      <c r="D52" s="34" t="s">
        <v>14</v>
      </c>
      <c r="E52" s="34" t="s">
        <v>15</v>
      </c>
      <c r="F52" s="34" t="s">
        <v>16</v>
      </c>
      <c r="G52" s="38">
        <v>40</v>
      </c>
      <c r="H52" s="38">
        <v>0</v>
      </c>
      <c r="I52" s="38">
        <v>21.44</v>
      </c>
      <c r="J52" s="38">
        <v>4.5</v>
      </c>
      <c r="K52" s="38">
        <v>65.94</v>
      </c>
    </row>
    <row r="53" ht="30" customHeight="1" spans="1:11">
      <c r="A53" s="37">
        <v>50</v>
      </c>
      <c r="B53" s="36" t="s">
        <v>114</v>
      </c>
      <c r="C53" s="36" t="s">
        <v>115</v>
      </c>
      <c r="D53" s="36" t="s">
        <v>14</v>
      </c>
      <c r="E53" s="36" t="s">
        <v>15</v>
      </c>
      <c r="F53" s="36" t="s">
        <v>16</v>
      </c>
      <c r="G53" s="39">
        <v>40</v>
      </c>
      <c r="H53" s="39">
        <v>0</v>
      </c>
      <c r="I53" s="39">
        <v>21.01</v>
      </c>
      <c r="J53" s="39">
        <v>6</v>
      </c>
      <c r="K53" s="39">
        <v>67.01</v>
      </c>
    </row>
  </sheetData>
  <mergeCells count="2">
    <mergeCell ref="A1:K1"/>
    <mergeCell ref="A2:K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workbookViewId="0">
      <pane xSplit="1" ySplit="3" topLeftCell="B44" activePane="bottomRight" state="frozen"/>
      <selection/>
      <selection pane="topRight"/>
      <selection pane="bottomLeft"/>
      <selection pane="bottomRight" activeCell="A2" sqref="A2:U52"/>
    </sheetView>
  </sheetViews>
  <sheetFormatPr defaultColWidth="8.88888888888889" defaultRowHeight="14.4"/>
  <cols>
    <col min="1" max="2" width="11" customWidth="1"/>
    <col min="3" max="3" width="13" customWidth="1"/>
    <col min="4" max="4" width="33" customWidth="1"/>
    <col min="5" max="5" width="19" customWidth="1"/>
    <col min="6" max="6" width="11" customWidth="1"/>
    <col min="7" max="7" width="19" customWidth="1"/>
    <col min="8" max="8" width="17" customWidth="1"/>
    <col min="9" max="10" width="13" customWidth="1"/>
    <col min="11" max="11" width="11" customWidth="1"/>
  </cols>
  <sheetData>
    <row r="1" ht="30" customHeight="1" spans="1:11">
      <c r="A1" s="31" t="s">
        <v>116</v>
      </c>
    </row>
    <row r="2" ht="30" customHeight="1" spans="1:11">
      <c r="A2" s="32" t="s">
        <v>1</v>
      </c>
    </row>
    <row r="3" ht="30" customHeight="1" spans="1:11">
      <c r="A3" s="33" t="s">
        <v>2</v>
      </c>
      <c r="B3" s="33" t="s">
        <v>3</v>
      </c>
      <c r="C3" s="33" t="s">
        <v>4</v>
      </c>
      <c r="D3" s="33" t="s">
        <v>5</v>
      </c>
      <c r="E3" s="33" t="s">
        <v>6</v>
      </c>
      <c r="F3" s="33" t="s">
        <v>7</v>
      </c>
      <c r="G3" s="33" t="s">
        <v>117</v>
      </c>
      <c r="H3" s="33" t="s">
        <v>118</v>
      </c>
      <c r="I3" s="33" t="s">
        <v>119</v>
      </c>
      <c r="J3" s="33" t="s">
        <v>120</v>
      </c>
      <c r="K3" s="33" t="s">
        <v>0</v>
      </c>
    </row>
    <row r="4" ht="30" customHeight="1" spans="1:11">
      <c r="A4" s="35">
        <v>1</v>
      </c>
      <c r="B4" s="34" t="s">
        <v>12</v>
      </c>
      <c r="C4" s="34" t="s">
        <v>13</v>
      </c>
      <c r="D4" s="34" t="s">
        <v>14</v>
      </c>
      <c r="E4" s="34" t="s">
        <v>15</v>
      </c>
      <c r="F4" s="34" t="s">
        <v>16</v>
      </c>
      <c r="G4" s="38">
        <v>100</v>
      </c>
      <c r="H4" s="38">
        <v>0</v>
      </c>
      <c r="I4" s="38">
        <v>73.46</v>
      </c>
      <c r="J4" s="38">
        <v>35</v>
      </c>
      <c r="K4" s="38">
        <v>63.62</v>
      </c>
    </row>
    <row r="5" ht="30" customHeight="1" spans="1:11">
      <c r="A5" s="37">
        <v>2</v>
      </c>
      <c r="B5" s="36" t="s">
        <v>17</v>
      </c>
      <c r="C5" s="36" t="s">
        <v>18</v>
      </c>
      <c r="D5" s="36" t="s">
        <v>14</v>
      </c>
      <c r="E5" s="36" t="s">
        <v>15</v>
      </c>
      <c r="F5" s="36" t="s">
        <v>16</v>
      </c>
      <c r="G5" s="39">
        <v>100</v>
      </c>
      <c r="H5" s="39">
        <v>0</v>
      </c>
      <c r="I5" s="39">
        <v>83.85</v>
      </c>
      <c r="J5" s="39">
        <v>30</v>
      </c>
      <c r="K5" s="39">
        <v>65.46</v>
      </c>
    </row>
    <row r="6" ht="30" customHeight="1" spans="1:11">
      <c r="A6" s="35">
        <v>3</v>
      </c>
      <c r="B6" s="34" t="s">
        <v>19</v>
      </c>
      <c r="C6" s="34" t="s">
        <v>20</v>
      </c>
      <c r="D6" s="34" t="s">
        <v>14</v>
      </c>
      <c r="E6" s="34" t="s">
        <v>15</v>
      </c>
      <c r="F6" s="34" t="s">
        <v>21</v>
      </c>
      <c r="G6" s="38">
        <v>100</v>
      </c>
      <c r="H6" s="38">
        <v>0</v>
      </c>
      <c r="I6" s="38">
        <v>88.46</v>
      </c>
      <c r="J6" s="38">
        <v>30</v>
      </c>
      <c r="K6" s="38">
        <v>66.62</v>
      </c>
    </row>
    <row r="7" ht="30" customHeight="1" spans="1:11">
      <c r="A7" s="37">
        <v>4</v>
      </c>
      <c r="B7" s="36" t="s">
        <v>22</v>
      </c>
      <c r="C7" s="36" t="s">
        <v>23</v>
      </c>
      <c r="D7" s="36" t="s">
        <v>14</v>
      </c>
      <c r="E7" s="36" t="s">
        <v>15</v>
      </c>
      <c r="F7" s="36" t="s">
        <v>21</v>
      </c>
      <c r="G7" s="39">
        <v>100</v>
      </c>
      <c r="H7" s="39">
        <v>0</v>
      </c>
      <c r="I7" s="39">
        <v>92.31</v>
      </c>
      <c r="J7" s="39">
        <v>40</v>
      </c>
      <c r="K7" s="39">
        <v>69.08</v>
      </c>
    </row>
    <row r="8" ht="30" customHeight="1" spans="1:11">
      <c r="A8" s="35">
        <v>5</v>
      </c>
      <c r="B8" s="34" t="s">
        <v>24</v>
      </c>
      <c r="C8" s="34" t="s">
        <v>25</v>
      </c>
      <c r="D8" s="34" t="s">
        <v>14</v>
      </c>
      <c r="E8" s="34" t="s">
        <v>15</v>
      </c>
      <c r="F8" s="34" t="s">
        <v>21</v>
      </c>
      <c r="G8" s="38">
        <v>100</v>
      </c>
      <c r="H8" s="38">
        <v>0</v>
      </c>
      <c r="I8" s="38">
        <v>85.19</v>
      </c>
      <c r="J8" s="38">
        <v>35</v>
      </c>
      <c r="K8" s="38">
        <v>66.55</v>
      </c>
    </row>
    <row r="9" ht="30" customHeight="1" spans="1:11">
      <c r="A9" s="37">
        <v>6</v>
      </c>
      <c r="B9" s="36" t="s">
        <v>26</v>
      </c>
      <c r="C9" s="36" t="s">
        <v>27</v>
      </c>
      <c r="D9" s="36" t="s">
        <v>14</v>
      </c>
      <c r="E9" s="36" t="s">
        <v>15</v>
      </c>
      <c r="F9" s="36" t="s">
        <v>21</v>
      </c>
      <c r="G9" s="39">
        <v>100</v>
      </c>
      <c r="H9" s="39">
        <v>0</v>
      </c>
      <c r="I9" s="39">
        <v>90.77</v>
      </c>
      <c r="J9" s="39">
        <v>40</v>
      </c>
      <c r="K9" s="39">
        <v>68.69</v>
      </c>
    </row>
    <row r="10" ht="30" customHeight="1" spans="1:11">
      <c r="A10" s="35">
        <v>7</v>
      </c>
      <c r="B10" s="34" t="s">
        <v>28</v>
      </c>
      <c r="C10" s="34" t="s">
        <v>29</v>
      </c>
      <c r="D10" s="34" t="s">
        <v>14</v>
      </c>
      <c r="E10" s="34" t="s">
        <v>15</v>
      </c>
      <c r="F10" s="34" t="s">
        <v>21</v>
      </c>
      <c r="G10" s="38">
        <v>100</v>
      </c>
      <c r="H10" s="38">
        <v>0</v>
      </c>
      <c r="I10" s="38">
        <v>82.69</v>
      </c>
      <c r="J10" s="38">
        <v>35</v>
      </c>
      <c r="K10" s="38">
        <v>65.92</v>
      </c>
    </row>
    <row r="11" ht="30" customHeight="1" spans="1:11">
      <c r="A11" s="37">
        <v>8</v>
      </c>
      <c r="B11" s="36" t="s">
        <v>30</v>
      </c>
      <c r="C11" s="36" t="s">
        <v>31</v>
      </c>
      <c r="D11" s="36" t="s">
        <v>14</v>
      </c>
      <c r="E11" s="36" t="s">
        <v>15</v>
      </c>
      <c r="F11" s="36" t="s">
        <v>21</v>
      </c>
      <c r="G11" s="39">
        <v>100</v>
      </c>
      <c r="H11" s="39">
        <v>0</v>
      </c>
      <c r="I11" s="39">
        <v>86.35</v>
      </c>
      <c r="J11" s="39">
        <v>39.5</v>
      </c>
      <c r="K11" s="39">
        <v>67.51</v>
      </c>
    </row>
    <row r="12" ht="30" customHeight="1" spans="1:11">
      <c r="A12" s="35">
        <v>9</v>
      </c>
      <c r="B12" s="34" t="s">
        <v>32</v>
      </c>
      <c r="C12" s="34" t="s">
        <v>33</v>
      </c>
      <c r="D12" s="34" t="s">
        <v>14</v>
      </c>
      <c r="E12" s="34" t="s">
        <v>15</v>
      </c>
      <c r="F12" s="34" t="s">
        <v>21</v>
      </c>
      <c r="G12" s="38">
        <v>100</v>
      </c>
      <c r="H12" s="38">
        <v>0</v>
      </c>
      <c r="I12" s="38">
        <v>6.15</v>
      </c>
      <c r="J12" s="38">
        <v>0</v>
      </c>
      <c r="K12" s="38">
        <v>41.54</v>
      </c>
    </row>
    <row r="13" ht="30" customHeight="1" spans="1:11">
      <c r="A13" s="37">
        <v>10</v>
      </c>
      <c r="B13" s="36" t="s">
        <v>34</v>
      </c>
      <c r="C13" s="36" t="s">
        <v>35</v>
      </c>
      <c r="D13" s="36" t="s">
        <v>14</v>
      </c>
      <c r="E13" s="36" t="s">
        <v>15</v>
      </c>
      <c r="F13" s="36" t="s">
        <v>21</v>
      </c>
      <c r="G13" s="39">
        <v>100</v>
      </c>
      <c r="H13" s="39">
        <v>0</v>
      </c>
      <c r="I13" s="39">
        <v>86.54</v>
      </c>
      <c r="J13" s="39">
        <v>40</v>
      </c>
      <c r="K13" s="39">
        <v>67.63</v>
      </c>
    </row>
    <row r="14" ht="30" customHeight="1" spans="1:11">
      <c r="A14" s="35">
        <v>11</v>
      </c>
      <c r="B14" s="34" t="s">
        <v>36</v>
      </c>
      <c r="C14" s="34" t="s">
        <v>37</v>
      </c>
      <c r="D14" s="34" t="s">
        <v>14</v>
      </c>
      <c r="E14" s="34" t="s">
        <v>15</v>
      </c>
      <c r="F14" s="34" t="s">
        <v>21</v>
      </c>
      <c r="G14" s="38">
        <v>100</v>
      </c>
      <c r="H14" s="38">
        <v>0</v>
      </c>
      <c r="I14" s="38">
        <v>87.88</v>
      </c>
      <c r="J14" s="38">
        <v>35</v>
      </c>
      <c r="K14" s="38">
        <v>67.22</v>
      </c>
    </row>
    <row r="15" ht="30" customHeight="1" spans="1:11">
      <c r="A15" s="37">
        <v>12</v>
      </c>
      <c r="B15" s="36" t="s">
        <v>38</v>
      </c>
      <c r="C15" s="36" t="s">
        <v>39</v>
      </c>
      <c r="D15" s="36" t="s">
        <v>14</v>
      </c>
      <c r="E15" s="36" t="s">
        <v>15</v>
      </c>
      <c r="F15" s="36" t="s">
        <v>21</v>
      </c>
      <c r="G15" s="39">
        <v>100</v>
      </c>
      <c r="H15" s="39">
        <v>0</v>
      </c>
      <c r="I15" s="39">
        <v>90.96</v>
      </c>
      <c r="J15" s="39">
        <v>45</v>
      </c>
      <c r="K15" s="39">
        <v>69.49</v>
      </c>
    </row>
    <row r="16" ht="30" customHeight="1" spans="1:11">
      <c r="A16" s="35">
        <v>13</v>
      </c>
      <c r="B16" s="34" t="s">
        <v>40</v>
      </c>
      <c r="C16" s="34" t="s">
        <v>41</v>
      </c>
      <c r="D16" s="34" t="s">
        <v>14</v>
      </c>
      <c r="E16" s="34" t="s">
        <v>15</v>
      </c>
      <c r="F16" s="34" t="s">
        <v>21</v>
      </c>
      <c r="G16" s="38">
        <v>100</v>
      </c>
      <c r="H16" s="38">
        <v>0</v>
      </c>
      <c r="I16" s="38">
        <v>85</v>
      </c>
      <c r="J16" s="38">
        <v>35</v>
      </c>
      <c r="K16" s="38">
        <v>66.5</v>
      </c>
    </row>
    <row r="17" ht="30" customHeight="1" spans="1:11">
      <c r="A17" s="37">
        <v>14</v>
      </c>
      <c r="B17" s="36" t="s">
        <v>42</v>
      </c>
      <c r="C17" s="36" t="s">
        <v>43</v>
      </c>
      <c r="D17" s="36" t="s">
        <v>14</v>
      </c>
      <c r="E17" s="36" t="s">
        <v>15</v>
      </c>
      <c r="F17" s="36" t="s">
        <v>21</v>
      </c>
      <c r="G17" s="39">
        <v>100</v>
      </c>
      <c r="H17" s="39">
        <v>0</v>
      </c>
      <c r="I17" s="39">
        <v>87.5</v>
      </c>
      <c r="J17" s="39">
        <v>35</v>
      </c>
      <c r="K17" s="39">
        <v>67.13</v>
      </c>
    </row>
    <row r="18" ht="30" customHeight="1" spans="1:11">
      <c r="A18" s="35">
        <v>15</v>
      </c>
      <c r="B18" s="34" t="s">
        <v>44</v>
      </c>
      <c r="C18" s="34" t="s">
        <v>45</v>
      </c>
      <c r="D18" s="34" t="s">
        <v>14</v>
      </c>
      <c r="E18" s="34" t="s">
        <v>15</v>
      </c>
      <c r="F18" s="34" t="s">
        <v>21</v>
      </c>
      <c r="G18" s="38">
        <v>100</v>
      </c>
      <c r="H18" s="38">
        <v>0</v>
      </c>
      <c r="I18" s="38">
        <v>90.96</v>
      </c>
      <c r="J18" s="38">
        <v>35</v>
      </c>
      <c r="K18" s="38">
        <v>67.99</v>
      </c>
    </row>
    <row r="19" ht="30" customHeight="1" spans="1:11">
      <c r="A19" s="37">
        <v>16</v>
      </c>
      <c r="B19" s="36" t="s">
        <v>46</v>
      </c>
      <c r="C19" s="36" t="s">
        <v>47</v>
      </c>
      <c r="D19" s="36" t="s">
        <v>14</v>
      </c>
      <c r="E19" s="36" t="s">
        <v>15</v>
      </c>
      <c r="F19" s="36" t="s">
        <v>21</v>
      </c>
      <c r="G19" s="39">
        <v>100</v>
      </c>
      <c r="H19" s="39">
        <v>0</v>
      </c>
      <c r="I19" s="39">
        <v>88.08</v>
      </c>
      <c r="J19" s="39">
        <v>40</v>
      </c>
      <c r="K19" s="39">
        <v>68.02</v>
      </c>
    </row>
    <row r="20" ht="30" customHeight="1" spans="1:11">
      <c r="A20" s="35">
        <v>17</v>
      </c>
      <c r="B20" s="34" t="s">
        <v>48</v>
      </c>
      <c r="C20" s="34" t="s">
        <v>49</v>
      </c>
      <c r="D20" s="34" t="s">
        <v>14</v>
      </c>
      <c r="E20" s="34" t="s">
        <v>15</v>
      </c>
      <c r="F20" s="34" t="s">
        <v>21</v>
      </c>
      <c r="G20" s="38">
        <v>100</v>
      </c>
      <c r="H20" s="38">
        <v>0</v>
      </c>
      <c r="I20" s="38">
        <v>90</v>
      </c>
      <c r="J20" s="38">
        <v>35</v>
      </c>
      <c r="K20" s="38">
        <v>67.75</v>
      </c>
    </row>
    <row r="21" ht="30" customHeight="1" spans="1:11">
      <c r="A21" s="37">
        <v>18</v>
      </c>
      <c r="B21" s="36" t="s">
        <v>50</v>
      </c>
      <c r="C21" s="36" t="s">
        <v>51</v>
      </c>
      <c r="D21" s="36" t="s">
        <v>14</v>
      </c>
      <c r="E21" s="36" t="s">
        <v>15</v>
      </c>
      <c r="F21" s="36" t="s">
        <v>21</v>
      </c>
      <c r="G21" s="39">
        <v>100</v>
      </c>
      <c r="H21" s="39">
        <v>0</v>
      </c>
      <c r="I21" s="39">
        <v>21.92</v>
      </c>
      <c r="J21" s="39">
        <v>0</v>
      </c>
      <c r="K21" s="39">
        <v>45.48</v>
      </c>
    </row>
    <row r="22" ht="30" customHeight="1" spans="1:11">
      <c r="A22" s="35">
        <v>19</v>
      </c>
      <c r="B22" s="34" t="s">
        <v>52</v>
      </c>
      <c r="C22" s="34" t="s">
        <v>53</v>
      </c>
      <c r="D22" s="34" t="s">
        <v>14</v>
      </c>
      <c r="E22" s="34" t="s">
        <v>15</v>
      </c>
      <c r="F22" s="34" t="s">
        <v>21</v>
      </c>
      <c r="G22" s="38">
        <v>100</v>
      </c>
      <c r="H22" s="38">
        <v>0</v>
      </c>
      <c r="I22" s="38">
        <v>84.42</v>
      </c>
      <c r="J22" s="38">
        <v>39.5</v>
      </c>
      <c r="K22" s="38">
        <v>67.03</v>
      </c>
    </row>
    <row r="23" ht="30" customHeight="1" spans="1:11">
      <c r="A23" s="37">
        <v>20</v>
      </c>
      <c r="B23" s="36" t="s">
        <v>54</v>
      </c>
      <c r="C23" s="36" t="s">
        <v>55</v>
      </c>
      <c r="D23" s="36" t="s">
        <v>14</v>
      </c>
      <c r="E23" s="36" t="s">
        <v>15</v>
      </c>
      <c r="F23" s="36" t="s">
        <v>21</v>
      </c>
      <c r="G23" s="39">
        <v>100</v>
      </c>
      <c r="H23" s="39">
        <v>0</v>
      </c>
      <c r="I23" s="39">
        <v>81.92</v>
      </c>
      <c r="J23" s="39">
        <v>35</v>
      </c>
      <c r="K23" s="39">
        <v>65.73</v>
      </c>
    </row>
    <row r="24" ht="30" customHeight="1" spans="1:11">
      <c r="A24" s="35">
        <v>21</v>
      </c>
      <c r="B24" s="34" t="s">
        <v>56</v>
      </c>
      <c r="C24" s="34" t="s">
        <v>57</v>
      </c>
      <c r="D24" s="34" t="s">
        <v>14</v>
      </c>
      <c r="E24" s="34" t="s">
        <v>15</v>
      </c>
      <c r="F24" s="34" t="s">
        <v>21</v>
      </c>
      <c r="G24" s="38">
        <v>100</v>
      </c>
      <c r="H24" s="38">
        <v>0</v>
      </c>
      <c r="I24" s="38">
        <v>82.69</v>
      </c>
      <c r="J24" s="38">
        <v>35</v>
      </c>
      <c r="K24" s="38">
        <v>65.92</v>
      </c>
    </row>
    <row r="25" ht="30" customHeight="1" spans="1:11">
      <c r="A25" s="37">
        <v>22</v>
      </c>
      <c r="B25" s="36" t="s">
        <v>58</v>
      </c>
      <c r="C25" s="36" t="s">
        <v>59</v>
      </c>
      <c r="D25" s="36" t="s">
        <v>14</v>
      </c>
      <c r="E25" s="36" t="s">
        <v>15</v>
      </c>
      <c r="F25" s="36" t="s">
        <v>21</v>
      </c>
      <c r="G25" s="39">
        <v>100</v>
      </c>
      <c r="H25" s="39">
        <v>0</v>
      </c>
      <c r="I25" s="39">
        <v>83.46</v>
      </c>
      <c r="J25" s="39">
        <v>35</v>
      </c>
      <c r="K25" s="39">
        <v>66.12</v>
      </c>
    </row>
    <row r="26" ht="30" customHeight="1" spans="1:11">
      <c r="A26" s="35">
        <v>23</v>
      </c>
      <c r="B26" s="34" t="s">
        <v>60</v>
      </c>
      <c r="C26" s="34" t="s">
        <v>61</v>
      </c>
      <c r="D26" s="34" t="s">
        <v>14</v>
      </c>
      <c r="E26" s="34" t="s">
        <v>15</v>
      </c>
      <c r="F26" s="34" t="s">
        <v>21</v>
      </c>
      <c r="G26" s="38">
        <v>100</v>
      </c>
      <c r="H26" s="38">
        <v>0</v>
      </c>
      <c r="I26" s="38">
        <v>86.15</v>
      </c>
      <c r="J26" s="38">
        <v>0</v>
      </c>
      <c r="K26" s="38">
        <v>61.54</v>
      </c>
    </row>
    <row r="27" ht="30" customHeight="1" spans="1:11">
      <c r="A27" s="37">
        <v>24</v>
      </c>
      <c r="B27" s="36" t="s">
        <v>62</v>
      </c>
      <c r="C27" s="36" t="s">
        <v>63</v>
      </c>
      <c r="D27" s="36" t="s">
        <v>14</v>
      </c>
      <c r="E27" s="36" t="s">
        <v>15</v>
      </c>
      <c r="F27" s="36" t="s">
        <v>21</v>
      </c>
      <c r="G27" s="39">
        <v>100</v>
      </c>
      <c r="H27" s="39">
        <v>0</v>
      </c>
      <c r="I27" s="39">
        <v>89.81</v>
      </c>
      <c r="J27" s="39">
        <v>35</v>
      </c>
      <c r="K27" s="39">
        <v>67.7</v>
      </c>
    </row>
    <row r="28" ht="30" customHeight="1" spans="1:11">
      <c r="A28" s="35">
        <v>25</v>
      </c>
      <c r="B28" s="34" t="s">
        <v>64</v>
      </c>
      <c r="C28" s="34" t="s">
        <v>65</v>
      </c>
      <c r="D28" s="34" t="s">
        <v>14</v>
      </c>
      <c r="E28" s="34" t="s">
        <v>15</v>
      </c>
      <c r="F28" s="34" t="s">
        <v>21</v>
      </c>
      <c r="G28" s="38">
        <v>100</v>
      </c>
      <c r="H28" s="38">
        <v>0</v>
      </c>
      <c r="I28" s="38">
        <v>88.65</v>
      </c>
      <c r="J28" s="38">
        <v>35</v>
      </c>
      <c r="K28" s="38">
        <v>67.41</v>
      </c>
    </row>
    <row r="29" ht="30" customHeight="1" spans="1:11">
      <c r="A29" s="37">
        <v>26</v>
      </c>
      <c r="B29" s="36" t="s">
        <v>66</v>
      </c>
      <c r="C29" s="36" t="s">
        <v>67</v>
      </c>
      <c r="D29" s="36" t="s">
        <v>14</v>
      </c>
      <c r="E29" s="36" t="s">
        <v>15</v>
      </c>
      <c r="F29" s="36" t="s">
        <v>21</v>
      </c>
      <c r="G29" s="39">
        <v>100</v>
      </c>
      <c r="H29" s="39">
        <v>0</v>
      </c>
      <c r="I29" s="39">
        <v>91.35</v>
      </c>
      <c r="J29" s="39">
        <v>35</v>
      </c>
      <c r="K29" s="39">
        <v>68.09</v>
      </c>
    </row>
    <row r="30" ht="30" customHeight="1" spans="1:11">
      <c r="A30" s="35">
        <v>27</v>
      </c>
      <c r="B30" s="34" t="s">
        <v>68</v>
      </c>
      <c r="C30" s="34" t="s">
        <v>69</v>
      </c>
      <c r="D30" s="34" t="s">
        <v>14</v>
      </c>
      <c r="E30" s="34" t="s">
        <v>15</v>
      </c>
      <c r="F30" s="34" t="s">
        <v>21</v>
      </c>
      <c r="G30" s="38">
        <v>100</v>
      </c>
      <c r="H30" s="38">
        <v>0</v>
      </c>
      <c r="I30" s="38">
        <v>87.31</v>
      </c>
      <c r="J30" s="38">
        <v>35</v>
      </c>
      <c r="K30" s="38">
        <v>67.08</v>
      </c>
    </row>
    <row r="31" ht="30" customHeight="1" spans="1:11">
      <c r="A31" s="37">
        <v>28</v>
      </c>
      <c r="B31" s="36" t="s">
        <v>70</v>
      </c>
      <c r="C31" s="36" t="s">
        <v>71</v>
      </c>
      <c r="D31" s="36" t="s">
        <v>14</v>
      </c>
      <c r="E31" s="36" t="s">
        <v>15</v>
      </c>
      <c r="F31" s="36" t="s">
        <v>16</v>
      </c>
      <c r="G31" s="39">
        <v>100</v>
      </c>
      <c r="H31" s="39">
        <v>0</v>
      </c>
      <c r="I31" s="39">
        <v>81.54</v>
      </c>
      <c r="J31" s="39">
        <v>35</v>
      </c>
      <c r="K31" s="39">
        <v>65.63</v>
      </c>
    </row>
    <row r="32" ht="30" customHeight="1" spans="1:11">
      <c r="A32" s="35">
        <v>29</v>
      </c>
      <c r="B32" s="34" t="s">
        <v>72</v>
      </c>
      <c r="C32" s="34" t="s">
        <v>73</v>
      </c>
      <c r="D32" s="34" t="s">
        <v>14</v>
      </c>
      <c r="E32" s="34" t="s">
        <v>15</v>
      </c>
      <c r="F32" s="34" t="s">
        <v>16</v>
      </c>
      <c r="G32" s="38">
        <v>100</v>
      </c>
      <c r="H32" s="38">
        <v>0</v>
      </c>
      <c r="I32" s="38">
        <v>82.69</v>
      </c>
      <c r="J32" s="38">
        <v>30</v>
      </c>
      <c r="K32" s="38">
        <v>65.17</v>
      </c>
    </row>
    <row r="33" ht="30" customHeight="1" spans="1:11">
      <c r="A33" s="37">
        <v>30</v>
      </c>
      <c r="B33" s="36" t="s">
        <v>74</v>
      </c>
      <c r="C33" s="36" t="s">
        <v>75</v>
      </c>
      <c r="D33" s="36" t="s">
        <v>14</v>
      </c>
      <c r="E33" s="36" t="s">
        <v>15</v>
      </c>
      <c r="F33" s="36" t="s">
        <v>16</v>
      </c>
      <c r="G33" s="39">
        <v>100</v>
      </c>
      <c r="H33" s="39">
        <v>0</v>
      </c>
      <c r="I33" s="39">
        <v>78.85</v>
      </c>
      <c r="J33" s="39">
        <v>30</v>
      </c>
      <c r="K33" s="39">
        <v>64.21</v>
      </c>
    </row>
    <row r="34" ht="30" customHeight="1" spans="1:11">
      <c r="A34" s="35">
        <v>31</v>
      </c>
      <c r="B34" s="34" t="s">
        <v>76</v>
      </c>
      <c r="C34" s="34" t="s">
        <v>77</v>
      </c>
      <c r="D34" s="34" t="s">
        <v>14</v>
      </c>
      <c r="E34" s="34" t="s">
        <v>15</v>
      </c>
      <c r="F34" s="34" t="s">
        <v>16</v>
      </c>
      <c r="G34" s="38">
        <v>100</v>
      </c>
      <c r="H34" s="38">
        <v>0</v>
      </c>
      <c r="I34" s="38">
        <v>83.08</v>
      </c>
      <c r="J34" s="38">
        <v>35</v>
      </c>
      <c r="K34" s="38">
        <v>66.02</v>
      </c>
    </row>
    <row r="35" ht="30" customHeight="1" spans="1:11">
      <c r="A35" s="37">
        <v>32</v>
      </c>
      <c r="B35" s="36" t="s">
        <v>78</v>
      </c>
      <c r="C35" s="36" t="s">
        <v>79</v>
      </c>
      <c r="D35" s="36" t="s">
        <v>14</v>
      </c>
      <c r="E35" s="36" t="s">
        <v>15</v>
      </c>
      <c r="F35" s="36" t="s">
        <v>16</v>
      </c>
      <c r="G35" s="39">
        <v>100</v>
      </c>
      <c r="H35" s="39">
        <v>0</v>
      </c>
      <c r="I35" s="39">
        <v>84.23</v>
      </c>
      <c r="J35" s="39">
        <v>35</v>
      </c>
      <c r="K35" s="39">
        <v>66.31</v>
      </c>
    </row>
    <row r="36" ht="30" customHeight="1" spans="1:11">
      <c r="A36" s="35">
        <v>33</v>
      </c>
      <c r="B36" s="34" t="s">
        <v>80</v>
      </c>
      <c r="C36" s="34" t="s">
        <v>81</v>
      </c>
      <c r="D36" s="34" t="s">
        <v>14</v>
      </c>
      <c r="E36" s="34" t="s">
        <v>15</v>
      </c>
      <c r="F36" s="34" t="s">
        <v>16</v>
      </c>
      <c r="G36" s="38">
        <v>100</v>
      </c>
      <c r="H36" s="38">
        <v>0</v>
      </c>
      <c r="I36" s="38">
        <v>88.08</v>
      </c>
      <c r="J36" s="38">
        <v>35</v>
      </c>
      <c r="K36" s="38">
        <v>67.27</v>
      </c>
    </row>
    <row r="37" ht="30" customHeight="1" spans="1:11">
      <c r="A37" s="37">
        <v>34</v>
      </c>
      <c r="B37" s="36" t="s">
        <v>82</v>
      </c>
      <c r="C37" s="36" t="s">
        <v>83</v>
      </c>
      <c r="D37" s="36" t="s">
        <v>14</v>
      </c>
      <c r="E37" s="36" t="s">
        <v>15</v>
      </c>
      <c r="F37" s="36" t="s">
        <v>16</v>
      </c>
      <c r="G37" s="39">
        <v>100</v>
      </c>
      <c r="H37" s="39">
        <v>0</v>
      </c>
      <c r="I37" s="39">
        <v>83.46</v>
      </c>
      <c r="J37" s="39">
        <v>35</v>
      </c>
      <c r="K37" s="39">
        <v>66.12</v>
      </c>
    </row>
    <row r="38" ht="30" customHeight="1" spans="1:11">
      <c r="A38" s="35">
        <v>35</v>
      </c>
      <c r="B38" s="34" t="s">
        <v>84</v>
      </c>
      <c r="C38" s="34" t="s">
        <v>85</v>
      </c>
      <c r="D38" s="34" t="s">
        <v>14</v>
      </c>
      <c r="E38" s="34" t="s">
        <v>15</v>
      </c>
      <c r="F38" s="34" t="s">
        <v>16</v>
      </c>
      <c r="G38" s="38">
        <v>100</v>
      </c>
      <c r="H38" s="38">
        <v>0</v>
      </c>
      <c r="I38" s="38">
        <v>81.92</v>
      </c>
      <c r="J38" s="38">
        <v>35</v>
      </c>
      <c r="K38" s="38">
        <v>65.73</v>
      </c>
    </row>
    <row r="39" ht="30" customHeight="1" spans="1:11">
      <c r="A39" s="37">
        <v>36</v>
      </c>
      <c r="B39" s="36" t="s">
        <v>86</v>
      </c>
      <c r="C39" s="36" t="s">
        <v>87</v>
      </c>
      <c r="D39" s="36" t="s">
        <v>14</v>
      </c>
      <c r="E39" s="36" t="s">
        <v>15</v>
      </c>
      <c r="F39" s="36" t="s">
        <v>16</v>
      </c>
      <c r="G39" s="39">
        <v>100</v>
      </c>
      <c r="H39" s="39">
        <v>0</v>
      </c>
      <c r="I39" s="39">
        <v>86.15</v>
      </c>
      <c r="J39" s="39">
        <v>35</v>
      </c>
      <c r="K39" s="39">
        <v>66.79</v>
      </c>
    </row>
    <row r="40" ht="30" customHeight="1" spans="1:11">
      <c r="A40" s="35">
        <v>37</v>
      </c>
      <c r="B40" s="34" t="s">
        <v>88</v>
      </c>
      <c r="C40" s="34" t="s">
        <v>89</v>
      </c>
      <c r="D40" s="34" t="s">
        <v>14</v>
      </c>
      <c r="E40" s="34" t="s">
        <v>15</v>
      </c>
      <c r="F40" s="34" t="s">
        <v>16</v>
      </c>
      <c r="G40" s="38">
        <v>100</v>
      </c>
      <c r="H40" s="38">
        <v>0</v>
      </c>
      <c r="I40" s="38">
        <v>84.23</v>
      </c>
      <c r="J40" s="38">
        <v>35</v>
      </c>
      <c r="K40" s="38">
        <v>66.31</v>
      </c>
    </row>
    <row r="41" ht="30" customHeight="1" spans="1:11">
      <c r="A41" s="37">
        <v>38</v>
      </c>
      <c r="B41" s="36" t="s">
        <v>90</v>
      </c>
      <c r="C41" s="36" t="s">
        <v>91</v>
      </c>
      <c r="D41" s="36" t="s">
        <v>14</v>
      </c>
      <c r="E41" s="36" t="s">
        <v>15</v>
      </c>
      <c r="F41" s="36" t="s">
        <v>16</v>
      </c>
      <c r="G41" s="39">
        <v>100</v>
      </c>
      <c r="H41" s="39">
        <v>0</v>
      </c>
      <c r="I41" s="39">
        <v>85.38</v>
      </c>
      <c r="J41" s="39">
        <v>39.5</v>
      </c>
      <c r="K41" s="39">
        <v>67.27</v>
      </c>
    </row>
    <row r="42" ht="30" customHeight="1" spans="1:11">
      <c r="A42" s="35">
        <v>39</v>
      </c>
      <c r="B42" s="34" t="s">
        <v>92</v>
      </c>
      <c r="C42" s="34" t="s">
        <v>93</v>
      </c>
      <c r="D42" s="34" t="s">
        <v>14</v>
      </c>
      <c r="E42" s="34" t="s">
        <v>15</v>
      </c>
      <c r="F42" s="34" t="s">
        <v>16</v>
      </c>
      <c r="G42" s="38">
        <v>100</v>
      </c>
      <c r="H42" s="38">
        <v>0</v>
      </c>
      <c r="I42" s="38">
        <v>88.85</v>
      </c>
      <c r="J42" s="38">
        <v>35</v>
      </c>
      <c r="K42" s="38">
        <v>67.46</v>
      </c>
    </row>
    <row r="43" ht="30" customHeight="1" spans="1:11">
      <c r="A43" s="37">
        <v>40</v>
      </c>
      <c r="B43" s="36" t="s">
        <v>94</v>
      </c>
      <c r="C43" s="36" t="s">
        <v>95</v>
      </c>
      <c r="D43" s="36" t="s">
        <v>14</v>
      </c>
      <c r="E43" s="36" t="s">
        <v>15</v>
      </c>
      <c r="F43" s="36" t="s">
        <v>16</v>
      </c>
      <c r="G43" s="39">
        <v>100</v>
      </c>
      <c r="H43" s="39">
        <v>0</v>
      </c>
      <c r="I43" s="39">
        <v>88.46</v>
      </c>
      <c r="J43" s="39">
        <v>40</v>
      </c>
      <c r="K43" s="39">
        <v>68.12</v>
      </c>
    </row>
    <row r="44" ht="30" customHeight="1" spans="1:11">
      <c r="A44" s="35">
        <v>41</v>
      </c>
      <c r="B44" s="34" t="s">
        <v>96</v>
      </c>
      <c r="C44" s="34" t="s">
        <v>97</v>
      </c>
      <c r="D44" s="34" t="s">
        <v>14</v>
      </c>
      <c r="E44" s="34" t="s">
        <v>15</v>
      </c>
      <c r="F44" s="34" t="s">
        <v>16</v>
      </c>
      <c r="G44" s="38">
        <v>100</v>
      </c>
      <c r="H44" s="38">
        <v>0</v>
      </c>
      <c r="I44" s="38">
        <v>27.69</v>
      </c>
      <c r="J44" s="38">
        <v>0</v>
      </c>
      <c r="K44" s="38">
        <v>46.92</v>
      </c>
    </row>
    <row r="45" ht="30" customHeight="1" spans="1:11">
      <c r="A45" s="37">
        <v>42</v>
      </c>
      <c r="B45" s="36" t="s">
        <v>98</v>
      </c>
      <c r="C45" s="36" t="s">
        <v>99</v>
      </c>
      <c r="D45" s="36" t="s">
        <v>14</v>
      </c>
      <c r="E45" s="36" t="s">
        <v>15</v>
      </c>
      <c r="F45" s="36" t="s">
        <v>16</v>
      </c>
      <c r="G45" s="39">
        <v>100</v>
      </c>
      <c r="H45" s="39">
        <v>0</v>
      </c>
      <c r="I45" s="39">
        <v>90.77</v>
      </c>
      <c r="J45" s="39">
        <v>35</v>
      </c>
      <c r="K45" s="39">
        <v>67.94</v>
      </c>
    </row>
    <row r="46" ht="30" customHeight="1" spans="1:11">
      <c r="A46" s="35">
        <v>43</v>
      </c>
      <c r="B46" s="34" t="s">
        <v>100</v>
      </c>
      <c r="C46" s="34" t="s">
        <v>101</v>
      </c>
      <c r="D46" s="34" t="s">
        <v>14</v>
      </c>
      <c r="E46" s="34" t="s">
        <v>15</v>
      </c>
      <c r="F46" s="34" t="s">
        <v>16</v>
      </c>
      <c r="G46" s="38">
        <v>100</v>
      </c>
      <c r="H46" s="38">
        <v>0</v>
      </c>
      <c r="I46" s="38">
        <v>84.81</v>
      </c>
      <c r="J46" s="38">
        <v>35</v>
      </c>
      <c r="K46" s="38">
        <v>66.45</v>
      </c>
    </row>
    <row r="47" ht="30" customHeight="1" spans="1:11">
      <c r="A47" s="37">
        <v>44</v>
      </c>
      <c r="B47" s="36" t="s">
        <v>102</v>
      </c>
      <c r="C47" s="36" t="s">
        <v>103</v>
      </c>
      <c r="D47" s="36" t="s">
        <v>14</v>
      </c>
      <c r="E47" s="36" t="s">
        <v>15</v>
      </c>
      <c r="F47" s="36" t="s">
        <v>16</v>
      </c>
      <c r="G47" s="39">
        <v>100</v>
      </c>
      <c r="H47" s="39">
        <v>0</v>
      </c>
      <c r="I47" s="39">
        <v>79.62</v>
      </c>
      <c r="J47" s="39">
        <v>40</v>
      </c>
      <c r="K47" s="39">
        <v>65.9</v>
      </c>
    </row>
    <row r="48" ht="30" customHeight="1" spans="1:11">
      <c r="A48" s="35">
        <v>45</v>
      </c>
      <c r="B48" s="34" t="s">
        <v>104</v>
      </c>
      <c r="C48" s="34" t="s">
        <v>105</v>
      </c>
      <c r="D48" s="34" t="s">
        <v>14</v>
      </c>
      <c r="E48" s="34" t="s">
        <v>15</v>
      </c>
      <c r="F48" s="34" t="s">
        <v>16</v>
      </c>
      <c r="G48" s="38">
        <v>100</v>
      </c>
      <c r="H48" s="38">
        <v>0</v>
      </c>
      <c r="I48" s="38">
        <v>76.92</v>
      </c>
      <c r="J48" s="38">
        <v>35</v>
      </c>
      <c r="K48" s="38">
        <v>64.48</v>
      </c>
    </row>
    <row r="49" ht="30" customHeight="1" spans="1:11">
      <c r="A49" s="37">
        <v>46</v>
      </c>
      <c r="B49" s="36" t="s">
        <v>106</v>
      </c>
      <c r="C49" s="36" t="s">
        <v>107</v>
      </c>
      <c r="D49" s="36" t="s">
        <v>14</v>
      </c>
      <c r="E49" s="36" t="s">
        <v>15</v>
      </c>
      <c r="F49" s="36" t="s">
        <v>16</v>
      </c>
      <c r="G49" s="39">
        <v>93.75</v>
      </c>
      <c r="H49" s="39">
        <v>0</v>
      </c>
      <c r="I49" s="39">
        <v>83.08</v>
      </c>
      <c r="J49" s="39">
        <v>30</v>
      </c>
      <c r="K49" s="39">
        <v>62.77</v>
      </c>
    </row>
    <row r="50" ht="30" customHeight="1" spans="1:11">
      <c r="A50" s="35">
        <v>47</v>
      </c>
      <c r="B50" s="34" t="s">
        <v>108</v>
      </c>
      <c r="C50" s="34" t="s">
        <v>109</v>
      </c>
      <c r="D50" s="34" t="s">
        <v>14</v>
      </c>
      <c r="E50" s="34" t="s">
        <v>15</v>
      </c>
      <c r="F50" s="34" t="s">
        <v>16</v>
      </c>
      <c r="G50" s="38">
        <v>100</v>
      </c>
      <c r="H50" s="38">
        <v>0</v>
      </c>
      <c r="I50" s="38">
        <v>88.08</v>
      </c>
      <c r="J50" s="38">
        <v>35</v>
      </c>
      <c r="K50" s="38">
        <v>67.27</v>
      </c>
    </row>
    <row r="51" ht="30" customHeight="1" spans="1:11">
      <c r="A51" s="37">
        <v>48</v>
      </c>
      <c r="B51" s="36" t="s">
        <v>110</v>
      </c>
      <c r="C51" s="36" t="s">
        <v>111</v>
      </c>
      <c r="D51" s="36" t="s">
        <v>14</v>
      </c>
      <c r="E51" s="36" t="s">
        <v>15</v>
      </c>
      <c r="F51" s="36" t="s">
        <v>16</v>
      </c>
      <c r="G51" s="39">
        <v>100</v>
      </c>
      <c r="H51" s="39">
        <v>0</v>
      </c>
      <c r="I51" s="39">
        <v>69.23</v>
      </c>
      <c r="J51" s="39">
        <v>40</v>
      </c>
      <c r="K51" s="39">
        <v>63.31</v>
      </c>
    </row>
    <row r="52" ht="30" customHeight="1" spans="1:11">
      <c r="A52" s="35">
        <v>49</v>
      </c>
      <c r="B52" s="34" t="s">
        <v>112</v>
      </c>
      <c r="C52" s="34" t="s">
        <v>113</v>
      </c>
      <c r="D52" s="34" t="s">
        <v>14</v>
      </c>
      <c r="E52" s="34" t="s">
        <v>15</v>
      </c>
      <c r="F52" s="34" t="s">
        <v>16</v>
      </c>
      <c r="G52" s="38">
        <v>100</v>
      </c>
      <c r="H52" s="38">
        <v>0</v>
      </c>
      <c r="I52" s="38">
        <v>85.77</v>
      </c>
      <c r="J52" s="38">
        <v>30</v>
      </c>
      <c r="K52" s="38">
        <v>65.94</v>
      </c>
    </row>
    <row r="53" ht="30" customHeight="1" spans="1:11">
      <c r="A53" s="37">
        <v>50</v>
      </c>
      <c r="B53" s="36" t="s">
        <v>114</v>
      </c>
      <c r="C53" s="36" t="s">
        <v>115</v>
      </c>
      <c r="D53" s="36" t="s">
        <v>14</v>
      </c>
      <c r="E53" s="36" t="s">
        <v>15</v>
      </c>
      <c r="F53" s="36" t="s">
        <v>16</v>
      </c>
      <c r="G53" s="39">
        <v>100</v>
      </c>
      <c r="H53" s="39">
        <v>0</v>
      </c>
      <c r="I53" s="39">
        <v>84.04</v>
      </c>
      <c r="J53" s="39">
        <v>40</v>
      </c>
      <c r="K53" s="39">
        <v>67.01</v>
      </c>
    </row>
  </sheetData>
  <mergeCells count="2">
    <mergeCell ref="A1:K1"/>
    <mergeCell ref="A2:K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3"/>
  <sheetViews>
    <sheetView workbookViewId="0">
      <pane xSplit="1" ySplit="3" topLeftCell="D4" activePane="bottomRight" state="frozen"/>
      <selection/>
      <selection pane="topRight"/>
      <selection pane="bottomLeft"/>
      <selection pane="bottomRight" activeCell="A2" sqref="A2:U52"/>
    </sheetView>
  </sheetViews>
  <sheetFormatPr defaultColWidth="8.88888888888889" defaultRowHeight="14.4"/>
  <cols>
    <col min="1" max="1" width="12" customWidth="1"/>
    <col min="2" max="2" width="11" customWidth="1"/>
    <col min="3" max="3" width="13" customWidth="1"/>
    <col min="4" max="4" width="33" customWidth="1"/>
    <col min="5" max="5" width="19" customWidth="1"/>
    <col min="6" max="7" width="11" customWidth="1"/>
    <col min="8" max="8" width="13" customWidth="1"/>
    <col min="9" max="9" width="19" customWidth="1"/>
    <col min="10" max="10" width="15" customWidth="1"/>
    <col min="11" max="11" width="21" customWidth="1"/>
    <col min="12" max="12" width="15" customWidth="1"/>
    <col min="13" max="13" width="11" customWidth="1"/>
    <col min="14" max="14" width="15" customWidth="1"/>
    <col min="15" max="15" width="11" customWidth="1"/>
  </cols>
  <sheetData>
    <row r="1" ht="30" customHeight="1" spans="1:15">
      <c r="A1" s="31" t="s">
        <v>121</v>
      </c>
    </row>
    <row r="2" ht="30" customHeight="1" spans="1:15">
      <c r="A2" s="32" t="s">
        <v>1</v>
      </c>
    </row>
    <row r="3" ht="30" customHeight="1" spans="1:15">
      <c r="A3" s="33" t="s">
        <v>122</v>
      </c>
      <c r="B3" s="33" t="s">
        <v>3</v>
      </c>
      <c r="C3" s="33" t="s">
        <v>4</v>
      </c>
      <c r="D3" s="33" t="s">
        <v>5</v>
      </c>
      <c r="E3" s="33" t="s">
        <v>6</v>
      </c>
      <c r="F3" s="33" t="s">
        <v>7</v>
      </c>
      <c r="G3" s="33" t="s">
        <v>123</v>
      </c>
      <c r="H3" s="33" t="s">
        <v>124</v>
      </c>
      <c r="I3" s="33" t="s">
        <v>125</v>
      </c>
      <c r="J3" s="33" t="s">
        <v>126</v>
      </c>
      <c r="K3" s="33" t="s">
        <v>127</v>
      </c>
      <c r="L3" s="33" t="s">
        <v>128</v>
      </c>
      <c r="M3" s="33" t="s">
        <v>129</v>
      </c>
      <c r="N3" s="33" t="s">
        <v>130</v>
      </c>
      <c r="O3" s="33" t="s">
        <v>131</v>
      </c>
    </row>
    <row r="4" ht="30" customHeight="1" spans="1:15">
      <c r="A4" s="34" t="s">
        <v>132</v>
      </c>
      <c r="B4" s="34" t="s">
        <v>12</v>
      </c>
      <c r="C4" s="34" t="s">
        <v>13</v>
      </c>
      <c r="D4" s="34" t="s">
        <v>14</v>
      </c>
      <c r="E4" s="34" t="s">
        <v>15</v>
      </c>
      <c r="F4" s="34" t="s">
        <v>16</v>
      </c>
      <c r="G4" s="35">
        <v>2022</v>
      </c>
      <c r="H4" s="34" t="s">
        <v>133</v>
      </c>
      <c r="I4" s="43">
        <v>1</v>
      </c>
      <c r="J4" s="34" t="s">
        <v>134</v>
      </c>
      <c r="K4" s="34" t="s">
        <v>135</v>
      </c>
      <c r="L4" s="34" t="s">
        <v>136</v>
      </c>
      <c r="M4" s="35">
        <v>0</v>
      </c>
      <c r="N4" s="35">
        <v>71</v>
      </c>
      <c r="O4" s="34" t="s">
        <v>137</v>
      </c>
    </row>
    <row r="5" ht="30" customHeight="1" spans="1:15">
      <c r="A5" s="36" t="s">
        <v>138</v>
      </c>
      <c r="B5" s="36" t="s">
        <v>17</v>
      </c>
      <c r="C5" s="36" t="s">
        <v>18</v>
      </c>
      <c r="D5" s="36" t="s">
        <v>14</v>
      </c>
      <c r="E5" s="36" t="s">
        <v>15</v>
      </c>
      <c r="F5" s="36" t="s">
        <v>16</v>
      </c>
      <c r="G5" s="37">
        <v>2022</v>
      </c>
      <c r="H5" s="36" t="s">
        <v>133</v>
      </c>
      <c r="I5" s="44">
        <v>1</v>
      </c>
      <c r="J5" s="36" t="s">
        <v>134</v>
      </c>
      <c r="K5" s="36" t="s">
        <v>135</v>
      </c>
      <c r="L5" s="36" t="s">
        <v>139</v>
      </c>
      <c r="M5" s="37">
        <v>0</v>
      </c>
      <c r="N5" s="37">
        <v>96</v>
      </c>
      <c r="O5" s="36" t="s">
        <v>137</v>
      </c>
    </row>
    <row r="6" ht="30" customHeight="1" spans="1:15">
      <c r="A6" s="34" t="s">
        <v>140</v>
      </c>
      <c r="B6" s="34" t="s">
        <v>19</v>
      </c>
      <c r="C6" s="34" t="s">
        <v>20</v>
      </c>
      <c r="D6" s="34" t="s">
        <v>14</v>
      </c>
      <c r="E6" s="34" t="s">
        <v>15</v>
      </c>
      <c r="F6" s="34" t="s">
        <v>21</v>
      </c>
      <c r="G6" s="35">
        <v>2022</v>
      </c>
      <c r="H6" s="34" t="s">
        <v>133</v>
      </c>
      <c r="I6" s="43">
        <v>1</v>
      </c>
      <c r="J6" s="34" t="s">
        <v>134</v>
      </c>
      <c r="K6" s="34" t="s">
        <v>135</v>
      </c>
      <c r="L6" s="34" t="s">
        <v>141</v>
      </c>
      <c r="M6" s="35">
        <v>0</v>
      </c>
      <c r="N6" s="35">
        <v>75</v>
      </c>
      <c r="O6" s="34" t="s">
        <v>137</v>
      </c>
    </row>
    <row r="7" ht="30" customHeight="1" spans="1:15">
      <c r="A7" s="36" t="s">
        <v>142</v>
      </c>
      <c r="B7" s="36" t="s">
        <v>22</v>
      </c>
      <c r="C7" s="36" t="s">
        <v>23</v>
      </c>
      <c r="D7" s="36" t="s">
        <v>14</v>
      </c>
      <c r="E7" s="36" t="s">
        <v>15</v>
      </c>
      <c r="F7" s="36" t="s">
        <v>21</v>
      </c>
      <c r="G7" s="37">
        <v>2022</v>
      </c>
      <c r="H7" s="36" t="s">
        <v>133</v>
      </c>
      <c r="I7" s="44">
        <v>1</v>
      </c>
      <c r="J7" s="36" t="s">
        <v>134</v>
      </c>
      <c r="K7" s="36" t="s">
        <v>135</v>
      </c>
      <c r="L7" s="36" t="s">
        <v>143</v>
      </c>
      <c r="M7" s="37">
        <v>0</v>
      </c>
      <c r="N7" s="37">
        <v>267</v>
      </c>
      <c r="O7" s="36" t="s">
        <v>137</v>
      </c>
    </row>
    <row r="8" ht="30" customHeight="1" spans="1:15">
      <c r="A8" s="34" t="s">
        <v>144</v>
      </c>
      <c r="B8" s="34" t="s">
        <v>24</v>
      </c>
      <c r="C8" s="34" t="s">
        <v>25</v>
      </c>
      <c r="D8" s="34" t="s">
        <v>14</v>
      </c>
      <c r="E8" s="34" t="s">
        <v>15</v>
      </c>
      <c r="F8" s="34" t="s">
        <v>21</v>
      </c>
      <c r="G8" s="35">
        <v>2022</v>
      </c>
      <c r="H8" s="34" t="s">
        <v>133</v>
      </c>
      <c r="I8" s="43">
        <v>1</v>
      </c>
      <c r="J8" s="34" t="s">
        <v>134</v>
      </c>
      <c r="K8" s="34" t="s">
        <v>135</v>
      </c>
      <c r="L8" s="34" t="s">
        <v>145</v>
      </c>
      <c r="M8" s="35">
        <v>0</v>
      </c>
      <c r="N8" s="35">
        <v>72</v>
      </c>
      <c r="O8" s="34" t="s">
        <v>137</v>
      </c>
    </row>
    <row r="9" ht="30" customHeight="1" spans="1:15">
      <c r="A9" s="36" t="s">
        <v>146</v>
      </c>
      <c r="B9" s="36" t="s">
        <v>26</v>
      </c>
      <c r="C9" s="36" t="s">
        <v>27</v>
      </c>
      <c r="D9" s="36" t="s">
        <v>14</v>
      </c>
      <c r="E9" s="36" t="s">
        <v>15</v>
      </c>
      <c r="F9" s="36" t="s">
        <v>21</v>
      </c>
      <c r="G9" s="37">
        <v>2022</v>
      </c>
      <c r="H9" s="36" t="s">
        <v>133</v>
      </c>
      <c r="I9" s="44">
        <v>1</v>
      </c>
      <c r="J9" s="36" t="s">
        <v>134</v>
      </c>
      <c r="K9" s="36" t="s">
        <v>135</v>
      </c>
      <c r="L9" s="36" t="s">
        <v>147</v>
      </c>
      <c r="M9" s="37">
        <v>0</v>
      </c>
      <c r="N9" s="37">
        <v>118</v>
      </c>
      <c r="O9" s="36" t="s">
        <v>137</v>
      </c>
    </row>
    <row r="10" ht="30" customHeight="1" spans="1:15">
      <c r="A10" s="34" t="s">
        <v>148</v>
      </c>
      <c r="B10" s="34" t="s">
        <v>28</v>
      </c>
      <c r="C10" s="34" t="s">
        <v>29</v>
      </c>
      <c r="D10" s="34" t="s">
        <v>14</v>
      </c>
      <c r="E10" s="34" t="s">
        <v>15</v>
      </c>
      <c r="F10" s="34" t="s">
        <v>21</v>
      </c>
      <c r="G10" s="35">
        <v>2022</v>
      </c>
      <c r="H10" s="34" t="s">
        <v>133</v>
      </c>
      <c r="I10" s="43">
        <v>1</v>
      </c>
      <c r="J10" s="34" t="s">
        <v>134</v>
      </c>
      <c r="K10" s="34" t="s">
        <v>135</v>
      </c>
      <c r="L10" s="34" t="s">
        <v>149</v>
      </c>
      <c r="M10" s="35">
        <v>0</v>
      </c>
      <c r="N10" s="35">
        <v>94</v>
      </c>
      <c r="O10" s="34" t="s">
        <v>137</v>
      </c>
    </row>
    <row r="11" ht="30" customHeight="1" spans="1:15">
      <c r="A11" s="36" t="s">
        <v>150</v>
      </c>
      <c r="B11" s="36" t="s">
        <v>30</v>
      </c>
      <c r="C11" s="36" t="s">
        <v>31</v>
      </c>
      <c r="D11" s="36" t="s">
        <v>14</v>
      </c>
      <c r="E11" s="36" t="s">
        <v>15</v>
      </c>
      <c r="F11" s="36" t="s">
        <v>21</v>
      </c>
      <c r="G11" s="37">
        <v>2022</v>
      </c>
      <c r="H11" s="36" t="s">
        <v>151</v>
      </c>
      <c r="I11" s="44">
        <v>0.973</v>
      </c>
      <c r="J11" s="36" t="s">
        <v>134</v>
      </c>
      <c r="K11" s="36" t="s">
        <v>135</v>
      </c>
      <c r="L11" s="36" t="s">
        <v>152</v>
      </c>
      <c r="M11" s="37">
        <v>0</v>
      </c>
      <c r="N11" s="37">
        <v>107</v>
      </c>
      <c r="O11" s="36" t="s">
        <v>137</v>
      </c>
    </row>
    <row r="12" ht="30" customHeight="1" spans="1:15">
      <c r="A12" s="34" t="s">
        <v>153</v>
      </c>
      <c r="B12" s="34" t="s">
        <v>32</v>
      </c>
      <c r="C12" s="34" t="s">
        <v>33</v>
      </c>
      <c r="D12" s="34" t="s">
        <v>14</v>
      </c>
      <c r="E12" s="34" t="s">
        <v>15</v>
      </c>
      <c r="F12" s="34" t="s">
        <v>21</v>
      </c>
      <c r="G12" s="35">
        <v>2022</v>
      </c>
      <c r="H12" s="34" t="s">
        <v>133</v>
      </c>
      <c r="I12" s="43">
        <v>1</v>
      </c>
      <c r="J12" s="34" t="s">
        <v>134</v>
      </c>
      <c r="K12" s="34" t="s">
        <v>135</v>
      </c>
      <c r="L12" s="34" t="s">
        <v>154</v>
      </c>
      <c r="M12" s="35">
        <v>0</v>
      </c>
      <c r="N12" s="35">
        <v>22</v>
      </c>
      <c r="O12" s="34" t="s">
        <v>137</v>
      </c>
    </row>
    <row r="13" ht="30" customHeight="1" spans="1:15">
      <c r="A13" s="36" t="s">
        <v>155</v>
      </c>
      <c r="B13" s="36" t="s">
        <v>34</v>
      </c>
      <c r="C13" s="36" t="s">
        <v>35</v>
      </c>
      <c r="D13" s="36" t="s">
        <v>14</v>
      </c>
      <c r="E13" s="36" t="s">
        <v>15</v>
      </c>
      <c r="F13" s="36" t="s">
        <v>21</v>
      </c>
      <c r="G13" s="37">
        <v>2022</v>
      </c>
      <c r="H13" s="36" t="s">
        <v>133</v>
      </c>
      <c r="I13" s="44">
        <v>1</v>
      </c>
      <c r="J13" s="36" t="s">
        <v>134</v>
      </c>
      <c r="K13" s="36" t="s">
        <v>135</v>
      </c>
      <c r="L13" s="36" t="s">
        <v>156</v>
      </c>
      <c r="M13" s="37">
        <v>0</v>
      </c>
      <c r="N13" s="37">
        <v>135</v>
      </c>
      <c r="O13" s="36" t="s">
        <v>137</v>
      </c>
    </row>
    <row r="14" ht="30" customHeight="1" spans="1:15">
      <c r="A14" s="34" t="s">
        <v>157</v>
      </c>
      <c r="B14" s="34" t="s">
        <v>36</v>
      </c>
      <c r="C14" s="34" t="s">
        <v>37</v>
      </c>
      <c r="D14" s="34" t="s">
        <v>14</v>
      </c>
      <c r="E14" s="34" t="s">
        <v>15</v>
      </c>
      <c r="F14" s="34" t="s">
        <v>21</v>
      </c>
      <c r="G14" s="35">
        <v>2022</v>
      </c>
      <c r="H14" s="34" t="s">
        <v>133</v>
      </c>
      <c r="I14" s="43">
        <v>1</v>
      </c>
      <c r="J14" s="34" t="s">
        <v>134</v>
      </c>
      <c r="K14" s="34" t="s">
        <v>135</v>
      </c>
      <c r="L14" s="34" t="s">
        <v>158</v>
      </c>
      <c r="M14" s="35">
        <v>0</v>
      </c>
      <c r="N14" s="35">
        <v>125</v>
      </c>
      <c r="O14" s="34" t="s">
        <v>137</v>
      </c>
    </row>
    <row r="15" ht="30" customHeight="1" spans="1:15">
      <c r="A15" s="36" t="s">
        <v>159</v>
      </c>
      <c r="B15" s="36" t="s">
        <v>38</v>
      </c>
      <c r="C15" s="36" t="s">
        <v>39</v>
      </c>
      <c r="D15" s="36" t="s">
        <v>14</v>
      </c>
      <c r="E15" s="36" t="s">
        <v>15</v>
      </c>
      <c r="F15" s="36" t="s">
        <v>21</v>
      </c>
      <c r="G15" s="37">
        <v>2022</v>
      </c>
      <c r="H15" s="36" t="s">
        <v>133</v>
      </c>
      <c r="I15" s="44">
        <v>1</v>
      </c>
      <c r="J15" s="36" t="s">
        <v>134</v>
      </c>
      <c r="K15" s="36" t="s">
        <v>135</v>
      </c>
      <c r="L15" s="36" t="s">
        <v>160</v>
      </c>
      <c r="M15" s="37">
        <v>0</v>
      </c>
      <c r="N15" s="37">
        <v>98</v>
      </c>
      <c r="O15" s="36" t="s">
        <v>137</v>
      </c>
    </row>
    <row r="16" ht="30" customHeight="1" spans="1:15">
      <c r="A16" s="34" t="s">
        <v>161</v>
      </c>
      <c r="B16" s="34" t="s">
        <v>40</v>
      </c>
      <c r="C16" s="34" t="s">
        <v>41</v>
      </c>
      <c r="D16" s="34" t="s">
        <v>14</v>
      </c>
      <c r="E16" s="34" t="s">
        <v>15</v>
      </c>
      <c r="F16" s="34" t="s">
        <v>21</v>
      </c>
      <c r="G16" s="35">
        <v>2022</v>
      </c>
      <c r="H16" s="34" t="s">
        <v>133</v>
      </c>
      <c r="I16" s="43">
        <v>1</v>
      </c>
      <c r="J16" s="34" t="s">
        <v>134</v>
      </c>
      <c r="K16" s="34" t="s">
        <v>135</v>
      </c>
      <c r="L16" s="34" t="s">
        <v>162</v>
      </c>
      <c r="M16" s="35">
        <v>0</v>
      </c>
      <c r="N16" s="35">
        <v>151</v>
      </c>
      <c r="O16" s="34" t="s">
        <v>137</v>
      </c>
    </row>
    <row r="17" ht="30" customHeight="1" spans="1:15">
      <c r="A17" s="36" t="s">
        <v>163</v>
      </c>
      <c r="B17" s="36" t="s">
        <v>42</v>
      </c>
      <c r="C17" s="36" t="s">
        <v>43</v>
      </c>
      <c r="D17" s="36" t="s">
        <v>14</v>
      </c>
      <c r="E17" s="36" t="s">
        <v>15</v>
      </c>
      <c r="F17" s="36" t="s">
        <v>21</v>
      </c>
      <c r="G17" s="37">
        <v>2022</v>
      </c>
      <c r="H17" s="36" t="s">
        <v>133</v>
      </c>
      <c r="I17" s="44">
        <v>1</v>
      </c>
      <c r="J17" s="36" t="s">
        <v>134</v>
      </c>
      <c r="K17" s="36" t="s">
        <v>135</v>
      </c>
      <c r="L17" s="36" t="s">
        <v>164</v>
      </c>
      <c r="M17" s="37">
        <v>0</v>
      </c>
      <c r="N17" s="37">
        <v>90</v>
      </c>
      <c r="O17" s="36" t="s">
        <v>137</v>
      </c>
    </row>
    <row r="18" ht="30" customHeight="1" spans="1:15">
      <c r="A18" s="34" t="s">
        <v>165</v>
      </c>
      <c r="B18" s="34" t="s">
        <v>44</v>
      </c>
      <c r="C18" s="34" t="s">
        <v>45</v>
      </c>
      <c r="D18" s="34" t="s">
        <v>14</v>
      </c>
      <c r="E18" s="34" t="s">
        <v>15</v>
      </c>
      <c r="F18" s="34" t="s">
        <v>21</v>
      </c>
      <c r="G18" s="35">
        <v>2022</v>
      </c>
      <c r="H18" s="34" t="s">
        <v>133</v>
      </c>
      <c r="I18" s="43">
        <v>1</v>
      </c>
      <c r="J18" s="34" t="s">
        <v>134</v>
      </c>
      <c r="K18" s="34" t="s">
        <v>135</v>
      </c>
      <c r="L18" s="34" t="s">
        <v>166</v>
      </c>
      <c r="M18" s="35">
        <v>0</v>
      </c>
      <c r="N18" s="35">
        <v>114</v>
      </c>
      <c r="O18" s="34" t="s">
        <v>137</v>
      </c>
    </row>
    <row r="19" ht="30" customHeight="1" spans="1:15">
      <c r="A19" s="36" t="s">
        <v>167</v>
      </c>
      <c r="B19" s="36" t="s">
        <v>46</v>
      </c>
      <c r="C19" s="36" t="s">
        <v>47</v>
      </c>
      <c r="D19" s="36" t="s">
        <v>14</v>
      </c>
      <c r="E19" s="36" t="s">
        <v>15</v>
      </c>
      <c r="F19" s="36" t="s">
        <v>21</v>
      </c>
      <c r="G19" s="37">
        <v>2022</v>
      </c>
      <c r="H19" s="36" t="s">
        <v>133</v>
      </c>
      <c r="I19" s="44">
        <v>1</v>
      </c>
      <c r="J19" s="36" t="s">
        <v>134</v>
      </c>
      <c r="K19" s="36" t="s">
        <v>135</v>
      </c>
      <c r="L19" s="36" t="s">
        <v>168</v>
      </c>
      <c r="M19" s="37">
        <v>0</v>
      </c>
      <c r="N19" s="37">
        <v>112</v>
      </c>
      <c r="O19" s="36" t="s">
        <v>137</v>
      </c>
    </row>
    <row r="20" ht="30" customHeight="1" spans="1:15">
      <c r="A20" s="34" t="s">
        <v>169</v>
      </c>
      <c r="B20" s="34" t="s">
        <v>48</v>
      </c>
      <c r="C20" s="34" t="s">
        <v>49</v>
      </c>
      <c r="D20" s="34" t="s">
        <v>14</v>
      </c>
      <c r="E20" s="34" t="s">
        <v>15</v>
      </c>
      <c r="F20" s="34" t="s">
        <v>21</v>
      </c>
      <c r="G20" s="35">
        <v>2022</v>
      </c>
      <c r="H20" s="34" t="s">
        <v>133</v>
      </c>
      <c r="I20" s="43">
        <v>1</v>
      </c>
      <c r="J20" s="34" t="s">
        <v>134</v>
      </c>
      <c r="K20" s="34" t="s">
        <v>135</v>
      </c>
      <c r="L20" s="34" t="s">
        <v>170</v>
      </c>
      <c r="M20" s="35">
        <v>0</v>
      </c>
      <c r="N20" s="35">
        <v>109</v>
      </c>
      <c r="O20" s="34" t="s">
        <v>137</v>
      </c>
    </row>
    <row r="21" ht="30" customHeight="1" spans="1:15">
      <c r="A21" s="36" t="s">
        <v>171</v>
      </c>
      <c r="B21" s="36" t="s">
        <v>50</v>
      </c>
      <c r="C21" s="36" t="s">
        <v>51</v>
      </c>
      <c r="D21" s="36" t="s">
        <v>14</v>
      </c>
      <c r="E21" s="36" t="s">
        <v>15</v>
      </c>
      <c r="F21" s="36" t="s">
        <v>21</v>
      </c>
      <c r="G21" s="37">
        <v>2022</v>
      </c>
      <c r="H21" s="36" t="s">
        <v>133</v>
      </c>
      <c r="I21" s="44">
        <v>1</v>
      </c>
      <c r="J21" s="36" t="s">
        <v>134</v>
      </c>
      <c r="K21" s="36" t="s">
        <v>135</v>
      </c>
      <c r="L21" s="36" t="s">
        <v>172</v>
      </c>
      <c r="M21" s="37">
        <v>0</v>
      </c>
      <c r="N21" s="37">
        <v>56</v>
      </c>
      <c r="O21" s="36" t="s">
        <v>137</v>
      </c>
    </row>
    <row r="22" ht="30" customHeight="1" spans="1:15">
      <c r="A22" s="34" t="s">
        <v>173</v>
      </c>
      <c r="B22" s="34" t="s">
        <v>52</v>
      </c>
      <c r="C22" s="34" t="s">
        <v>53</v>
      </c>
      <c r="D22" s="34" t="s">
        <v>14</v>
      </c>
      <c r="E22" s="34" t="s">
        <v>15</v>
      </c>
      <c r="F22" s="34" t="s">
        <v>21</v>
      </c>
      <c r="G22" s="35">
        <v>2022</v>
      </c>
      <c r="H22" s="34" t="s">
        <v>133</v>
      </c>
      <c r="I22" s="43">
        <v>1</v>
      </c>
      <c r="J22" s="34" t="s">
        <v>134</v>
      </c>
      <c r="K22" s="34" t="s">
        <v>135</v>
      </c>
      <c r="L22" s="34" t="s">
        <v>174</v>
      </c>
      <c r="M22" s="35">
        <v>0</v>
      </c>
      <c r="N22" s="35">
        <v>141</v>
      </c>
      <c r="O22" s="34" t="s">
        <v>137</v>
      </c>
    </row>
    <row r="23" ht="30" customHeight="1" spans="1:15">
      <c r="A23" s="36" t="s">
        <v>175</v>
      </c>
      <c r="B23" s="36" t="s">
        <v>54</v>
      </c>
      <c r="C23" s="36" t="s">
        <v>55</v>
      </c>
      <c r="D23" s="36" t="s">
        <v>14</v>
      </c>
      <c r="E23" s="36" t="s">
        <v>15</v>
      </c>
      <c r="F23" s="36" t="s">
        <v>21</v>
      </c>
      <c r="G23" s="37">
        <v>2022</v>
      </c>
      <c r="H23" s="36" t="s">
        <v>133</v>
      </c>
      <c r="I23" s="44">
        <v>1</v>
      </c>
      <c r="J23" s="36" t="s">
        <v>134</v>
      </c>
      <c r="K23" s="36" t="s">
        <v>135</v>
      </c>
      <c r="L23" s="36" t="s">
        <v>176</v>
      </c>
      <c r="M23" s="37">
        <v>0</v>
      </c>
      <c r="N23" s="37">
        <v>104</v>
      </c>
      <c r="O23" s="36" t="s">
        <v>137</v>
      </c>
    </row>
    <row r="24" ht="30" customHeight="1" spans="1:15">
      <c r="A24" s="34" t="s">
        <v>177</v>
      </c>
      <c r="B24" s="34" t="s">
        <v>56</v>
      </c>
      <c r="C24" s="34" t="s">
        <v>57</v>
      </c>
      <c r="D24" s="34" t="s">
        <v>14</v>
      </c>
      <c r="E24" s="34" t="s">
        <v>15</v>
      </c>
      <c r="F24" s="34" t="s">
        <v>21</v>
      </c>
      <c r="G24" s="35">
        <v>2022</v>
      </c>
      <c r="H24" s="34" t="s">
        <v>133</v>
      </c>
      <c r="I24" s="43">
        <v>1</v>
      </c>
      <c r="J24" s="34" t="s">
        <v>134</v>
      </c>
      <c r="K24" s="34" t="s">
        <v>135</v>
      </c>
      <c r="L24" s="34" t="s">
        <v>178</v>
      </c>
      <c r="M24" s="35">
        <v>0</v>
      </c>
      <c r="N24" s="35">
        <v>93</v>
      </c>
      <c r="O24" s="34" t="s">
        <v>137</v>
      </c>
    </row>
    <row r="25" ht="30" customHeight="1" spans="1:15">
      <c r="A25" s="36" t="s">
        <v>179</v>
      </c>
      <c r="B25" s="36" t="s">
        <v>58</v>
      </c>
      <c r="C25" s="36" t="s">
        <v>59</v>
      </c>
      <c r="D25" s="36" t="s">
        <v>14</v>
      </c>
      <c r="E25" s="36" t="s">
        <v>15</v>
      </c>
      <c r="F25" s="36" t="s">
        <v>21</v>
      </c>
      <c r="G25" s="37">
        <v>2022</v>
      </c>
      <c r="H25" s="36" t="s">
        <v>133</v>
      </c>
      <c r="I25" s="44">
        <v>1</v>
      </c>
      <c r="J25" s="36" t="s">
        <v>134</v>
      </c>
      <c r="K25" s="36" t="s">
        <v>135</v>
      </c>
      <c r="L25" s="36" t="s">
        <v>180</v>
      </c>
      <c r="M25" s="37">
        <v>0</v>
      </c>
      <c r="N25" s="37">
        <v>164</v>
      </c>
      <c r="O25" s="36" t="s">
        <v>137</v>
      </c>
    </row>
    <row r="26" ht="30" customHeight="1" spans="1:15">
      <c r="A26" s="34" t="s">
        <v>181</v>
      </c>
      <c r="B26" s="34" t="s">
        <v>60</v>
      </c>
      <c r="C26" s="34" t="s">
        <v>61</v>
      </c>
      <c r="D26" s="34" t="s">
        <v>14</v>
      </c>
      <c r="E26" s="34" t="s">
        <v>15</v>
      </c>
      <c r="F26" s="34" t="s">
        <v>21</v>
      </c>
      <c r="G26" s="35">
        <v>2022</v>
      </c>
      <c r="H26" s="34" t="s">
        <v>133</v>
      </c>
      <c r="I26" s="43">
        <v>1</v>
      </c>
      <c r="J26" s="34" t="s">
        <v>134</v>
      </c>
      <c r="K26" s="34" t="s">
        <v>135</v>
      </c>
      <c r="L26" s="34" t="s">
        <v>182</v>
      </c>
      <c r="M26" s="35">
        <v>0</v>
      </c>
      <c r="N26" s="35">
        <v>103</v>
      </c>
      <c r="O26" s="34" t="s">
        <v>137</v>
      </c>
    </row>
    <row r="27" ht="30" customHeight="1" spans="1:15">
      <c r="A27" s="36" t="s">
        <v>183</v>
      </c>
      <c r="B27" s="36" t="s">
        <v>62</v>
      </c>
      <c r="C27" s="36" t="s">
        <v>63</v>
      </c>
      <c r="D27" s="36" t="s">
        <v>14</v>
      </c>
      <c r="E27" s="36" t="s">
        <v>15</v>
      </c>
      <c r="F27" s="36" t="s">
        <v>21</v>
      </c>
      <c r="G27" s="37">
        <v>2022</v>
      </c>
      <c r="H27" s="36" t="s">
        <v>133</v>
      </c>
      <c r="I27" s="44">
        <v>1</v>
      </c>
      <c r="J27" s="36" t="s">
        <v>134</v>
      </c>
      <c r="K27" s="36" t="s">
        <v>135</v>
      </c>
      <c r="L27" s="36" t="s">
        <v>184</v>
      </c>
      <c r="M27" s="37">
        <v>0</v>
      </c>
      <c r="N27" s="37">
        <v>135</v>
      </c>
      <c r="O27" s="36" t="s">
        <v>137</v>
      </c>
    </row>
    <row r="28" ht="30" customHeight="1" spans="1:15">
      <c r="A28" s="34" t="s">
        <v>185</v>
      </c>
      <c r="B28" s="34" t="s">
        <v>64</v>
      </c>
      <c r="C28" s="34" t="s">
        <v>65</v>
      </c>
      <c r="D28" s="34" t="s">
        <v>14</v>
      </c>
      <c r="E28" s="34" t="s">
        <v>15</v>
      </c>
      <c r="F28" s="34" t="s">
        <v>21</v>
      </c>
      <c r="G28" s="35">
        <v>2022</v>
      </c>
      <c r="H28" s="34" t="s">
        <v>133</v>
      </c>
      <c r="I28" s="43">
        <v>1</v>
      </c>
      <c r="J28" s="34" t="s">
        <v>134</v>
      </c>
      <c r="K28" s="34" t="s">
        <v>135</v>
      </c>
      <c r="L28" s="34" t="s">
        <v>186</v>
      </c>
      <c r="M28" s="35">
        <v>0</v>
      </c>
      <c r="N28" s="35">
        <v>102</v>
      </c>
      <c r="O28" s="34" t="s">
        <v>137</v>
      </c>
    </row>
    <row r="29" ht="30" customHeight="1" spans="1:15">
      <c r="A29" s="36" t="s">
        <v>187</v>
      </c>
      <c r="B29" s="36" t="s">
        <v>66</v>
      </c>
      <c r="C29" s="36" t="s">
        <v>67</v>
      </c>
      <c r="D29" s="36" t="s">
        <v>14</v>
      </c>
      <c r="E29" s="36" t="s">
        <v>15</v>
      </c>
      <c r="F29" s="36" t="s">
        <v>21</v>
      </c>
      <c r="G29" s="37">
        <v>2022</v>
      </c>
      <c r="H29" s="36" t="s">
        <v>133</v>
      </c>
      <c r="I29" s="44">
        <v>1</v>
      </c>
      <c r="J29" s="36" t="s">
        <v>134</v>
      </c>
      <c r="K29" s="36" t="s">
        <v>135</v>
      </c>
      <c r="L29" s="36" t="s">
        <v>188</v>
      </c>
      <c r="M29" s="37">
        <v>0</v>
      </c>
      <c r="N29" s="37">
        <v>144</v>
      </c>
      <c r="O29" s="36" t="s">
        <v>137</v>
      </c>
    </row>
    <row r="30" ht="30" customHeight="1" spans="1:15">
      <c r="A30" s="34" t="s">
        <v>189</v>
      </c>
      <c r="B30" s="34" t="s">
        <v>68</v>
      </c>
      <c r="C30" s="34" t="s">
        <v>69</v>
      </c>
      <c r="D30" s="34" t="s">
        <v>14</v>
      </c>
      <c r="E30" s="34" t="s">
        <v>15</v>
      </c>
      <c r="F30" s="34" t="s">
        <v>21</v>
      </c>
      <c r="G30" s="35">
        <v>2022</v>
      </c>
      <c r="H30" s="34" t="s">
        <v>133</v>
      </c>
      <c r="I30" s="43">
        <v>1</v>
      </c>
      <c r="J30" s="34" t="s">
        <v>134</v>
      </c>
      <c r="K30" s="34" t="s">
        <v>135</v>
      </c>
      <c r="L30" s="34" t="s">
        <v>190</v>
      </c>
      <c r="M30" s="35">
        <v>0</v>
      </c>
      <c r="N30" s="35">
        <v>119</v>
      </c>
      <c r="O30" s="34" t="s">
        <v>137</v>
      </c>
    </row>
    <row r="31" ht="30" customHeight="1" spans="1:15">
      <c r="A31" s="36" t="s">
        <v>191</v>
      </c>
      <c r="B31" s="36" t="s">
        <v>70</v>
      </c>
      <c r="C31" s="36" t="s">
        <v>71</v>
      </c>
      <c r="D31" s="36" t="s">
        <v>14</v>
      </c>
      <c r="E31" s="36" t="s">
        <v>15</v>
      </c>
      <c r="F31" s="36" t="s">
        <v>16</v>
      </c>
      <c r="G31" s="37">
        <v>2022</v>
      </c>
      <c r="H31" s="36" t="s">
        <v>192</v>
      </c>
      <c r="I31" s="44">
        <v>0.9459</v>
      </c>
      <c r="J31" s="36" t="s">
        <v>134</v>
      </c>
      <c r="K31" s="36" t="s">
        <v>135</v>
      </c>
      <c r="L31" s="36" t="s">
        <v>193</v>
      </c>
      <c r="M31" s="37">
        <v>0</v>
      </c>
      <c r="N31" s="37">
        <v>50</v>
      </c>
      <c r="O31" s="36" t="s">
        <v>137</v>
      </c>
    </row>
    <row r="32" ht="30" customHeight="1" spans="1:15">
      <c r="A32" s="34" t="s">
        <v>194</v>
      </c>
      <c r="B32" s="34" t="s">
        <v>72</v>
      </c>
      <c r="C32" s="34" t="s">
        <v>73</v>
      </c>
      <c r="D32" s="34" t="s">
        <v>14</v>
      </c>
      <c r="E32" s="34" t="s">
        <v>15</v>
      </c>
      <c r="F32" s="34" t="s">
        <v>16</v>
      </c>
      <c r="G32" s="35">
        <v>2022</v>
      </c>
      <c r="H32" s="34" t="s">
        <v>133</v>
      </c>
      <c r="I32" s="43">
        <v>1</v>
      </c>
      <c r="J32" s="34" t="s">
        <v>134</v>
      </c>
      <c r="K32" s="34" t="s">
        <v>135</v>
      </c>
      <c r="L32" s="34" t="s">
        <v>195</v>
      </c>
      <c r="M32" s="35">
        <v>0</v>
      </c>
      <c r="N32" s="35">
        <v>146</v>
      </c>
      <c r="O32" s="34" t="s">
        <v>137</v>
      </c>
    </row>
    <row r="33" ht="30" customHeight="1" spans="1:15">
      <c r="A33" s="36" t="s">
        <v>196</v>
      </c>
      <c r="B33" s="36" t="s">
        <v>74</v>
      </c>
      <c r="C33" s="36" t="s">
        <v>75</v>
      </c>
      <c r="D33" s="36" t="s">
        <v>14</v>
      </c>
      <c r="E33" s="36" t="s">
        <v>15</v>
      </c>
      <c r="F33" s="36" t="s">
        <v>16</v>
      </c>
      <c r="G33" s="37">
        <v>2022</v>
      </c>
      <c r="H33" s="36" t="s">
        <v>133</v>
      </c>
      <c r="I33" s="44">
        <v>1</v>
      </c>
      <c r="J33" s="36" t="s">
        <v>134</v>
      </c>
      <c r="K33" s="36" t="s">
        <v>135</v>
      </c>
      <c r="L33" s="36" t="s">
        <v>197</v>
      </c>
      <c r="M33" s="37">
        <v>0</v>
      </c>
      <c r="N33" s="37">
        <v>102</v>
      </c>
      <c r="O33" s="36" t="s">
        <v>137</v>
      </c>
    </row>
    <row r="34" ht="30" customHeight="1" spans="1:15">
      <c r="A34" s="34" t="s">
        <v>198</v>
      </c>
      <c r="B34" s="34" t="s">
        <v>76</v>
      </c>
      <c r="C34" s="34" t="s">
        <v>77</v>
      </c>
      <c r="D34" s="34" t="s">
        <v>14</v>
      </c>
      <c r="E34" s="34" t="s">
        <v>15</v>
      </c>
      <c r="F34" s="34" t="s">
        <v>16</v>
      </c>
      <c r="G34" s="35">
        <v>2022</v>
      </c>
      <c r="H34" s="34" t="s">
        <v>133</v>
      </c>
      <c r="I34" s="43">
        <v>1</v>
      </c>
      <c r="J34" s="34" t="s">
        <v>134</v>
      </c>
      <c r="K34" s="34" t="s">
        <v>135</v>
      </c>
      <c r="L34" s="34" t="s">
        <v>199</v>
      </c>
      <c r="M34" s="35">
        <v>0</v>
      </c>
      <c r="N34" s="35">
        <v>158</v>
      </c>
      <c r="O34" s="34" t="s">
        <v>137</v>
      </c>
    </row>
    <row r="35" ht="30" customHeight="1" spans="1:15">
      <c r="A35" s="36" t="s">
        <v>200</v>
      </c>
      <c r="B35" s="36" t="s">
        <v>78</v>
      </c>
      <c r="C35" s="36" t="s">
        <v>79</v>
      </c>
      <c r="D35" s="36" t="s">
        <v>14</v>
      </c>
      <c r="E35" s="36" t="s">
        <v>15</v>
      </c>
      <c r="F35" s="36" t="s">
        <v>16</v>
      </c>
      <c r="G35" s="37">
        <v>2022</v>
      </c>
      <c r="H35" s="36" t="s">
        <v>133</v>
      </c>
      <c r="I35" s="44">
        <v>1</v>
      </c>
      <c r="J35" s="36" t="s">
        <v>134</v>
      </c>
      <c r="K35" s="36" t="s">
        <v>135</v>
      </c>
      <c r="L35" s="36" t="s">
        <v>180</v>
      </c>
      <c r="M35" s="37">
        <v>0</v>
      </c>
      <c r="N35" s="37">
        <v>132</v>
      </c>
      <c r="O35" s="36" t="s">
        <v>137</v>
      </c>
    </row>
    <row r="36" ht="30" customHeight="1" spans="1:15">
      <c r="A36" s="34" t="s">
        <v>201</v>
      </c>
      <c r="B36" s="34" t="s">
        <v>80</v>
      </c>
      <c r="C36" s="34" t="s">
        <v>81</v>
      </c>
      <c r="D36" s="34" t="s">
        <v>14</v>
      </c>
      <c r="E36" s="34" t="s">
        <v>15</v>
      </c>
      <c r="F36" s="34" t="s">
        <v>16</v>
      </c>
      <c r="G36" s="35">
        <v>2022</v>
      </c>
      <c r="H36" s="34" t="s">
        <v>133</v>
      </c>
      <c r="I36" s="43">
        <v>1</v>
      </c>
      <c r="J36" s="34" t="s">
        <v>134</v>
      </c>
      <c r="K36" s="34" t="s">
        <v>135</v>
      </c>
      <c r="L36" s="34" t="s">
        <v>202</v>
      </c>
      <c r="M36" s="35">
        <v>0</v>
      </c>
      <c r="N36" s="35">
        <v>161</v>
      </c>
      <c r="O36" s="34" t="s">
        <v>137</v>
      </c>
    </row>
    <row r="37" ht="30" customHeight="1" spans="1:15">
      <c r="A37" s="36" t="s">
        <v>203</v>
      </c>
      <c r="B37" s="36" t="s">
        <v>82</v>
      </c>
      <c r="C37" s="36" t="s">
        <v>83</v>
      </c>
      <c r="D37" s="36" t="s">
        <v>14</v>
      </c>
      <c r="E37" s="36" t="s">
        <v>15</v>
      </c>
      <c r="F37" s="36" t="s">
        <v>16</v>
      </c>
      <c r="G37" s="37">
        <v>2022</v>
      </c>
      <c r="H37" s="36" t="s">
        <v>133</v>
      </c>
      <c r="I37" s="44">
        <v>1</v>
      </c>
      <c r="J37" s="36" t="s">
        <v>134</v>
      </c>
      <c r="K37" s="36" t="s">
        <v>135</v>
      </c>
      <c r="L37" s="36" t="s">
        <v>204</v>
      </c>
      <c r="M37" s="37">
        <v>0</v>
      </c>
      <c r="N37" s="37">
        <v>92</v>
      </c>
      <c r="O37" s="36" t="s">
        <v>137</v>
      </c>
    </row>
    <row r="38" ht="30" customHeight="1" spans="1:15">
      <c r="A38" s="34" t="s">
        <v>205</v>
      </c>
      <c r="B38" s="34" t="s">
        <v>84</v>
      </c>
      <c r="C38" s="34" t="s">
        <v>85</v>
      </c>
      <c r="D38" s="34" t="s">
        <v>14</v>
      </c>
      <c r="E38" s="34" t="s">
        <v>15</v>
      </c>
      <c r="F38" s="34" t="s">
        <v>16</v>
      </c>
      <c r="G38" s="35">
        <v>2022</v>
      </c>
      <c r="H38" s="34" t="s">
        <v>133</v>
      </c>
      <c r="I38" s="43">
        <v>1</v>
      </c>
      <c r="J38" s="34" t="s">
        <v>134</v>
      </c>
      <c r="K38" s="34" t="s">
        <v>135</v>
      </c>
      <c r="L38" s="34" t="s">
        <v>206</v>
      </c>
      <c r="M38" s="35">
        <v>0</v>
      </c>
      <c r="N38" s="35">
        <v>97</v>
      </c>
      <c r="O38" s="34" t="s">
        <v>137</v>
      </c>
    </row>
    <row r="39" ht="30" customHeight="1" spans="1:15">
      <c r="A39" s="36" t="s">
        <v>207</v>
      </c>
      <c r="B39" s="36" t="s">
        <v>86</v>
      </c>
      <c r="C39" s="36" t="s">
        <v>87</v>
      </c>
      <c r="D39" s="36" t="s">
        <v>14</v>
      </c>
      <c r="E39" s="36" t="s">
        <v>15</v>
      </c>
      <c r="F39" s="36" t="s">
        <v>16</v>
      </c>
      <c r="G39" s="37">
        <v>2022</v>
      </c>
      <c r="H39" s="36" t="s">
        <v>133</v>
      </c>
      <c r="I39" s="44">
        <v>1</v>
      </c>
      <c r="J39" s="36" t="s">
        <v>134</v>
      </c>
      <c r="K39" s="36" t="s">
        <v>135</v>
      </c>
      <c r="L39" s="36" t="s">
        <v>208</v>
      </c>
      <c r="M39" s="37">
        <v>0</v>
      </c>
      <c r="N39" s="37">
        <v>119</v>
      </c>
      <c r="O39" s="36" t="s">
        <v>137</v>
      </c>
    </row>
    <row r="40" ht="30" customHeight="1" spans="1:15">
      <c r="A40" s="34" t="s">
        <v>209</v>
      </c>
      <c r="B40" s="34" t="s">
        <v>88</v>
      </c>
      <c r="C40" s="34" t="s">
        <v>89</v>
      </c>
      <c r="D40" s="34" t="s">
        <v>14</v>
      </c>
      <c r="E40" s="34" t="s">
        <v>15</v>
      </c>
      <c r="F40" s="34" t="s">
        <v>16</v>
      </c>
      <c r="G40" s="35">
        <v>2022</v>
      </c>
      <c r="H40" s="34" t="s">
        <v>151</v>
      </c>
      <c r="I40" s="43">
        <v>0.973</v>
      </c>
      <c r="J40" s="34" t="s">
        <v>134</v>
      </c>
      <c r="K40" s="34" t="s">
        <v>135</v>
      </c>
      <c r="L40" s="34" t="s">
        <v>210</v>
      </c>
      <c r="M40" s="35">
        <v>0</v>
      </c>
      <c r="N40" s="35">
        <v>106</v>
      </c>
      <c r="O40" s="34" t="s">
        <v>137</v>
      </c>
    </row>
    <row r="41" ht="30" customHeight="1" spans="1:15">
      <c r="A41" s="36" t="s">
        <v>211</v>
      </c>
      <c r="B41" s="36" t="s">
        <v>90</v>
      </c>
      <c r="C41" s="36" t="s">
        <v>91</v>
      </c>
      <c r="D41" s="36" t="s">
        <v>14</v>
      </c>
      <c r="E41" s="36" t="s">
        <v>15</v>
      </c>
      <c r="F41" s="36" t="s">
        <v>16</v>
      </c>
      <c r="G41" s="37">
        <v>2022</v>
      </c>
      <c r="H41" s="36" t="s">
        <v>133</v>
      </c>
      <c r="I41" s="44">
        <v>1</v>
      </c>
      <c r="J41" s="36" t="s">
        <v>134</v>
      </c>
      <c r="K41" s="36" t="s">
        <v>135</v>
      </c>
      <c r="L41" s="36" t="s">
        <v>212</v>
      </c>
      <c r="M41" s="37">
        <v>0</v>
      </c>
      <c r="N41" s="37">
        <v>109</v>
      </c>
      <c r="O41" s="36" t="s">
        <v>137</v>
      </c>
    </row>
    <row r="42" ht="30" customHeight="1" spans="1:15">
      <c r="A42" s="34" t="s">
        <v>213</v>
      </c>
      <c r="B42" s="34" t="s">
        <v>92</v>
      </c>
      <c r="C42" s="34" t="s">
        <v>93</v>
      </c>
      <c r="D42" s="34" t="s">
        <v>14</v>
      </c>
      <c r="E42" s="34" t="s">
        <v>15</v>
      </c>
      <c r="F42" s="34" t="s">
        <v>16</v>
      </c>
      <c r="G42" s="35">
        <v>2022</v>
      </c>
      <c r="H42" s="34" t="s">
        <v>133</v>
      </c>
      <c r="I42" s="43">
        <v>1</v>
      </c>
      <c r="J42" s="34" t="s">
        <v>134</v>
      </c>
      <c r="K42" s="34" t="s">
        <v>135</v>
      </c>
      <c r="L42" s="34" t="s">
        <v>214</v>
      </c>
      <c r="M42" s="35">
        <v>0</v>
      </c>
      <c r="N42" s="35">
        <v>206</v>
      </c>
      <c r="O42" s="34" t="s">
        <v>137</v>
      </c>
    </row>
    <row r="43" ht="30" customHeight="1" spans="1:15">
      <c r="A43" s="36" t="s">
        <v>215</v>
      </c>
      <c r="B43" s="36" t="s">
        <v>94</v>
      </c>
      <c r="C43" s="36" t="s">
        <v>95</v>
      </c>
      <c r="D43" s="36" t="s">
        <v>14</v>
      </c>
      <c r="E43" s="36" t="s">
        <v>15</v>
      </c>
      <c r="F43" s="36" t="s">
        <v>16</v>
      </c>
      <c r="G43" s="37">
        <v>2022</v>
      </c>
      <c r="H43" s="36" t="s">
        <v>133</v>
      </c>
      <c r="I43" s="44">
        <v>1</v>
      </c>
      <c r="J43" s="36" t="s">
        <v>134</v>
      </c>
      <c r="K43" s="36" t="s">
        <v>135</v>
      </c>
      <c r="L43" s="36" t="s">
        <v>216</v>
      </c>
      <c r="M43" s="37">
        <v>0</v>
      </c>
      <c r="N43" s="37">
        <v>115</v>
      </c>
      <c r="O43" s="36" t="s">
        <v>137</v>
      </c>
    </row>
    <row r="44" ht="30" customHeight="1" spans="1:15">
      <c r="A44" s="34" t="s">
        <v>217</v>
      </c>
      <c r="B44" s="34" t="s">
        <v>96</v>
      </c>
      <c r="C44" s="34" t="s">
        <v>97</v>
      </c>
      <c r="D44" s="34" t="s">
        <v>14</v>
      </c>
      <c r="E44" s="34" t="s">
        <v>15</v>
      </c>
      <c r="F44" s="34" t="s">
        <v>16</v>
      </c>
      <c r="G44" s="35">
        <v>2022</v>
      </c>
      <c r="H44" s="34" t="s">
        <v>133</v>
      </c>
      <c r="I44" s="43">
        <v>1</v>
      </c>
      <c r="J44" s="34" t="s">
        <v>134</v>
      </c>
      <c r="K44" s="34" t="s">
        <v>135</v>
      </c>
      <c r="L44" s="34" t="s">
        <v>218</v>
      </c>
      <c r="M44" s="35">
        <v>0</v>
      </c>
      <c r="N44" s="35">
        <v>57</v>
      </c>
      <c r="O44" s="34" t="s">
        <v>137</v>
      </c>
    </row>
    <row r="45" ht="30" customHeight="1" spans="1:15">
      <c r="A45" s="36" t="s">
        <v>219</v>
      </c>
      <c r="B45" s="36" t="s">
        <v>98</v>
      </c>
      <c r="C45" s="36" t="s">
        <v>99</v>
      </c>
      <c r="D45" s="36" t="s">
        <v>14</v>
      </c>
      <c r="E45" s="36" t="s">
        <v>15</v>
      </c>
      <c r="F45" s="36" t="s">
        <v>16</v>
      </c>
      <c r="G45" s="37">
        <v>2022</v>
      </c>
      <c r="H45" s="36" t="s">
        <v>133</v>
      </c>
      <c r="I45" s="44">
        <v>1</v>
      </c>
      <c r="J45" s="36" t="s">
        <v>134</v>
      </c>
      <c r="K45" s="36" t="s">
        <v>135</v>
      </c>
      <c r="L45" s="36" t="s">
        <v>220</v>
      </c>
      <c r="M45" s="37">
        <v>0</v>
      </c>
      <c r="N45" s="37">
        <v>106</v>
      </c>
      <c r="O45" s="36" t="s">
        <v>137</v>
      </c>
    </row>
    <row r="46" ht="30" customHeight="1" spans="1:15">
      <c r="A46" s="34" t="s">
        <v>221</v>
      </c>
      <c r="B46" s="34" t="s">
        <v>100</v>
      </c>
      <c r="C46" s="34" t="s">
        <v>101</v>
      </c>
      <c r="D46" s="34" t="s">
        <v>14</v>
      </c>
      <c r="E46" s="34" t="s">
        <v>15</v>
      </c>
      <c r="F46" s="34" t="s">
        <v>16</v>
      </c>
      <c r="G46" s="35">
        <v>2022</v>
      </c>
      <c r="H46" s="34" t="s">
        <v>133</v>
      </c>
      <c r="I46" s="43">
        <v>1</v>
      </c>
      <c r="J46" s="34" t="s">
        <v>134</v>
      </c>
      <c r="K46" s="34" t="s">
        <v>135</v>
      </c>
      <c r="L46" s="34" t="s">
        <v>222</v>
      </c>
      <c r="M46" s="35">
        <v>0</v>
      </c>
      <c r="N46" s="35">
        <v>169</v>
      </c>
      <c r="O46" s="34" t="s">
        <v>137</v>
      </c>
    </row>
    <row r="47" ht="30" customHeight="1" spans="1:15">
      <c r="A47" s="36" t="s">
        <v>223</v>
      </c>
      <c r="B47" s="36" t="s">
        <v>102</v>
      </c>
      <c r="C47" s="36" t="s">
        <v>103</v>
      </c>
      <c r="D47" s="36" t="s">
        <v>14</v>
      </c>
      <c r="E47" s="36" t="s">
        <v>15</v>
      </c>
      <c r="F47" s="36" t="s">
        <v>16</v>
      </c>
      <c r="G47" s="37">
        <v>2022</v>
      </c>
      <c r="H47" s="36" t="s">
        <v>133</v>
      </c>
      <c r="I47" s="44">
        <v>1</v>
      </c>
      <c r="J47" s="36" t="s">
        <v>134</v>
      </c>
      <c r="K47" s="36" t="s">
        <v>135</v>
      </c>
      <c r="L47" s="36" t="s">
        <v>224</v>
      </c>
      <c r="M47" s="37">
        <v>0</v>
      </c>
      <c r="N47" s="37">
        <v>84</v>
      </c>
      <c r="O47" s="36" t="s">
        <v>137</v>
      </c>
    </row>
    <row r="48" ht="30" customHeight="1" spans="1:15">
      <c r="A48" s="34" t="s">
        <v>225</v>
      </c>
      <c r="B48" s="34" t="s">
        <v>104</v>
      </c>
      <c r="C48" s="34" t="s">
        <v>105</v>
      </c>
      <c r="D48" s="34" t="s">
        <v>14</v>
      </c>
      <c r="E48" s="34" t="s">
        <v>15</v>
      </c>
      <c r="F48" s="34" t="s">
        <v>16</v>
      </c>
      <c r="G48" s="35">
        <v>2022</v>
      </c>
      <c r="H48" s="34" t="s">
        <v>192</v>
      </c>
      <c r="I48" s="43">
        <v>0.9459</v>
      </c>
      <c r="J48" s="34" t="s">
        <v>134</v>
      </c>
      <c r="K48" s="34" t="s">
        <v>135</v>
      </c>
      <c r="L48" s="34" t="s">
        <v>226</v>
      </c>
      <c r="M48" s="35">
        <v>0</v>
      </c>
      <c r="N48" s="35">
        <v>23</v>
      </c>
      <c r="O48" s="34" t="s">
        <v>137</v>
      </c>
    </row>
    <row r="49" ht="30" customHeight="1" spans="1:15">
      <c r="A49" s="36" t="s">
        <v>227</v>
      </c>
      <c r="B49" s="36" t="s">
        <v>106</v>
      </c>
      <c r="C49" s="36" t="s">
        <v>107</v>
      </c>
      <c r="D49" s="36" t="s">
        <v>14</v>
      </c>
      <c r="E49" s="36" t="s">
        <v>15</v>
      </c>
      <c r="F49" s="36" t="s">
        <v>16</v>
      </c>
      <c r="G49" s="37">
        <v>2022</v>
      </c>
      <c r="H49" s="36" t="s">
        <v>192</v>
      </c>
      <c r="I49" s="44">
        <v>0.9459</v>
      </c>
      <c r="J49" s="36" t="s">
        <v>228</v>
      </c>
      <c r="K49" s="36" t="s">
        <v>135</v>
      </c>
      <c r="L49" s="36" t="s">
        <v>190</v>
      </c>
      <c r="M49" s="37">
        <v>0</v>
      </c>
      <c r="N49" s="37">
        <v>77</v>
      </c>
      <c r="O49" s="36" t="s">
        <v>137</v>
      </c>
    </row>
    <row r="50" ht="30" customHeight="1" spans="1:15">
      <c r="A50" s="34" t="s">
        <v>229</v>
      </c>
      <c r="B50" s="34" t="s">
        <v>108</v>
      </c>
      <c r="C50" s="34" t="s">
        <v>109</v>
      </c>
      <c r="D50" s="34" t="s">
        <v>14</v>
      </c>
      <c r="E50" s="34" t="s">
        <v>15</v>
      </c>
      <c r="F50" s="34" t="s">
        <v>16</v>
      </c>
      <c r="G50" s="35">
        <v>2022</v>
      </c>
      <c r="H50" s="34" t="s">
        <v>133</v>
      </c>
      <c r="I50" s="43">
        <v>1</v>
      </c>
      <c r="J50" s="34" t="s">
        <v>134</v>
      </c>
      <c r="K50" s="34" t="s">
        <v>135</v>
      </c>
      <c r="L50" s="34" t="s">
        <v>230</v>
      </c>
      <c r="M50" s="35">
        <v>0</v>
      </c>
      <c r="N50" s="35">
        <v>98</v>
      </c>
      <c r="O50" s="34" t="s">
        <v>137</v>
      </c>
    </row>
    <row r="51" ht="30" customHeight="1" spans="1:15">
      <c r="A51" s="36" t="s">
        <v>231</v>
      </c>
      <c r="B51" s="36" t="s">
        <v>110</v>
      </c>
      <c r="C51" s="36" t="s">
        <v>111</v>
      </c>
      <c r="D51" s="36" t="s">
        <v>14</v>
      </c>
      <c r="E51" s="36" t="s">
        <v>15</v>
      </c>
      <c r="F51" s="36" t="s">
        <v>16</v>
      </c>
      <c r="G51" s="37">
        <v>2022</v>
      </c>
      <c r="H51" s="36" t="s">
        <v>133</v>
      </c>
      <c r="I51" s="44">
        <v>1</v>
      </c>
      <c r="J51" s="36" t="s">
        <v>134</v>
      </c>
      <c r="K51" s="36" t="s">
        <v>135</v>
      </c>
      <c r="L51" s="36" t="s">
        <v>195</v>
      </c>
      <c r="M51" s="37">
        <v>0</v>
      </c>
      <c r="N51" s="37">
        <v>79</v>
      </c>
      <c r="O51" s="36" t="s">
        <v>137</v>
      </c>
    </row>
    <row r="52" ht="30" customHeight="1" spans="1:15">
      <c r="A52" s="34" t="s">
        <v>232</v>
      </c>
      <c r="B52" s="34" t="s">
        <v>112</v>
      </c>
      <c r="C52" s="34" t="s">
        <v>113</v>
      </c>
      <c r="D52" s="34" t="s">
        <v>14</v>
      </c>
      <c r="E52" s="34" t="s">
        <v>15</v>
      </c>
      <c r="F52" s="34" t="s">
        <v>16</v>
      </c>
      <c r="G52" s="35">
        <v>2022</v>
      </c>
      <c r="H52" s="34" t="s">
        <v>133</v>
      </c>
      <c r="I52" s="43">
        <v>1</v>
      </c>
      <c r="J52" s="34" t="s">
        <v>134</v>
      </c>
      <c r="K52" s="34" t="s">
        <v>135</v>
      </c>
      <c r="L52" s="34" t="s">
        <v>233</v>
      </c>
      <c r="M52" s="35">
        <v>0</v>
      </c>
      <c r="N52" s="35">
        <v>138</v>
      </c>
      <c r="O52" s="34" t="s">
        <v>137</v>
      </c>
    </row>
    <row r="53" ht="30" customHeight="1" spans="1:15">
      <c r="A53" s="36" t="s">
        <v>234</v>
      </c>
      <c r="B53" s="36" t="s">
        <v>114</v>
      </c>
      <c r="C53" s="36" t="s">
        <v>115</v>
      </c>
      <c r="D53" s="36" t="s">
        <v>14</v>
      </c>
      <c r="E53" s="36" t="s">
        <v>15</v>
      </c>
      <c r="F53" s="36" t="s">
        <v>16</v>
      </c>
      <c r="G53" s="37">
        <v>2022</v>
      </c>
      <c r="H53" s="36" t="s">
        <v>133</v>
      </c>
      <c r="I53" s="44">
        <v>1</v>
      </c>
      <c r="J53" s="36" t="s">
        <v>134</v>
      </c>
      <c r="K53" s="36" t="s">
        <v>135</v>
      </c>
      <c r="L53" s="36" t="s">
        <v>235</v>
      </c>
      <c r="M53" s="37">
        <v>0</v>
      </c>
      <c r="N53" s="37">
        <v>100</v>
      </c>
      <c r="O53" s="36" t="s">
        <v>137</v>
      </c>
    </row>
  </sheetData>
  <mergeCells count="2">
    <mergeCell ref="A1:O1"/>
    <mergeCell ref="A2:O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2" sqref="A2:U52"/>
    </sheetView>
  </sheetViews>
  <sheetFormatPr defaultColWidth="8.88888888888889" defaultRowHeight="14.4" outlineLevelCol="7"/>
  <cols>
    <col min="1" max="1" width="13" customWidth="1"/>
    <col min="2" max="2" width="19" customWidth="1"/>
    <col min="3" max="8" width="14" customWidth="1"/>
  </cols>
  <sheetData>
    <row r="1" ht="30" customHeight="1" spans="1:8">
      <c r="A1" s="31" t="s">
        <v>130</v>
      </c>
    </row>
    <row r="2" ht="30" customHeight="1" spans="1:8">
      <c r="A2" s="32" t="s">
        <v>1</v>
      </c>
    </row>
    <row r="3" ht="30" customHeight="1" spans="1:8">
      <c r="A3" s="33" t="s">
        <v>236</v>
      </c>
      <c r="B3" s="33" t="s">
        <v>237</v>
      </c>
      <c r="C3" s="33" t="s">
        <v>238</v>
      </c>
      <c r="D3" s="33" t="s">
        <v>239</v>
      </c>
      <c r="E3" s="33" t="s">
        <v>240</v>
      </c>
      <c r="F3" s="33" t="s">
        <v>241</v>
      </c>
      <c r="G3" s="33" t="s">
        <v>242</v>
      </c>
      <c r="H3" s="33" t="s">
        <v>243</v>
      </c>
    </row>
    <row r="4" ht="30" customHeight="1" spans="1:8">
      <c r="A4" s="34" t="s">
        <v>244</v>
      </c>
      <c r="B4" s="35">
        <v>375</v>
      </c>
      <c r="C4" s="35">
        <v>0</v>
      </c>
      <c r="D4" s="35">
        <v>13</v>
      </c>
      <c r="E4" s="35">
        <v>339</v>
      </c>
      <c r="F4" s="35">
        <v>3</v>
      </c>
      <c r="G4" s="35">
        <v>4</v>
      </c>
      <c r="H4" s="35">
        <v>16</v>
      </c>
    </row>
    <row r="5" ht="30" customHeight="1" spans="1:8">
      <c r="A5" s="36" t="s">
        <v>245</v>
      </c>
      <c r="B5" s="37">
        <v>49</v>
      </c>
      <c r="C5" s="37">
        <v>7</v>
      </c>
      <c r="D5" s="37">
        <v>0</v>
      </c>
      <c r="E5" s="37">
        <v>12</v>
      </c>
      <c r="F5" s="37">
        <v>28</v>
      </c>
      <c r="G5" s="37">
        <v>2</v>
      </c>
      <c r="H5" s="37">
        <v>0</v>
      </c>
    </row>
    <row r="6" ht="30" customHeight="1" spans="1:8">
      <c r="A6" s="34" t="s">
        <v>246</v>
      </c>
      <c r="B6" s="35">
        <v>10</v>
      </c>
      <c r="C6" s="35">
        <v>0</v>
      </c>
      <c r="D6" s="35">
        <v>0</v>
      </c>
      <c r="E6" s="35">
        <v>4</v>
      </c>
      <c r="F6" s="35">
        <v>2</v>
      </c>
      <c r="G6" s="35">
        <v>4</v>
      </c>
      <c r="H6" s="35">
        <v>0</v>
      </c>
    </row>
    <row r="7" ht="30" customHeight="1" spans="1:8">
      <c r="A7" s="36" t="s">
        <v>247</v>
      </c>
      <c r="B7" s="37">
        <v>47</v>
      </c>
      <c r="C7" s="37">
        <v>0</v>
      </c>
      <c r="D7" s="37">
        <v>0</v>
      </c>
      <c r="E7" s="37">
        <v>9</v>
      </c>
      <c r="F7" s="37">
        <v>5</v>
      </c>
      <c r="G7" s="37">
        <v>3</v>
      </c>
      <c r="H7" s="37">
        <v>30</v>
      </c>
    </row>
    <row r="8" ht="30" customHeight="1" spans="1:8">
      <c r="A8" s="34" t="s">
        <v>248</v>
      </c>
      <c r="B8" s="35">
        <v>94</v>
      </c>
      <c r="C8" s="35">
        <v>0</v>
      </c>
      <c r="D8" s="35">
        <v>0</v>
      </c>
      <c r="E8" s="35">
        <v>93</v>
      </c>
      <c r="F8" s="35">
        <v>0</v>
      </c>
      <c r="G8" s="35">
        <v>1</v>
      </c>
      <c r="H8" s="35">
        <v>0</v>
      </c>
    </row>
    <row r="9" ht="30" customHeight="1" spans="1:8">
      <c r="A9" s="36" t="s">
        <v>249</v>
      </c>
      <c r="B9" s="37">
        <v>30</v>
      </c>
      <c r="C9" s="37">
        <v>0</v>
      </c>
      <c r="D9" s="37">
        <v>0</v>
      </c>
      <c r="E9" s="37">
        <v>2</v>
      </c>
      <c r="F9" s="37">
        <v>0</v>
      </c>
      <c r="G9" s="37">
        <v>6</v>
      </c>
      <c r="H9" s="37">
        <v>22</v>
      </c>
    </row>
    <row r="10" ht="30" customHeight="1" spans="1:8">
      <c r="A10" s="34" t="s">
        <v>250</v>
      </c>
      <c r="B10" s="35">
        <v>395</v>
      </c>
      <c r="C10" s="35">
        <v>0</v>
      </c>
      <c r="D10" s="35">
        <v>0</v>
      </c>
      <c r="E10" s="35">
        <v>378</v>
      </c>
      <c r="F10" s="35">
        <v>10</v>
      </c>
      <c r="G10" s="35">
        <v>3</v>
      </c>
      <c r="H10" s="35">
        <v>4</v>
      </c>
    </row>
    <row r="11" ht="30" customHeight="1" spans="1:8">
      <c r="A11" s="36" t="s">
        <v>251</v>
      </c>
      <c r="B11" s="37">
        <v>192</v>
      </c>
      <c r="C11" s="37">
        <v>3</v>
      </c>
      <c r="D11" s="37">
        <v>32</v>
      </c>
      <c r="E11" s="37">
        <v>143</v>
      </c>
      <c r="F11" s="37">
        <v>3</v>
      </c>
      <c r="G11" s="37">
        <v>1</v>
      </c>
      <c r="H11" s="37">
        <v>10</v>
      </c>
    </row>
    <row r="12" ht="30" customHeight="1" spans="1:8">
      <c r="A12" s="34" t="s">
        <v>252</v>
      </c>
      <c r="B12" s="35">
        <v>66</v>
      </c>
      <c r="C12" s="35">
        <v>0</v>
      </c>
      <c r="D12" s="35">
        <v>0</v>
      </c>
      <c r="E12" s="35">
        <v>1</v>
      </c>
      <c r="F12" s="35">
        <v>1</v>
      </c>
      <c r="G12" s="35">
        <v>10</v>
      </c>
      <c r="H12" s="35">
        <v>54</v>
      </c>
    </row>
    <row r="13" ht="30" customHeight="1" spans="1:8">
      <c r="A13" s="36" t="s">
        <v>253</v>
      </c>
      <c r="B13" s="37">
        <v>196</v>
      </c>
      <c r="C13" s="37">
        <v>4</v>
      </c>
      <c r="D13" s="37">
        <v>2</v>
      </c>
      <c r="E13" s="37">
        <v>13</v>
      </c>
      <c r="F13" s="37">
        <v>43</v>
      </c>
      <c r="G13" s="37">
        <v>60</v>
      </c>
      <c r="H13" s="37">
        <v>74</v>
      </c>
    </row>
    <row r="14" ht="30" customHeight="1" spans="1:8">
      <c r="A14" s="34" t="s">
        <v>254</v>
      </c>
      <c r="B14" s="35">
        <v>144</v>
      </c>
      <c r="C14" s="35">
        <v>1</v>
      </c>
      <c r="D14" s="35">
        <v>0</v>
      </c>
      <c r="E14" s="35">
        <v>9</v>
      </c>
      <c r="F14" s="35">
        <v>63</v>
      </c>
      <c r="G14" s="35">
        <v>56</v>
      </c>
      <c r="H14" s="35">
        <v>15</v>
      </c>
    </row>
    <row r="15" ht="30" customHeight="1" spans="1:8">
      <c r="A15" s="36" t="s">
        <v>255</v>
      </c>
      <c r="B15" s="37">
        <v>67</v>
      </c>
      <c r="C15" s="37">
        <v>0</v>
      </c>
      <c r="D15" s="37">
        <v>0</v>
      </c>
      <c r="E15" s="37">
        <v>63</v>
      </c>
      <c r="F15" s="37">
        <v>1</v>
      </c>
      <c r="G15" s="37">
        <v>0</v>
      </c>
      <c r="H15" s="37">
        <v>3</v>
      </c>
    </row>
    <row r="16" ht="30" customHeight="1" spans="1:8">
      <c r="A16" s="34" t="s">
        <v>256</v>
      </c>
      <c r="B16" s="35">
        <v>6</v>
      </c>
      <c r="C16" s="35">
        <v>1</v>
      </c>
      <c r="D16" s="35">
        <v>0</v>
      </c>
      <c r="E16" s="35">
        <v>0</v>
      </c>
      <c r="F16" s="35">
        <v>4</v>
      </c>
      <c r="G16" s="35">
        <v>1</v>
      </c>
      <c r="H16" s="35">
        <v>0</v>
      </c>
    </row>
    <row r="17" ht="30" customHeight="1" spans="1:8">
      <c r="A17" s="36" t="s">
        <v>257</v>
      </c>
      <c r="B17" s="37">
        <v>13</v>
      </c>
      <c r="C17" s="37">
        <v>0</v>
      </c>
      <c r="D17" s="37">
        <v>0</v>
      </c>
      <c r="E17" s="37">
        <v>6</v>
      </c>
      <c r="F17" s="37">
        <v>0</v>
      </c>
      <c r="G17" s="37">
        <v>0</v>
      </c>
      <c r="H17" s="37">
        <v>7</v>
      </c>
    </row>
    <row r="18" ht="30" customHeight="1" spans="1:8">
      <c r="A18" s="34" t="s">
        <v>258</v>
      </c>
      <c r="B18" s="35">
        <v>223</v>
      </c>
      <c r="C18" s="35">
        <v>0</v>
      </c>
      <c r="D18" s="35">
        <v>28</v>
      </c>
      <c r="E18" s="35">
        <v>187</v>
      </c>
      <c r="F18" s="35">
        <v>2</v>
      </c>
      <c r="G18" s="35">
        <v>3</v>
      </c>
      <c r="H18" s="35">
        <v>3</v>
      </c>
    </row>
    <row r="19" ht="30" customHeight="1" spans="1:8">
      <c r="A19" s="36" t="s">
        <v>259</v>
      </c>
      <c r="B19" s="37">
        <v>32</v>
      </c>
      <c r="C19" s="37">
        <v>0</v>
      </c>
      <c r="D19" s="37">
        <v>0</v>
      </c>
      <c r="E19" s="37">
        <v>2</v>
      </c>
      <c r="F19" s="37">
        <v>7</v>
      </c>
      <c r="G19" s="37">
        <v>15</v>
      </c>
      <c r="H19" s="37">
        <v>8</v>
      </c>
    </row>
    <row r="20" ht="30" customHeight="1" spans="1:8">
      <c r="A20" s="34" t="s">
        <v>260</v>
      </c>
      <c r="B20" s="35">
        <v>111</v>
      </c>
      <c r="C20" s="35">
        <v>1</v>
      </c>
      <c r="D20" s="35">
        <v>3</v>
      </c>
      <c r="E20" s="35">
        <v>29</v>
      </c>
      <c r="F20" s="35">
        <v>6</v>
      </c>
      <c r="G20" s="35">
        <v>26</v>
      </c>
      <c r="H20" s="35">
        <v>46</v>
      </c>
    </row>
    <row r="21" ht="30" customHeight="1" spans="1:8">
      <c r="A21" s="36" t="s">
        <v>261</v>
      </c>
      <c r="B21" s="37">
        <v>11</v>
      </c>
      <c r="C21" s="37">
        <v>0</v>
      </c>
      <c r="D21" s="37">
        <v>0</v>
      </c>
      <c r="E21" s="37">
        <v>2</v>
      </c>
      <c r="F21" s="37">
        <v>0</v>
      </c>
      <c r="G21" s="37">
        <v>3</v>
      </c>
      <c r="H21" s="37">
        <v>6</v>
      </c>
    </row>
    <row r="22" ht="30" customHeight="1" spans="1:8">
      <c r="A22" s="34" t="s">
        <v>262</v>
      </c>
      <c r="B22" s="35">
        <v>73</v>
      </c>
      <c r="C22" s="35">
        <v>0</v>
      </c>
      <c r="D22" s="35">
        <v>0</v>
      </c>
      <c r="E22" s="35">
        <v>68</v>
      </c>
      <c r="F22" s="35">
        <v>3</v>
      </c>
      <c r="G22" s="35">
        <v>1</v>
      </c>
      <c r="H22" s="35">
        <v>1</v>
      </c>
    </row>
    <row r="23" ht="30" customHeight="1" spans="1:8">
      <c r="A23" s="36" t="s">
        <v>263</v>
      </c>
      <c r="B23" s="37">
        <v>38</v>
      </c>
      <c r="C23" s="37">
        <v>0</v>
      </c>
      <c r="D23" s="37">
        <v>0</v>
      </c>
      <c r="E23" s="37">
        <v>2</v>
      </c>
      <c r="F23" s="37">
        <v>15</v>
      </c>
      <c r="G23" s="37">
        <v>21</v>
      </c>
      <c r="H23" s="37">
        <v>0</v>
      </c>
    </row>
    <row r="24" ht="30" customHeight="1" spans="1:8">
      <c r="A24" s="34" t="s">
        <v>264</v>
      </c>
      <c r="B24" s="35">
        <v>96</v>
      </c>
      <c r="C24" s="35">
        <v>0</v>
      </c>
      <c r="D24" s="35">
        <v>1</v>
      </c>
      <c r="E24" s="35">
        <v>91</v>
      </c>
      <c r="F24" s="35">
        <v>0</v>
      </c>
      <c r="G24" s="35">
        <v>0</v>
      </c>
      <c r="H24" s="35">
        <v>4</v>
      </c>
    </row>
    <row r="25" ht="30" customHeight="1" spans="1:8">
      <c r="A25" s="36" t="s">
        <v>265</v>
      </c>
      <c r="B25" s="37">
        <v>108</v>
      </c>
      <c r="C25" s="37">
        <v>0</v>
      </c>
      <c r="D25" s="37">
        <v>3</v>
      </c>
      <c r="E25" s="37">
        <v>96</v>
      </c>
      <c r="F25" s="37">
        <v>0</v>
      </c>
      <c r="G25" s="37">
        <v>5</v>
      </c>
      <c r="H25" s="37">
        <v>4</v>
      </c>
    </row>
    <row r="26" ht="30" customHeight="1" spans="1:8">
      <c r="A26" s="34" t="s">
        <v>266</v>
      </c>
      <c r="B26" s="35">
        <v>35</v>
      </c>
      <c r="C26" s="35">
        <v>0</v>
      </c>
      <c r="D26" s="35">
        <v>0</v>
      </c>
      <c r="E26" s="35">
        <v>0</v>
      </c>
      <c r="F26" s="35">
        <v>20</v>
      </c>
      <c r="G26" s="35">
        <v>10</v>
      </c>
      <c r="H26" s="35">
        <v>5</v>
      </c>
    </row>
    <row r="27" ht="30" customHeight="1" spans="1:8">
      <c r="A27" s="36" t="s">
        <v>267</v>
      </c>
      <c r="B27" s="37">
        <v>201</v>
      </c>
      <c r="C27" s="37">
        <v>0</v>
      </c>
      <c r="D27" s="37">
        <v>1</v>
      </c>
      <c r="E27" s="37">
        <v>15</v>
      </c>
      <c r="F27" s="37">
        <v>25</v>
      </c>
      <c r="G27" s="37">
        <v>99</v>
      </c>
      <c r="H27" s="37">
        <v>61</v>
      </c>
    </row>
    <row r="28" ht="30" customHeight="1" spans="1:8">
      <c r="A28" s="34" t="s">
        <v>268</v>
      </c>
      <c r="B28" s="35">
        <v>301</v>
      </c>
      <c r="C28" s="35">
        <v>1</v>
      </c>
      <c r="D28" s="35">
        <v>12</v>
      </c>
      <c r="E28" s="35">
        <v>252</v>
      </c>
      <c r="F28" s="35">
        <v>32</v>
      </c>
      <c r="G28" s="35">
        <v>0</v>
      </c>
      <c r="H28" s="35">
        <v>4</v>
      </c>
    </row>
    <row r="29" ht="30" customHeight="1" spans="1:8">
      <c r="A29" s="36" t="s">
        <v>269</v>
      </c>
      <c r="B29" s="37">
        <v>49</v>
      </c>
      <c r="C29" s="37">
        <v>1</v>
      </c>
      <c r="D29" s="37">
        <v>0</v>
      </c>
      <c r="E29" s="37">
        <v>41</v>
      </c>
      <c r="F29" s="37">
        <v>2</v>
      </c>
      <c r="G29" s="37">
        <v>3</v>
      </c>
      <c r="H29" s="37">
        <v>2</v>
      </c>
    </row>
    <row r="30" ht="30" customHeight="1" spans="1:8">
      <c r="A30" s="34" t="s">
        <v>270</v>
      </c>
      <c r="B30" s="35">
        <v>3</v>
      </c>
      <c r="C30" s="35">
        <v>0</v>
      </c>
      <c r="D30" s="35">
        <v>0</v>
      </c>
      <c r="E30" s="35">
        <v>1</v>
      </c>
      <c r="F30" s="35">
        <v>1</v>
      </c>
      <c r="G30" s="35">
        <v>1</v>
      </c>
      <c r="H30" s="35">
        <v>0</v>
      </c>
    </row>
    <row r="31" ht="30" customHeight="1" spans="1:8">
      <c r="A31" s="36" t="s">
        <v>271</v>
      </c>
      <c r="B31" s="37">
        <v>5</v>
      </c>
      <c r="C31" s="37">
        <v>0</v>
      </c>
      <c r="D31" s="37">
        <v>0</v>
      </c>
      <c r="E31" s="37">
        <v>0</v>
      </c>
      <c r="F31" s="37">
        <v>3</v>
      </c>
      <c r="G31" s="37">
        <v>1</v>
      </c>
      <c r="H31" s="37">
        <v>1</v>
      </c>
    </row>
    <row r="32" ht="30" customHeight="1" spans="1:8">
      <c r="A32" s="34" t="s">
        <v>272</v>
      </c>
      <c r="B32" s="35">
        <v>3</v>
      </c>
      <c r="C32" s="35">
        <v>0</v>
      </c>
      <c r="D32" s="35">
        <v>0</v>
      </c>
      <c r="E32" s="35">
        <v>1</v>
      </c>
      <c r="F32" s="35">
        <v>0</v>
      </c>
      <c r="G32" s="35">
        <v>1</v>
      </c>
      <c r="H32" s="35">
        <v>1</v>
      </c>
    </row>
    <row r="33" ht="30" customHeight="1" spans="1:8">
      <c r="A33" s="36" t="s">
        <v>273</v>
      </c>
      <c r="B33" s="37">
        <v>21</v>
      </c>
      <c r="C33" s="37">
        <v>0</v>
      </c>
      <c r="D33" s="37">
        <v>0</v>
      </c>
      <c r="E33" s="37">
        <v>3</v>
      </c>
      <c r="F33" s="37">
        <v>7</v>
      </c>
      <c r="G33" s="37">
        <v>4</v>
      </c>
      <c r="H33" s="37">
        <v>7</v>
      </c>
    </row>
    <row r="34" ht="30" customHeight="1" spans="1:8">
      <c r="A34" s="34" t="s">
        <v>274</v>
      </c>
      <c r="B34" s="35">
        <v>63</v>
      </c>
      <c r="C34" s="35">
        <v>0</v>
      </c>
      <c r="D34" s="35">
        <v>0</v>
      </c>
      <c r="E34" s="35">
        <v>2</v>
      </c>
      <c r="F34" s="35">
        <v>24</v>
      </c>
      <c r="G34" s="35">
        <v>15</v>
      </c>
      <c r="H34" s="35">
        <v>22</v>
      </c>
    </row>
    <row r="35" ht="30" customHeight="1" spans="1:8">
      <c r="A35" s="36" t="s">
        <v>275</v>
      </c>
      <c r="B35" s="37">
        <v>14</v>
      </c>
      <c r="C35" s="37">
        <v>0</v>
      </c>
      <c r="D35" s="37">
        <v>0</v>
      </c>
      <c r="E35" s="37">
        <v>2</v>
      </c>
      <c r="F35" s="37">
        <v>11</v>
      </c>
      <c r="G35" s="37">
        <v>0</v>
      </c>
      <c r="H35" s="37">
        <v>1</v>
      </c>
    </row>
    <row r="36" ht="30" customHeight="1" spans="1:8">
      <c r="A36" s="34" t="s">
        <v>276</v>
      </c>
      <c r="B36" s="35">
        <v>3</v>
      </c>
      <c r="C36" s="35">
        <v>0</v>
      </c>
      <c r="D36" s="35">
        <v>0</v>
      </c>
      <c r="E36" s="35">
        <v>1</v>
      </c>
      <c r="F36" s="35">
        <v>1</v>
      </c>
      <c r="G36" s="35">
        <v>0</v>
      </c>
      <c r="H36" s="35">
        <v>1</v>
      </c>
    </row>
    <row r="37" ht="30" customHeight="1" spans="1:8">
      <c r="A37" s="36" t="s">
        <v>277</v>
      </c>
      <c r="B37" s="37">
        <v>17</v>
      </c>
      <c r="C37" s="37">
        <v>0</v>
      </c>
      <c r="D37" s="37">
        <v>0</v>
      </c>
      <c r="E37" s="37">
        <v>1</v>
      </c>
      <c r="F37" s="37">
        <v>4</v>
      </c>
      <c r="G37" s="37">
        <v>2</v>
      </c>
      <c r="H37" s="37">
        <v>10</v>
      </c>
    </row>
    <row r="38" ht="30" customHeight="1" spans="1:8">
      <c r="A38" s="34" t="s">
        <v>278</v>
      </c>
      <c r="B38" s="35">
        <v>66</v>
      </c>
      <c r="C38" s="35">
        <v>0</v>
      </c>
      <c r="D38" s="35">
        <v>0</v>
      </c>
      <c r="E38" s="35">
        <v>9</v>
      </c>
      <c r="F38" s="35">
        <v>43</v>
      </c>
      <c r="G38" s="35">
        <v>13</v>
      </c>
      <c r="H38" s="35">
        <v>1</v>
      </c>
    </row>
    <row r="39" ht="30" customHeight="1" spans="1:8">
      <c r="A39" s="36" t="s">
        <v>279</v>
      </c>
      <c r="B39" s="37">
        <v>170</v>
      </c>
      <c r="C39" s="37">
        <v>0</v>
      </c>
      <c r="D39" s="37">
        <v>24</v>
      </c>
      <c r="E39" s="37">
        <v>143</v>
      </c>
      <c r="F39" s="37">
        <v>0</v>
      </c>
      <c r="G39" s="37">
        <v>1</v>
      </c>
      <c r="H39" s="37">
        <v>2</v>
      </c>
    </row>
    <row r="40" ht="30" customHeight="1" spans="1:8">
      <c r="A40" s="34" t="s">
        <v>280</v>
      </c>
      <c r="B40" s="35">
        <v>8</v>
      </c>
      <c r="C40" s="35">
        <v>0</v>
      </c>
      <c r="D40" s="35">
        <v>0</v>
      </c>
      <c r="E40" s="35">
        <v>1</v>
      </c>
      <c r="F40" s="35">
        <v>4</v>
      </c>
      <c r="G40" s="35">
        <v>0</v>
      </c>
      <c r="H40" s="35">
        <v>3</v>
      </c>
    </row>
    <row r="41" ht="30" customHeight="1" spans="1:8">
      <c r="A41" s="36" t="s">
        <v>281</v>
      </c>
      <c r="B41" s="37">
        <v>21</v>
      </c>
      <c r="C41" s="37">
        <v>0</v>
      </c>
      <c r="D41" s="37">
        <v>0</v>
      </c>
      <c r="E41" s="37">
        <v>2</v>
      </c>
      <c r="F41" s="37">
        <v>9</v>
      </c>
      <c r="G41" s="37">
        <v>3</v>
      </c>
      <c r="H41" s="37">
        <v>7</v>
      </c>
    </row>
    <row r="42" ht="30" customHeight="1" spans="1:8">
      <c r="A42" s="34" t="s">
        <v>282</v>
      </c>
      <c r="B42" s="35">
        <v>3</v>
      </c>
      <c r="C42" s="35">
        <v>1</v>
      </c>
      <c r="D42" s="35">
        <v>0</v>
      </c>
      <c r="E42" s="35">
        <v>0</v>
      </c>
      <c r="F42" s="35">
        <v>2</v>
      </c>
      <c r="G42" s="35">
        <v>0</v>
      </c>
      <c r="H42" s="35">
        <v>0</v>
      </c>
    </row>
    <row r="43" ht="30" customHeight="1" spans="1:8">
      <c r="A43" s="36" t="s">
        <v>283</v>
      </c>
      <c r="B43" s="37">
        <v>59</v>
      </c>
      <c r="C43" s="37">
        <v>0</v>
      </c>
      <c r="D43" s="37">
        <v>0</v>
      </c>
      <c r="E43" s="37">
        <v>55</v>
      </c>
      <c r="F43" s="37">
        <v>1</v>
      </c>
      <c r="G43" s="37">
        <v>0</v>
      </c>
      <c r="H43" s="37">
        <v>3</v>
      </c>
    </row>
    <row r="44" ht="30" customHeight="1" spans="1:8">
      <c r="A44" s="34" t="s">
        <v>284</v>
      </c>
      <c r="B44" s="35">
        <v>4</v>
      </c>
      <c r="C44" s="35">
        <v>0</v>
      </c>
      <c r="D44" s="35">
        <v>0</v>
      </c>
      <c r="E44" s="35">
        <v>0</v>
      </c>
      <c r="F44" s="35">
        <v>0</v>
      </c>
      <c r="G44" s="35">
        <v>4</v>
      </c>
      <c r="H44" s="35">
        <v>0</v>
      </c>
    </row>
    <row r="45" ht="30" customHeight="1" spans="1:8">
      <c r="A45" s="36" t="s">
        <v>285</v>
      </c>
      <c r="B45" s="37">
        <v>6</v>
      </c>
      <c r="C45" s="37">
        <v>0</v>
      </c>
      <c r="D45" s="37">
        <v>0</v>
      </c>
      <c r="E45" s="37">
        <v>1</v>
      </c>
      <c r="F45" s="37">
        <v>1</v>
      </c>
      <c r="G45" s="37">
        <v>3</v>
      </c>
      <c r="H45" s="37">
        <v>1</v>
      </c>
    </row>
    <row r="46" ht="30" customHeight="1" spans="1:8">
      <c r="A46" s="34" t="s">
        <v>286</v>
      </c>
      <c r="B46" s="35">
        <v>95</v>
      </c>
      <c r="C46" s="35">
        <v>0</v>
      </c>
      <c r="D46" s="35">
        <v>8</v>
      </c>
      <c r="E46" s="35">
        <v>82</v>
      </c>
      <c r="F46" s="35">
        <v>0</v>
      </c>
      <c r="G46" s="35">
        <v>5</v>
      </c>
      <c r="H46" s="35">
        <v>0</v>
      </c>
    </row>
    <row r="47" ht="30" customHeight="1" spans="1:8">
      <c r="A47" s="36" t="s">
        <v>287</v>
      </c>
      <c r="B47" s="37">
        <v>15</v>
      </c>
      <c r="C47" s="37">
        <v>0</v>
      </c>
      <c r="D47" s="37">
        <v>0</v>
      </c>
      <c r="E47" s="37">
        <v>0</v>
      </c>
      <c r="F47" s="37">
        <v>1</v>
      </c>
      <c r="G47" s="37">
        <v>4</v>
      </c>
      <c r="H47" s="37">
        <v>10</v>
      </c>
    </row>
    <row r="48" ht="30" customHeight="1" spans="1:8">
      <c r="A48" s="34" t="s">
        <v>288</v>
      </c>
      <c r="B48" s="35">
        <v>61</v>
      </c>
      <c r="C48" s="35">
        <v>1</v>
      </c>
      <c r="D48" s="35">
        <v>0</v>
      </c>
      <c r="E48" s="35">
        <v>8</v>
      </c>
      <c r="F48" s="35">
        <v>20</v>
      </c>
      <c r="G48" s="35">
        <v>15</v>
      </c>
      <c r="H48" s="35">
        <v>17</v>
      </c>
    </row>
    <row r="49" ht="30" customHeight="1" spans="1:8">
      <c r="A49" s="36" t="s">
        <v>289</v>
      </c>
      <c r="B49" s="37">
        <v>7</v>
      </c>
      <c r="C49" s="37">
        <v>0</v>
      </c>
      <c r="D49" s="37">
        <v>0</v>
      </c>
      <c r="E49" s="37">
        <v>0</v>
      </c>
      <c r="F49" s="37">
        <v>0</v>
      </c>
      <c r="G49" s="37">
        <v>3</v>
      </c>
      <c r="H49" s="37">
        <v>4</v>
      </c>
    </row>
    <row r="50" ht="30" customHeight="1" spans="1:8">
      <c r="A50" s="34" t="s">
        <v>290</v>
      </c>
      <c r="B50" s="35">
        <v>25</v>
      </c>
      <c r="C50" s="35">
        <v>0</v>
      </c>
      <c r="D50" s="35">
        <v>0</v>
      </c>
      <c r="E50" s="35">
        <v>17</v>
      </c>
      <c r="F50" s="35">
        <v>5</v>
      </c>
      <c r="G50" s="35">
        <v>3</v>
      </c>
      <c r="H50" s="35">
        <v>0</v>
      </c>
    </row>
    <row r="51" ht="30" customHeight="1" spans="1:8">
      <c r="A51" s="36" t="s">
        <v>291</v>
      </c>
      <c r="B51" s="37">
        <v>17</v>
      </c>
      <c r="C51" s="37">
        <v>0</v>
      </c>
      <c r="D51" s="37">
        <v>0</v>
      </c>
      <c r="E51" s="37">
        <v>2</v>
      </c>
      <c r="F51" s="37">
        <v>6</v>
      </c>
      <c r="G51" s="37">
        <v>4</v>
      </c>
      <c r="H51" s="37">
        <v>5</v>
      </c>
    </row>
    <row r="52" ht="30" customHeight="1" spans="1:8">
      <c r="A52" s="34" t="s">
        <v>292</v>
      </c>
      <c r="B52" s="35">
        <v>106</v>
      </c>
      <c r="C52" s="35">
        <v>1</v>
      </c>
      <c r="D52" s="35">
        <v>0</v>
      </c>
      <c r="E52" s="35">
        <v>101</v>
      </c>
      <c r="F52" s="35">
        <v>1</v>
      </c>
      <c r="G52" s="35">
        <v>2</v>
      </c>
      <c r="H52" s="35">
        <v>1</v>
      </c>
    </row>
    <row r="53" ht="30" customHeight="1" spans="1:8">
      <c r="A53" s="36" t="s">
        <v>293</v>
      </c>
      <c r="B53" s="37">
        <v>107</v>
      </c>
      <c r="C53" s="37">
        <v>1</v>
      </c>
      <c r="D53" s="37">
        <v>6</v>
      </c>
      <c r="E53" s="37">
        <v>94</v>
      </c>
      <c r="F53" s="37">
        <v>1</v>
      </c>
      <c r="G53" s="37">
        <v>2</v>
      </c>
      <c r="H53" s="37">
        <v>3</v>
      </c>
    </row>
    <row r="54" ht="30" customHeight="1" spans="1:8">
      <c r="A54" s="34" t="s">
        <v>294</v>
      </c>
      <c r="B54" s="35">
        <v>13</v>
      </c>
      <c r="C54" s="35">
        <v>0</v>
      </c>
      <c r="D54" s="35">
        <v>0</v>
      </c>
      <c r="E54" s="35">
        <v>1</v>
      </c>
      <c r="F54" s="35">
        <v>0</v>
      </c>
      <c r="G54" s="35">
        <v>4</v>
      </c>
      <c r="H54" s="35">
        <v>8</v>
      </c>
    </row>
    <row r="55" ht="30" customHeight="1" spans="1:8">
      <c r="A55" s="36" t="s">
        <v>295</v>
      </c>
      <c r="B55" s="37">
        <v>58</v>
      </c>
      <c r="C55" s="37">
        <v>3</v>
      </c>
      <c r="D55" s="37">
        <v>0</v>
      </c>
      <c r="E55" s="37">
        <v>3</v>
      </c>
      <c r="F55" s="37">
        <v>19</v>
      </c>
      <c r="G55" s="37">
        <v>23</v>
      </c>
      <c r="H55" s="37">
        <v>10</v>
      </c>
    </row>
    <row r="56" ht="30" customHeight="1" spans="1:8">
      <c r="A56" s="34" t="s">
        <v>296</v>
      </c>
      <c r="B56" s="35">
        <v>1</v>
      </c>
      <c r="C56" s="35">
        <v>1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</row>
    <row r="57" ht="30" customHeight="1" spans="1:8">
      <c r="A57" s="36" t="s">
        <v>297</v>
      </c>
      <c r="B57" s="37">
        <v>30</v>
      </c>
      <c r="C57" s="37">
        <v>0</v>
      </c>
      <c r="D57" s="37">
        <v>0</v>
      </c>
      <c r="E57" s="37">
        <v>29</v>
      </c>
      <c r="F57" s="37">
        <v>0</v>
      </c>
      <c r="G57" s="37">
        <v>1</v>
      </c>
      <c r="H57" s="37">
        <v>0</v>
      </c>
    </row>
    <row r="58" ht="30" customHeight="1" spans="1:8">
      <c r="A58" s="34" t="s">
        <v>298</v>
      </c>
      <c r="B58" s="35">
        <v>3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3</v>
      </c>
    </row>
    <row r="59" ht="30" customHeight="1" spans="1:8">
      <c r="A59" s="36" t="s">
        <v>299</v>
      </c>
      <c r="B59" s="37">
        <v>26</v>
      </c>
      <c r="C59" s="37">
        <v>0</v>
      </c>
      <c r="D59" s="37">
        <v>0</v>
      </c>
      <c r="E59" s="37">
        <v>3</v>
      </c>
      <c r="F59" s="37">
        <v>16</v>
      </c>
      <c r="G59" s="37">
        <v>4</v>
      </c>
      <c r="H59" s="37">
        <v>3</v>
      </c>
    </row>
    <row r="60" ht="30" customHeight="1" spans="1:8">
      <c r="A60" s="34" t="s">
        <v>300</v>
      </c>
      <c r="B60" s="35">
        <v>28</v>
      </c>
      <c r="C60" s="35">
        <v>3</v>
      </c>
      <c r="D60" s="35">
        <v>0</v>
      </c>
      <c r="E60" s="35">
        <v>3</v>
      </c>
      <c r="F60" s="35">
        <v>8</v>
      </c>
      <c r="G60" s="35">
        <v>8</v>
      </c>
      <c r="H60" s="35">
        <v>6</v>
      </c>
    </row>
    <row r="61" ht="30" customHeight="1" spans="1:8">
      <c r="A61" s="36" t="s">
        <v>301</v>
      </c>
      <c r="B61" s="37">
        <v>33</v>
      </c>
      <c r="C61" s="37">
        <v>0</v>
      </c>
      <c r="D61" s="37">
        <v>0</v>
      </c>
      <c r="E61" s="37">
        <v>2</v>
      </c>
      <c r="F61" s="37">
        <v>6</v>
      </c>
      <c r="G61" s="37">
        <v>9</v>
      </c>
      <c r="H61" s="37">
        <v>16</v>
      </c>
    </row>
    <row r="62" ht="30" customHeight="1" spans="1:8">
      <c r="A62" s="34" t="s">
        <v>302</v>
      </c>
      <c r="B62" s="35">
        <v>90</v>
      </c>
      <c r="C62" s="35">
        <v>0</v>
      </c>
      <c r="D62" s="35">
        <v>0</v>
      </c>
      <c r="E62" s="35">
        <v>12</v>
      </c>
      <c r="F62" s="35">
        <v>18</v>
      </c>
      <c r="G62" s="35">
        <v>44</v>
      </c>
      <c r="H62" s="35">
        <v>16</v>
      </c>
    </row>
    <row r="63" ht="30" customHeight="1" spans="1:8">
      <c r="A63" s="36" t="s">
        <v>303</v>
      </c>
      <c r="B63" s="37">
        <v>11</v>
      </c>
      <c r="C63" s="37">
        <v>0</v>
      </c>
      <c r="D63" s="37">
        <v>0</v>
      </c>
      <c r="E63" s="37">
        <v>0</v>
      </c>
      <c r="F63" s="37">
        <v>1</v>
      </c>
      <c r="G63" s="37">
        <v>7</v>
      </c>
      <c r="H63" s="37">
        <v>3</v>
      </c>
    </row>
    <row r="64" ht="30" customHeight="1" spans="1:8">
      <c r="A64" s="34" t="s">
        <v>304</v>
      </c>
      <c r="B64" s="35">
        <v>35</v>
      </c>
      <c r="C64" s="35">
        <v>0</v>
      </c>
      <c r="D64" s="35">
        <v>0</v>
      </c>
      <c r="E64" s="35">
        <v>33</v>
      </c>
      <c r="F64" s="35">
        <v>1</v>
      </c>
      <c r="G64" s="35">
        <v>0</v>
      </c>
      <c r="H64" s="35">
        <v>1</v>
      </c>
    </row>
    <row r="65" ht="30" customHeight="1" spans="1:8">
      <c r="A65" s="36" t="s">
        <v>305</v>
      </c>
      <c r="B65" s="37">
        <v>9</v>
      </c>
      <c r="C65" s="37">
        <v>0</v>
      </c>
      <c r="D65" s="37">
        <v>0</v>
      </c>
      <c r="E65" s="37">
        <v>0</v>
      </c>
      <c r="F65" s="37">
        <v>0</v>
      </c>
      <c r="G65" s="37">
        <v>2</v>
      </c>
      <c r="H65" s="37">
        <v>7</v>
      </c>
    </row>
    <row r="66" ht="30" customHeight="1" spans="1:8">
      <c r="A66" s="34" t="s">
        <v>306</v>
      </c>
      <c r="B66" s="35">
        <v>25</v>
      </c>
      <c r="C66" s="35">
        <v>0</v>
      </c>
      <c r="D66" s="35">
        <v>0</v>
      </c>
      <c r="E66" s="35">
        <v>22</v>
      </c>
      <c r="F66" s="35">
        <v>2</v>
      </c>
      <c r="G66" s="35">
        <v>1</v>
      </c>
      <c r="H66" s="35">
        <v>0</v>
      </c>
    </row>
    <row r="67" ht="30" customHeight="1" spans="1:8">
      <c r="A67" s="36" t="s">
        <v>307</v>
      </c>
      <c r="B67" s="37">
        <v>8</v>
      </c>
      <c r="C67" s="37">
        <v>0</v>
      </c>
      <c r="D67" s="37">
        <v>0</v>
      </c>
      <c r="E67" s="37">
        <v>1</v>
      </c>
      <c r="F67" s="37">
        <v>4</v>
      </c>
      <c r="G67" s="37">
        <v>2</v>
      </c>
      <c r="H67" s="37">
        <v>1</v>
      </c>
    </row>
    <row r="68" ht="30" customHeight="1" spans="1:8">
      <c r="A68" s="34" t="s">
        <v>308</v>
      </c>
      <c r="B68" s="35">
        <v>63</v>
      </c>
      <c r="C68" s="35">
        <v>0</v>
      </c>
      <c r="D68" s="35">
        <v>0</v>
      </c>
      <c r="E68" s="35">
        <v>1</v>
      </c>
      <c r="F68" s="35">
        <v>11</v>
      </c>
      <c r="G68" s="35">
        <v>29</v>
      </c>
      <c r="H68" s="35">
        <v>22</v>
      </c>
    </row>
    <row r="69" ht="30" customHeight="1" spans="1:8">
      <c r="A69" s="36" t="s">
        <v>309</v>
      </c>
      <c r="B69" s="37">
        <v>5</v>
      </c>
      <c r="C69" s="37">
        <v>0</v>
      </c>
      <c r="D69" s="37">
        <v>0</v>
      </c>
      <c r="E69" s="37">
        <v>1</v>
      </c>
      <c r="F69" s="37">
        <v>1</v>
      </c>
      <c r="G69" s="37">
        <v>0</v>
      </c>
      <c r="H69" s="37">
        <v>3</v>
      </c>
    </row>
    <row r="70" ht="30" customHeight="1" spans="1:8">
      <c r="A70" s="34" t="s">
        <v>310</v>
      </c>
      <c r="B70" s="35">
        <v>64</v>
      </c>
      <c r="C70" s="35">
        <v>0</v>
      </c>
      <c r="D70" s="35">
        <v>0</v>
      </c>
      <c r="E70" s="35">
        <v>6</v>
      </c>
      <c r="F70" s="35">
        <v>2</v>
      </c>
      <c r="G70" s="35">
        <v>42</v>
      </c>
      <c r="H70" s="35">
        <v>14</v>
      </c>
    </row>
    <row r="71" ht="30" customHeight="1" spans="1:8">
      <c r="A71" s="36" t="s">
        <v>311</v>
      </c>
      <c r="B71" s="37">
        <v>26</v>
      </c>
      <c r="C71" s="37">
        <v>0</v>
      </c>
      <c r="D71" s="37">
        <v>0</v>
      </c>
      <c r="E71" s="37">
        <v>1</v>
      </c>
      <c r="F71" s="37">
        <v>24</v>
      </c>
      <c r="G71" s="37">
        <v>1</v>
      </c>
      <c r="H71" s="37">
        <v>0</v>
      </c>
    </row>
    <row r="72" ht="30" customHeight="1" spans="1:8">
      <c r="A72" s="34" t="s">
        <v>312</v>
      </c>
      <c r="B72" s="35">
        <v>7</v>
      </c>
      <c r="C72" s="35">
        <v>0</v>
      </c>
      <c r="D72" s="35">
        <v>0</v>
      </c>
      <c r="E72" s="35">
        <v>1</v>
      </c>
      <c r="F72" s="35">
        <v>3</v>
      </c>
      <c r="G72" s="35">
        <v>1</v>
      </c>
      <c r="H72" s="35">
        <v>2</v>
      </c>
    </row>
    <row r="73" ht="30" customHeight="1" spans="1:8">
      <c r="A73" s="36" t="s">
        <v>313</v>
      </c>
      <c r="B73" s="37">
        <v>9</v>
      </c>
      <c r="C73" s="37">
        <v>0</v>
      </c>
      <c r="D73" s="37">
        <v>0</v>
      </c>
      <c r="E73" s="37">
        <v>6</v>
      </c>
      <c r="F73" s="37">
        <v>0</v>
      </c>
      <c r="G73" s="37">
        <v>3</v>
      </c>
      <c r="H73" s="37">
        <v>0</v>
      </c>
    </row>
    <row r="74" ht="30" customHeight="1" spans="1:8">
      <c r="A74" s="34" t="s">
        <v>314</v>
      </c>
      <c r="B74" s="35">
        <v>6</v>
      </c>
      <c r="C74" s="35">
        <v>0</v>
      </c>
      <c r="D74" s="35">
        <v>0</v>
      </c>
      <c r="E74" s="35">
        <v>0</v>
      </c>
      <c r="F74" s="35">
        <v>2</v>
      </c>
      <c r="G74" s="35">
        <v>2</v>
      </c>
      <c r="H74" s="35">
        <v>2</v>
      </c>
    </row>
    <row r="75" ht="30" customHeight="1" spans="1:8">
      <c r="A75" s="36" t="s">
        <v>315</v>
      </c>
      <c r="B75" s="37">
        <v>71</v>
      </c>
      <c r="C75" s="37">
        <v>0</v>
      </c>
      <c r="D75" s="37">
        <v>0</v>
      </c>
      <c r="E75" s="37">
        <v>5</v>
      </c>
      <c r="F75" s="37">
        <v>11</v>
      </c>
      <c r="G75" s="37">
        <v>17</v>
      </c>
      <c r="H75" s="37">
        <v>38</v>
      </c>
    </row>
    <row r="76" ht="30" customHeight="1" spans="1:8">
      <c r="A76" s="34" t="s">
        <v>316</v>
      </c>
      <c r="B76" s="35">
        <v>5</v>
      </c>
      <c r="C76" s="35">
        <v>0</v>
      </c>
      <c r="D76" s="35">
        <v>0</v>
      </c>
      <c r="E76" s="35">
        <v>0</v>
      </c>
      <c r="F76" s="35">
        <v>2</v>
      </c>
      <c r="G76" s="35">
        <v>2</v>
      </c>
      <c r="H76" s="35">
        <v>1</v>
      </c>
    </row>
    <row r="77" ht="30" customHeight="1" spans="1:8">
      <c r="A77" s="36" t="s">
        <v>317</v>
      </c>
      <c r="B77" s="37">
        <v>19</v>
      </c>
      <c r="C77" s="37">
        <v>0</v>
      </c>
      <c r="D77" s="37">
        <v>0</v>
      </c>
      <c r="E77" s="37">
        <v>13</v>
      </c>
      <c r="F77" s="37">
        <v>0</v>
      </c>
      <c r="G77" s="37">
        <v>6</v>
      </c>
      <c r="H77" s="37">
        <v>0</v>
      </c>
    </row>
    <row r="78" ht="30" customHeight="1" spans="1:8">
      <c r="A78" s="34" t="s">
        <v>318</v>
      </c>
      <c r="B78" s="35">
        <v>8</v>
      </c>
      <c r="C78" s="35">
        <v>0</v>
      </c>
      <c r="D78" s="35">
        <v>0</v>
      </c>
      <c r="E78" s="35">
        <v>0</v>
      </c>
      <c r="F78" s="35">
        <v>4</v>
      </c>
      <c r="G78" s="35">
        <v>3</v>
      </c>
      <c r="H78" s="35">
        <v>1</v>
      </c>
    </row>
    <row r="79" ht="30" customHeight="1" spans="1:8">
      <c r="A79" s="36" t="s">
        <v>319</v>
      </c>
      <c r="B79" s="37">
        <v>65</v>
      </c>
      <c r="C79" s="37">
        <v>0</v>
      </c>
      <c r="D79" s="37">
        <v>0</v>
      </c>
      <c r="E79" s="37">
        <v>0</v>
      </c>
      <c r="F79" s="37">
        <v>13</v>
      </c>
      <c r="G79" s="37">
        <v>18</v>
      </c>
      <c r="H79" s="37">
        <v>34</v>
      </c>
    </row>
    <row r="80" ht="30" customHeight="1" spans="1:8">
      <c r="A80" s="34" t="s">
        <v>320</v>
      </c>
      <c r="B80" s="35">
        <v>29</v>
      </c>
      <c r="C80" s="35">
        <v>1</v>
      </c>
      <c r="D80" s="35">
        <v>0</v>
      </c>
      <c r="E80" s="35">
        <v>3</v>
      </c>
      <c r="F80" s="35">
        <v>22</v>
      </c>
      <c r="G80" s="35">
        <v>2</v>
      </c>
      <c r="H80" s="35">
        <v>1</v>
      </c>
    </row>
    <row r="81" ht="30" customHeight="1" spans="1:8">
      <c r="A81" s="36" t="s">
        <v>321</v>
      </c>
      <c r="B81" s="37">
        <v>31</v>
      </c>
      <c r="C81" s="37">
        <v>0</v>
      </c>
      <c r="D81" s="37">
        <v>0</v>
      </c>
      <c r="E81" s="37">
        <v>0</v>
      </c>
      <c r="F81" s="37">
        <v>14</v>
      </c>
      <c r="G81" s="37">
        <v>5</v>
      </c>
      <c r="H81" s="37">
        <v>12</v>
      </c>
    </row>
    <row r="82" ht="30" customHeight="1" spans="1:8">
      <c r="A82" s="34" t="s">
        <v>322</v>
      </c>
      <c r="B82" s="35">
        <v>14</v>
      </c>
      <c r="C82" s="35">
        <v>3</v>
      </c>
      <c r="D82" s="35">
        <v>0</v>
      </c>
      <c r="E82" s="35">
        <v>0</v>
      </c>
      <c r="F82" s="35">
        <v>4</v>
      </c>
      <c r="G82" s="35">
        <v>0</v>
      </c>
      <c r="H82" s="35">
        <v>7</v>
      </c>
    </row>
    <row r="83" ht="30" customHeight="1" spans="1:8">
      <c r="A83" s="36" t="s">
        <v>323</v>
      </c>
      <c r="B83" s="37">
        <v>51</v>
      </c>
      <c r="C83" s="37">
        <v>4</v>
      </c>
      <c r="D83" s="37">
        <v>0</v>
      </c>
      <c r="E83" s="37">
        <v>9</v>
      </c>
      <c r="F83" s="37">
        <v>16</v>
      </c>
      <c r="G83" s="37">
        <v>11</v>
      </c>
      <c r="H83" s="37">
        <v>11</v>
      </c>
    </row>
    <row r="84" ht="30" customHeight="1" spans="1:8">
      <c r="A84" s="34" t="s">
        <v>324</v>
      </c>
      <c r="B84" s="35">
        <v>139</v>
      </c>
      <c r="C84" s="35">
        <v>3</v>
      </c>
      <c r="D84" s="35">
        <v>0</v>
      </c>
      <c r="E84" s="35">
        <v>12</v>
      </c>
      <c r="F84" s="35">
        <v>11</v>
      </c>
      <c r="G84" s="35">
        <v>37</v>
      </c>
      <c r="H84" s="35">
        <v>76</v>
      </c>
    </row>
    <row r="85" ht="30" customHeight="1" spans="1:8">
      <c r="A85" s="36" t="s">
        <v>325</v>
      </c>
      <c r="B85" s="37">
        <v>21</v>
      </c>
      <c r="C85" s="37">
        <v>1</v>
      </c>
      <c r="D85" s="37">
        <v>0</v>
      </c>
      <c r="E85" s="37">
        <v>7</v>
      </c>
      <c r="F85" s="37">
        <v>6</v>
      </c>
      <c r="G85" s="37">
        <v>1</v>
      </c>
      <c r="H85" s="37">
        <v>6</v>
      </c>
    </row>
    <row r="86" ht="30" customHeight="1" spans="1:8">
      <c r="A86" s="34" t="s">
        <v>326</v>
      </c>
      <c r="B86" s="35">
        <v>24</v>
      </c>
      <c r="C86" s="35">
        <v>0</v>
      </c>
      <c r="D86" s="35">
        <v>0</v>
      </c>
      <c r="E86" s="35">
        <v>5</v>
      </c>
      <c r="F86" s="35">
        <v>5</v>
      </c>
      <c r="G86" s="35">
        <v>6</v>
      </c>
      <c r="H86" s="35">
        <v>8</v>
      </c>
    </row>
    <row r="87" ht="30" customHeight="1" spans="1:8">
      <c r="A87" s="36" t="s">
        <v>327</v>
      </c>
      <c r="B87" s="37">
        <v>72</v>
      </c>
      <c r="C87" s="37">
        <v>1</v>
      </c>
      <c r="D87" s="37">
        <v>0</v>
      </c>
      <c r="E87" s="37">
        <v>16</v>
      </c>
      <c r="F87" s="37">
        <v>9</v>
      </c>
      <c r="G87" s="37">
        <v>14</v>
      </c>
      <c r="H87" s="37">
        <v>32</v>
      </c>
    </row>
    <row r="88" ht="30" customHeight="1" spans="1:8">
      <c r="A88" s="34" t="s">
        <v>328</v>
      </c>
      <c r="B88" s="35">
        <v>23</v>
      </c>
      <c r="C88" s="35">
        <v>0</v>
      </c>
      <c r="D88" s="35">
        <v>0</v>
      </c>
      <c r="E88" s="35">
        <v>1</v>
      </c>
      <c r="F88" s="35">
        <v>8</v>
      </c>
      <c r="G88" s="35">
        <v>8</v>
      </c>
      <c r="H88" s="35">
        <v>6</v>
      </c>
    </row>
    <row r="89" ht="30" customHeight="1" spans="1:8">
      <c r="A89" s="36" t="s">
        <v>329</v>
      </c>
      <c r="B89" s="37">
        <v>56</v>
      </c>
      <c r="C89" s="37">
        <v>0</v>
      </c>
      <c r="D89" s="37">
        <v>0</v>
      </c>
      <c r="E89" s="37">
        <v>9</v>
      </c>
      <c r="F89" s="37">
        <v>8</v>
      </c>
      <c r="G89" s="37">
        <v>25</v>
      </c>
      <c r="H89" s="37">
        <v>14</v>
      </c>
    </row>
    <row r="90" ht="30" customHeight="1" spans="1:8">
      <c r="A90" s="34" t="s">
        <v>330</v>
      </c>
      <c r="B90" s="35">
        <v>40</v>
      </c>
      <c r="C90" s="35">
        <v>0</v>
      </c>
      <c r="D90" s="35">
        <v>0</v>
      </c>
      <c r="E90" s="35">
        <v>4</v>
      </c>
      <c r="F90" s="35">
        <v>3</v>
      </c>
      <c r="G90" s="35">
        <v>14</v>
      </c>
      <c r="H90" s="35">
        <v>19</v>
      </c>
    </row>
    <row r="91" ht="30" customHeight="1" spans="1:8">
      <c r="A91" s="36" t="s">
        <v>331</v>
      </c>
      <c r="B91" s="37">
        <v>4</v>
      </c>
      <c r="C91" s="37">
        <v>0</v>
      </c>
      <c r="D91" s="37">
        <v>0</v>
      </c>
      <c r="E91" s="37">
        <v>0</v>
      </c>
      <c r="F91" s="37">
        <v>1</v>
      </c>
      <c r="G91" s="37">
        <v>1</v>
      </c>
      <c r="H91" s="37">
        <v>2</v>
      </c>
    </row>
    <row r="92" ht="30" customHeight="1" spans="1:8">
      <c r="A92" s="34" t="s">
        <v>332</v>
      </c>
      <c r="B92" s="35">
        <v>5</v>
      </c>
      <c r="C92" s="35">
        <v>0</v>
      </c>
      <c r="D92" s="35">
        <v>0</v>
      </c>
      <c r="E92" s="35">
        <v>2</v>
      </c>
      <c r="F92" s="35">
        <v>0</v>
      </c>
      <c r="G92" s="35">
        <v>1</v>
      </c>
      <c r="H92" s="35">
        <v>2</v>
      </c>
    </row>
    <row r="93" ht="30" customHeight="1" spans="1:8">
      <c r="A93" s="36" t="s">
        <v>333</v>
      </c>
      <c r="B93" s="37">
        <v>17</v>
      </c>
      <c r="C93" s="37">
        <v>0</v>
      </c>
      <c r="D93" s="37">
        <v>0</v>
      </c>
      <c r="E93" s="37">
        <v>6</v>
      </c>
      <c r="F93" s="37">
        <v>0</v>
      </c>
      <c r="G93" s="37">
        <v>3</v>
      </c>
      <c r="H93" s="37">
        <v>8</v>
      </c>
    </row>
    <row r="94" ht="30" customHeight="1" spans="1:8">
      <c r="A94" s="34" t="s">
        <v>334</v>
      </c>
      <c r="B94" s="35">
        <v>5</v>
      </c>
      <c r="C94" s="35">
        <v>0</v>
      </c>
      <c r="D94" s="35">
        <v>1</v>
      </c>
      <c r="E94" s="35">
        <v>0</v>
      </c>
      <c r="F94" s="35">
        <v>3</v>
      </c>
      <c r="G94" s="35">
        <v>0</v>
      </c>
      <c r="H94" s="35">
        <v>1</v>
      </c>
    </row>
    <row r="95" ht="30" customHeight="1" spans="1:8">
      <c r="A95" s="36" t="s">
        <v>335</v>
      </c>
      <c r="B95" s="37">
        <v>3</v>
      </c>
      <c r="C95" s="37">
        <v>0</v>
      </c>
      <c r="D95" s="37">
        <v>0</v>
      </c>
      <c r="E95" s="37">
        <v>0</v>
      </c>
      <c r="F95" s="37">
        <v>1</v>
      </c>
      <c r="G95" s="37">
        <v>0</v>
      </c>
      <c r="H95" s="37">
        <v>2</v>
      </c>
    </row>
    <row r="96" ht="30" customHeight="1" spans="1:8">
      <c r="A96" s="34" t="s">
        <v>336</v>
      </c>
      <c r="B96" s="35">
        <v>6</v>
      </c>
      <c r="C96" s="35">
        <v>0</v>
      </c>
      <c r="D96" s="35">
        <v>0</v>
      </c>
      <c r="E96" s="35">
        <v>0</v>
      </c>
      <c r="F96" s="35">
        <v>3</v>
      </c>
      <c r="G96" s="35">
        <v>2</v>
      </c>
      <c r="H96" s="35">
        <v>1</v>
      </c>
    </row>
    <row r="97" ht="30" customHeight="1" spans="1:8">
      <c r="A97" s="36" t="s">
        <v>337</v>
      </c>
      <c r="B97" s="37">
        <v>24</v>
      </c>
      <c r="C97" s="37">
        <v>0</v>
      </c>
      <c r="D97" s="37">
        <v>0</v>
      </c>
      <c r="E97" s="37">
        <v>0</v>
      </c>
      <c r="F97" s="37">
        <v>8</v>
      </c>
      <c r="G97" s="37">
        <v>9</v>
      </c>
      <c r="H97" s="37">
        <v>7</v>
      </c>
    </row>
    <row r="98" ht="30" customHeight="1" spans="1:8">
      <c r="A98" s="34" t="s">
        <v>338</v>
      </c>
      <c r="B98" s="35">
        <v>83</v>
      </c>
      <c r="C98" s="35">
        <v>0</v>
      </c>
      <c r="D98" s="35">
        <v>0</v>
      </c>
      <c r="E98" s="35">
        <v>4</v>
      </c>
      <c r="F98" s="35">
        <v>13</v>
      </c>
      <c r="G98" s="35">
        <v>26</v>
      </c>
      <c r="H98" s="35">
        <v>40</v>
      </c>
    </row>
    <row r="99" ht="30" customHeight="1" spans="1:8">
      <c r="A99" s="36" t="s">
        <v>339</v>
      </c>
      <c r="B99" s="37">
        <v>15</v>
      </c>
      <c r="C99" s="37">
        <v>1</v>
      </c>
      <c r="D99" s="37">
        <v>0</v>
      </c>
      <c r="E99" s="37">
        <v>2</v>
      </c>
      <c r="F99" s="37">
        <v>7</v>
      </c>
      <c r="G99" s="37">
        <v>2</v>
      </c>
      <c r="H99" s="37">
        <v>3</v>
      </c>
    </row>
    <row r="100" ht="30" customHeight="1" spans="1:8">
      <c r="A100" s="34" t="s">
        <v>340</v>
      </c>
      <c r="B100" s="35">
        <v>3</v>
      </c>
      <c r="C100" s="35">
        <v>0</v>
      </c>
      <c r="D100" s="35">
        <v>0</v>
      </c>
      <c r="E100" s="35">
        <v>0</v>
      </c>
      <c r="F100" s="35">
        <v>0</v>
      </c>
      <c r="G100" s="35">
        <v>1</v>
      </c>
      <c r="H100" s="35">
        <v>2</v>
      </c>
    </row>
    <row r="101" ht="30" customHeight="1" spans="1:8">
      <c r="A101" s="36" t="s">
        <v>341</v>
      </c>
      <c r="B101" s="37">
        <v>19</v>
      </c>
      <c r="C101" s="37">
        <v>0</v>
      </c>
      <c r="D101" s="37">
        <v>0</v>
      </c>
      <c r="E101" s="37">
        <v>0</v>
      </c>
      <c r="F101" s="37">
        <v>9</v>
      </c>
      <c r="G101" s="37">
        <v>3</v>
      </c>
      <c r="H101" s="37">
        <v>7</v>
      </c>
    </row>
    <row r="102" ht="30" customHeight="1" spans="1:8">
      <c r="A102" s="34" t="s">
        <v>342</v>
      </c>
      <c r="B102" s="35">
        <v>1</v>
      </c>
      <c r="C102" s="35">
        <v>0</v>
      </c>
      <c r="D102" s="35">
        <v>0</v>
      </c>
      <c r="E102" s="35">
        <v>1</v>
      </c>
      <c r="F102" s="35">
        <v>0</v>
      </c>
      <c r="G102" s="35">
        <v>0</v>
      </c>
      <c r="H102" s="35">
        <v>0</v>
      </c>
    </row>
    <row r="103" ht="30" customHeight="1" spans="1:8">
      <c r="A103" s="36" t="s">
        <v>343</v>
      </c>
      <c r="B103" s="37">
        <v>3</v>
      </c>
      <c r="C103" s="37">
        <v>0</v>
      </c>
      <c r="D103" s="37">
        <v>0</v>
      </c>
      <c r="E103" s="37">
        <v>0</v>
      </c>
      <c r="F103" s="37">
        <v>1</v>
      </c>
      <c r="G103" s="37">
        <v>0</v>
      </c>
      <c r="H103" s="37">
        <v>2</v>
      </c>
    </row>
    <row r="104" ht="30" customHeight="1" spans="1:8">
      <c r="A104" s="34" t="s">
        <v>344</v>
      </c>
      <c r="B104" s="35">
        <v>5</v>
      </c>
      <c r="C104" s="35">
        <v>0</v>
      </c>
      <c r="D104" s="35">
        <v>0</v>
      </c>
      <c r="E104" s="35">
        <v>0</v>
      </c>
      <c r="F104" s="35">
        <v>2</v>
      </c>
      <c r="G104" s="35">
        <v>2</v>
      </c>
      <c r="H104" s="35">
        <v>1</v>
      </c>
    </row>
    <row r="105" ht="30" customHeight="1" spans="1:8">
      <c r="A105" s="36" t="s">
        <v>345</v>
      </c>
      <c r="B105" s="37">
        <v>1</v>
      </c>
      <c r="C105" s="37">
        <v>0</v>
      </c>
      <c r="D105" s="37">
        <v>0</v>
      </c>
      <c r="E105" s="37">
        <v>0</v>
      </c>
      <c r="F105" s="37">
        <v>0</v>
      </c>
      <c r="G105" s="37">
        <v>1</v>
      </c>
      <c r="H105" s="37">
        <v>0</v>
      </c>
    </row>
    <row r="106" ht="30" customHeight="1" spans="1:8">
      <c r="A106" s="34" t="s">
        <v>346</v>
      </c>
      <c r="B106" s="35">
        <v>2</v>
      </c>
      <c r="C106" s="35">
        <v>0</v>
      </c>
      <c r="D106" s="35">
        <v>0</v>
      </c>
      <c r="E106" s="35">
        <v>0</v>
      </c>
      <c r="F106" s="35">
        <v>2</v>
      </c>
      <c r="G106" s="35">
        <v>0</v>
      </c>
      <c r="H106" s="35">
        <v>0</v>
      </c>
    </row>
    <row r="107" ht="30" customHeight="1" spans="1:8">
      <c r="A107" s="36" t="s">
        <v>347</v>
      </c>
      <c r="B107" s="37">
        <v>2</v>
      </c>
      <c r="C107" s="37">
        <v>0</v>
      </c>
      <c r="D107" s="37">
        <v>0</v>
      </c>
      <c r="E107" s="37">
        <v>0</v>
      </c>
      <c r="F107" s="37">
        <v>1</v>
      </c>
      <c r="G107" s="37">
        <v>1</v>
      </c>
      <c r="H107" s="37">
        <v>0</v>
      </c>
    </row>
    <row r="108" ht="30" customHeight="1" spans="1:8">
      <c r="A108" s="34" t="s">
        <v>348</v>
      </c>
      <c r="B108" s="35">
        <v>3</v>
      </c>
      <c r="C108" s="35">
        <v>0</v>
      </c>
      <c r="D108" s="35">
        <v>0</v>
      </c>
      <c r="E108" s="35">
        <v>1</v>
      </c>
      <c r="F108" s="35">
        <v>1</v>
      </c>
      <c r="G108" s="35">
        <v>0</v>
      </c>
      <c r="H108" s="35">
        <v>1</v>
      </c>
    </row>
    <row r="109" ht="30" customHeight="1" spans="1:8">
      <c r="A109" s="36" t="s">
        <v>349</v>
      </c>
      <c r="B109" s="37">
        <v>1</v>
      </c>
      <c r="C109" s="37">
        <v>0</v>
      </c>
      <c r="D109" s="37">
        <v>0</v>
      </c>
      <c r="E109" s="37">
        <v>1</v>
      </c>
      <c r="F109" s="37">
        <v>0</v>
      </c>
      <c r="G109" s="37">
        <v>0</v>
      </c>
      <c r="H109" s="37">
        <v>0</v>
      </c>
    </row>
    <row r="110" ht="30" customHeight="1" spans="1:8">
      <c r="A110" s="34" t="s">
        <v>350</v>
      </c>
      <c r="B110" s="35">
        <v>2</v>
      </c>
      <c r="C110" s="35">
        <v>0</v>
      </c>
      <c r="D110" s="35">
        <v>0</v>
      </c>
      <c r="E110" s="35">
        <v>0</v>
      </c>
      <c r="F110" s="35">
        <v>1</v>
      </c>
      <c r="G110" s="35">
        <v>0</v>
      </c>
      <c r="H110" s="35">
        <v>1</v>
      </c>
    </row>
    <row r="111" ht="30" customHeight="1" spans="1:8">
      <c r="A111" s="36" t="s">
        <v>351</v>
      </c>
      <c r="B111" s="37">
        <v>5</v>
      </c>
      <c r="C111" s="37">
        <v>0</v>
      </c>
      <c r="D111" s="37">
        <v>0</v>
      </c>
      <c r="E111" s="37">
        <v>0</v>
      </c>
      <c r="F111" s="37">
        <v>0</v>
      </c>
      <c r="G111" s="37">
        <v>4</v>
      </c>
      <c r="H111" s="37">
        <v>1</v>
      </c>
    </row>
    <row r="112" ht="30" customHeight="1" spans="1:8">
      <c r="A112" s="34" t="s">
        <v>352</v>
      </c>
      <c r="B112" s="35">
        <v>2</v>
      </c>
      <c r="C112" s="35">
        <v>0</v>
      </c>
      <c r="D112" s="35">
        <v>0</v>
      </c>
      <c r="E112" s="35">
        <v>0</v>
      </c>
      <c r="F112" s="35">
        <v>1</v>
      </c>
      <c r="G112" s="35">
        <v>0</v>
      </c>
      <c r="H112" s="35">
        <v>1</v>
      </c>
    </row>
    <row r="113" ht="30" customHeight="1" spans="1:8">
      <c r="A113" s="36" t="s">
        <v>353</v>
      </c>
      <c r="B113" s="37">
        <v>4</v>
      </c>
      <c r="C113" s="37">
        <v>0</v>
      </c>
      <c r="D113" s="37">
        <v>0</v>
      </c>
      <c r="E113" s="37">
        <v>0</v>
      </c>
      <c r="F113" s="37">
        <v>2</v>
      </c>
      <c r="G113" s="37">
        <v>1</v>
      </c>
      <c r="H113" s="37">
        <v>1</v>
      </c>
    </row>
    <row r="114" ht="30" customHeight="1" spans="1:8">
      <c r="A114" s="34" t="s">
        <v>354</v>
      </c>
      <c r="B114" s="35">
        <v>2</v>
      </c>
      <c r="C114" s="35">
        <v>0</v>
      </c>
      <c r="D114" s="35">
        <v>0</v>
      </c>
      <c r="E114" s="35">
        <v>1</v>
      </c>
      <c r="F114" s="35">
        <v>0</v>
      </c>
      <c r="G114" s="35">
        <v>0</v>
      </c>
      <c r="H114" s="35">
        <v>1</v>
      </c>
    </row>
    <row r="115" ht="30" customHeight="1" spans="1:8">
      <c r="A115" s="36" t="s">
        <v>355</v>
      </c>
      <c r="B115" s="37">
        <v>42</v>
      </c>
      <c r="C115" s="37">
        <v>0</v>
      </c>
      <c r="D115" s="37">
        <v>0</v>
      </c>
      <c r="E115" s="37">
        <v>17</v>
      </c>
      <c r="F115" s="37">
        <v>22</v>
      </c>
      <c r="G115" s="37">
        <v>0</v>
      </c>
      <c r="H115" s="37">
        <v>3</v>
      </c>
    </row>
    <row r="116" ht="30" customHeight="1" spans="1:8">
      <c r="A116" s="34" t="s">
        <v>356</v>
      </c>
      <c r="B116" s="35">
        <v>3</v>
      </c>
      <c r="C116" s="35">
        <v>1</v>
      </c>
      <c r="D116" s="35">
        <v>0</v>
      </c>
      <c r="E116" s="35">
        <v>1</v>
      </c>
      <c r="F116" s="35">
        <v>1</v>
      </c>
      <c r="G116" s="35">
        <v>0</v>
      </c>
      <c r="H116" s="35">
        <v>0</v>
      </c>
    </row>
    <row r="117" ht="30" customHeight="1" spans="1:8">
      <c r="A117" s="36" t="s">
        <v>357</v>
      </c>
      <c r="B117" s="37">
        <v>8</v>
      </c>
      <c r="C117" s="37">
        <v>0</v>
      </c>
      <c r="D117" s="37">
        <v>0</v>
      </c>
      <c r="E117" s="37">
        <v>0</v>
      </c>
      <c r="F117" s="37">
        <v>0</v>
      </c>
      <c r="G117" s="37">
        <v>6</v>
      </c>
      <c r="H117" s="37">
        <v>2</v>
      </c>
    </row>
    <row r="118" ht="30" customHeight="1" spans="1:8">
      <c r="A118" s="34" t="s">
        <v>358</v>
      </c>
      <c r="B118" s="35">
        <v>26</v>
      </c>
      <c r="C118" s="35">
        <v>0</v>
      </c>
      <c r="D118" s="35">
        <v>0</v>
      </c>
      <c r="E118" s="35">
        <v>12</v>
      </c>
      <c r="F118" s="35">
        <v>4</v>
      </c>
      <c r="G118" s="35">
        <v>6</v>
      </c>
      <c r="H118" s="35">
        <v>4</v>
      </c>
    </row>
    <row r="119" ht="30" customHeight="1" spans="1:8">
      <c r="A119" s="36" t="s">
        <v>359</v>
      </c>
      <c r="B119" s="37">
        <v>1</v>
      </c>
      <c r="C119" s="37">
        <v>0</v>
      </c>
      <c r="D119" s="37">
        <v>0</v>
      </c>
      <c r="E119" s="37">
        <v>0</v>
      </c>
      <c r="F119" s="37">
        <v>1</v>
      </c>
      <c r="G119" s="37">
        <v>0</v>
      </c>
      <c r="H119" s="37">
        <v>0</v>
      </c>
    </row>
    <row r="120" ht="30" customHeight="1" spans="1:8">
      <c r="A120" s="34" t="s">
        <v>360</v>
      </c>
      <c r="B120" s="35">
        <v>3</v>
      </c>
      <c r="C120" s="35">
        <v>0</v>
      </c>
      <c r="D120" s="35">
        <v>0</v>
      </c>
      <c r="E120" s="35">
        <v>0</v>
      </c>
      <c r="F120" s="35">
        <v>0</v>
      </c>
      <c r="G120" s="35">
        <v>0</v>
      </c>
      <c r="H120" s="35">
        <v>3</v>
      </c>
    </row>
    <row r="121" ht="30" customHeight="1" spans="1:8">
      <c r="A121" s="36" t="s">
        <v>361</v>
      </c>
      <c r="B121" s="37">
        <v>53</v>
      </c>
      <c r="C121" s="37">
        <v>0</v>
      </c>
      <c r="D121" s="37">
        <v>0</v>
      </c>
      <c r="E121" s="37">
        <v>0</v>
      </c>
      <c r="F121" s="37">
        <v>0</v>
      </c>
      <c r="G121" s="37">
        <v>49</v>
      </c>
      <c r="H121" s="37">
        <v>4</v>
      </c>
    </row>
    <row r="122" ht="30" customHeight="1" spans="1:8">
      <c r="A122" s="34" t="s">
        <v>362</v>
      </c>
      <c r="B122" s="35">
        <v>38</v>
      </c>
      <c r="C122" s="35">
        <v>2</v>
      </c>
      <c r="D122" s="35">
        <v>0</v>
      </c>
      <c r="E122" s="35">
        <v>29</v>
      </c>
      <c r="F122" s="35">
        <v>7</v>
      </c>
      <c r="G122" s="35">
        <v>0</v>
      </c>
      <c r="H122" s="35">
        <v>0</v>
      </c>
    </row>
    <row r="123" ht="30" customHeight="1" spans="1:8">
      <c r="A123" s="36" t="s">
        <v>363</v>
      </c>
      <c r="B123" s="37">
        <v>3</v>
      </c>
      <c r="C123" s="37">
        <v>0</v>
      </c>
      <c r="D123" s="37">
        <v>0</v>
      </c>
      <c r="E123" s="37">
        <v>3</v>
      </c>
      <c r="F123" s="37">
        <v>0</v>
      </c>
      <c r="G123" s="37">
        <v>0</v>
      </c>
      <c r="H123" s="37">
        <v>0</v>
      </c>
    </row>
    <row r="124" ht="30" customHeight="1" spans="1:8">
      <c r="A124" s="34" t="s">
        <v>364</v>
      </c>
      <c r="B124" s="35">
        <v>64</v>
      </c>
      <c r="C124" s="35">
        <v>0</v>
      </c>
      <c r="D124" s="35">
        <v>0</v>
      </c>
      <c r="E124" s="35">
        <v>0</v>
      </c>
      <c r="F124" s="35">
        <v>0</v>
      </c>
      <c r="G124" s="35">
        <v>62</v>
      </c>
      <c r="H124" s="35">
        <v>2</v>
      </c>
    </row>
    <row r="125" ht="30" customHeight="1" spans="1:8">
      <c r="A125" s="36" t="s">
        <v>365</v>
      </c>
      <c r="B125" s="37">
        <v>4</v>
      </c>
      <c r="C125" s="37">
        <v>0</v>
      </c>
      <c r="D125" s="37">
        <v>0</v>
      </c>
      <c r="E125" s="37">
        <v>0</v>
      </c>
      <c r="F125" s="37">
        <v>4</v>
      </c>
      <c r="G125" s="37">
        <v>0</v>
      </c>
      <c r="H125" s="37">
        <v>0</v>
      </c>
    </row>
    <row r="126" ht="30" customHeight="1" spans="1:8">
      <c r="A126" s="34" t="s">
        <v>366</v>
      </c>
      <c r="B126" s="35">
        <v>1</v>
      </c>
      <c r="C126" s="35">
        <v>0</v>
      </c>
      <c r="D126" s="35">
        <v>0</v>
      </c>
      <c r="E126" s="35">
        <v>0</v>
      </c>
      <c r="F126" s="35">
        <v>1</v>
      </c>
      <c r="G126" s="35">
        <v>0</v>
      </c>
      <c r="H126" s="35">
        <v>0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55"/>
  <sheetViews>
    <sheetView workbookViewId="0">
      <pane xSplit="1" ySplit="5" topLeftCell="BP12" activePane="bottomRight" state="frozen"/>
      <selection/>
      <selection pane="topRight"/>
      <selection pane="bottomLeft"/>
      <selection pane="bottomRight" activeCell="A2" sqref="A2:CA52"/>
    </sheetView>
  </sheetViews>
  <sheetFormatPr defaultColWidth="8.88888888888889" defaultRowHeight="14.4"/>
  <cols>
    <col min="1" max="1" width="11" customWidth="1"/>
    <col min="2" max="2" width="13" customWidth="1"/>
    <col min="3" max="3" width="33" customWidth="1"/>
    <col min="4" max="4" width="19" customWidth="1"/>
    <col min="5" max="5" width="11" customWidth="1"/>
    <col min="6" max="6" width="12" customWidth="1"/>
    <col min="7" max="7" width="19" customWidth="1"/>
    <col min="8" max="8" width="13" customWidth="1"/>
    <col min="9" max="9" width="19" customWidth="1"/>
    <col min="10" max="10" width="13" customWidth="1"/>
    <col min="11" max="11" width="19" customWidth="1"/>
    <col min="12" max="12" width="13" customWidth="1"/>
    <col min="13" max="13" width="19" customWidth="1"/>
    <col min="14" max="14" width="12" customWidth="1"/>
    <col min="15" max="15" width="19" customWidth="1"/>
    <col min="16" max="16" width="12" customWidth="1"/>
    <col min="17" max="17" width="19" customWidth="1"/>
    <col min="18" max="18" width="12" customWidth="1"/>
    <col min="19" max="19" width="19" customWidth="1"/>
    <col min="20" max="20" width="12" customWidth="1"/>
    <col min="21" max="21" width="19" customWidth="1"/>
    <col min="22" max="22" width="12" customWidth="1"/>
    <col min="23" max="23" width="19" customWidth="1"/>
    <col min="24" max="24" width="12" customWidth="1"/>
    <col min="25" max="25" width="19" customWidth="1"/>
    <col min="26" max="26" width="13" customWidth="1"/>
    <col min="27" max="27" width="19" customWidth="1"/>
    <col min="28" max="28" width="11" customWidth="1"/>
    <col min="29" max="29" width="19" customWidth="1"/>
    <col min="30" max="30" width="11" customWidth="1"/>
    <col min="31" max="31" width="19" customWidth="1"/>
    <col min="32" max="32" width="11" customWidth="1"/>
    <col min="33" max="33" width="19" customWidth="1"/>
    <col min="34" max="34" width="11" customWidth="1"/>
    <col min="35" max="35" width="19" customWidth="1"/>
    <col min="36" max="36" width="11" customWidth="1"/>
    <col min="37" max="37" width="19" customWidth="1"/>
    <col min="38" max="38" width="11" customWidth="1"/>
    <col min="39" max="39" width="19" customWidth="1"/>
    <col min="40" max="40" width="11" customWidth="1"/>
    <col min="41" max="41" width="19" customWidth="1"/>
    <col min="42" max="42" width="11" customWidth="1"/>
    <col min="43" max="43" width="19" customWidth="1"/>
    <col min="44" max="44" width="11" customWidth="1"/>
    <col min="45" max="45" width="19" customWidth="1"/>
    <col min="46" max="46" width="11" customWidth="1"/>
    <col min="47" max="47" width="19" customWidth="1"/>
    <col min="48" max="48" width="11" customWidth="1"/>
    <col min="49" max="49" width="19" customWidth="1"/>
    <col min="50" max="50" width="11" customWidth="1"/>
    <col min="51" max="51" width="19" customWidth="1"/>
    <col min="52" max="52" width="11" customWidth="1"/>
    <col min="53" max="53" width="19" customWidth="1"/>
    <col min="54" max="54" width="11" customWidth="1"/>
    <col min="55" max="55" width="19" customWidth="1"/>
    <col min="56" max="56" width="11" customWidth="1"/>
    <col min="57" max="57" width="19" customWidth="1"/>
    <col min="58" max="58" width="11" customWidth="1"/>
    <col min="59" max="59" width="19" customWidth="1"/>
    <col min="60" max="60" width="11" customWidth="1"/>
    <col min="61" max="61" width="19" customWidth="1"/>
    <col min="62" max="62" width="11" customWidth="1"/>
    <col min="63" max="63" width="19" customWidth="1"/>
    <col min="64" max="64" width="11" customWidth="1"/>
    <col min="65" max="65" width="19" customWidth="1"/>
    <col min="66" max="66" width="11" customWidth="1"/>
    <col min="67" max="67" width="19" customWidth="1"/>
    <col min="68" max="68" width="11" customWidth="1"/>
    <col min="69" max="69" width="19" customWidth="1"/>
    <col min="70" max="70" width="11" customWidth="1"/>
    <col min="71" max="71" width="19" customWidth="1"/>
    <col min="72" max="72" width="11" customWidth="1"/>
    <col min="73" max="73" width="19" customWidth="1"/>
    <col min="74" max="74" width="11" customWidth="1"/>
    <col min="75" max="75" width="19" customWidth="1"/>
    <col min="76" max="76" width="11" customWidth="1"/>
    <col min="77" max="77" width="19" customWidth="1"/>
    <col min="78" max="78" width="11" customWidth="1"/>
    <col min="79" max="79" width="19" customWidth="1"/>
    <col min="80" max="80" width="17.5740740740741" customWidth="1"/>
  </cols>
  <sheetData>
    <row r="1" ht="30" customHeight="1" spans="1:79">
      <c r="A1" s="31" t="s">
        <v>367</v>
      </c>
    </row>
    <row r="2" ht="30" customHeight="1" spans="1:79">
      <c r="A2" s="32" t="s">
        <v>1</v>
      </c>
    </row>
    <row r="3" ht="15.6" spans="1:79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368</v>
      </c>
      <c r="G3" s="33"/>
      <c r="H3" s="33" t="s">
        <v>369</v>
      </c>
      <c r="I3" s="33"/>
      <c r="J3" s="33" t="s">
        <v>370</v>
      </c>
      <c r="K3" s="33"/>
      <c r="L3" s="33" t="s">
        <v>371</v>
      </c>
      <c r="M3" s="33"/>
      <c r="N3" s="33" t="s">
        <v>372</v>
      </c>
      <c r="O3" s="33"/>
      <c r="P3" s="33" t="s">
        <v>373</v>
      </c>
      <c r="Q3" s="33"/>
      <c r="R3" s="33"/>
      <c r="S3" s="33"/>
      <c r="T3" s="33" t="s">
        <v>374</v>
      </c>
      <c r="U3" s="33"/>
      <c r="V3" s="33"/>
      <c r="W3" s="33"/>
      <c r="X3" s="33" t="s">
        <v>375</v>
      </c>
      <c r="Y3" s="33"/>
      <c r="Z3" s="33"/>
      <c r="AA3" s="33"/>
      <c r="AB3" s="33" t="s">
        <v>376</v>
      </c>
      <c r="AC3" s="33"/>
      <c r="AD3" s="33"/>
      <c r="AE3" s="33"/>
      <c r="AF3" s="33" t="s">
        <v>377</v>
      </c>
      <c r="AG3" s="33"/>
      <c r="AH3" s="33"/>
      <c r="AI3" s="33"/>
      <c r="AJ3" s="33" t="s">
        <v>378</v>
      </c>
      <c r="AK3" s="33"/>
      <c r="AL3" s="33"/>
      <c r="AM3" s="33"/>
      <c r="AN3" s="33" t="s">
        <v>379</v>
      </c>
      <c r="AO3" s="33"/>
      <c r="AP3" s="33"/>
      <c r="AQ3" s="33"/>
      <c r="AR3" s="33" t="s">
        <v>380</v>
      </c>
      <c r="AS3" s="33"/>
      <c r="AT3" s="33"/>
      <c r="AU3" s="33"/>
      <c r="AV3" s="33" t="s">
        <v>381</v>
      </c>
      <c r="AW3" s="33"/>
      <c r="AX3" s="33"/>
      <c r="AY3" s="33"/>
      <c r="AZ3" s="33" t="s">
        <v>382</v>
      </c>
      <c r="BA3" s="33"/>
      <c r="BB3" s="33"/>
      <c r="BC3" s="33"/>
      <c r="BD3" s="33" t="s">
        <v>383</v>
      </c>
      <c r="BE3" s="33"/>
      <c r="BF3" s="33"/>
      <c r="BG3" s="33"/>
      <c r="BH3" s="33" t="s">
        <v>384</v>
      </c>
      <c r="BI3" s="33"/>
      <c r="BJ3" s="33"/>
      <c r="BK3" s="33"/>
      <c r="BL3" s="33" t="s">
        <v>385</v>
      </c>
      <c r="BM3" s="33"/>
      <c r="BN3" s="33"/>
      <c r="BO3" s="33"/>
      <c r="BP3" s="33" t="s">
        <v>386</v>
      </c>
      <c r="BQ3" s="33"/>
      <c r="BR3" s="33"/>
      <c r="BS3" s="33"/>
      <c r="BT3" s="33" t="s">
        <v>387</v>
      </c>
      <c r="BU3" s="33"/>
      <c r="BV3" s="33"/>
      <c r="BW3" s="33"/>
      <c r="BX3" s="33" t="s">
        <v>388</v>
      </c>
      <c r="BY3" s="33"/>
      <c r="BZ3" s="33" t="s">
        <v>389</v>
      </c>
      <c r="CA3" s="33"/>
    </row>
    <row r="4" ht="15.6" spans="1:79">
      <c r="A4" s="33"/>
      <c r="B4" s="33"/>
      <c r="C4" s="33"/>
      <c r="D4" s="33"/>
      <c r="E4" s="33"/>
      <c r="F4" s="33" t="s">
        <v>390</v>
      </c>
      <c r="G4" s="33"/>
      <c r="H4" s="33" t="s">
        <v>391</v>
      </c>
      <c r="I4" s="33"/>
      <c r="J4" s="33" t="s">
        <v>392</v>
      </c>
      <c r="K4" s="33"/>
      <c r="L4" s="33" t="s">
        <v>393</v>
      </c>
      <c r="M4" s="33"/>
      <c r="N4" s="33" t="s">
        <v>394</v>
      </c>
      <c r="O4" s="33"/>
      <c r="P4" s="33" t="s">
        <v>395</v>
      </c>
      <c r="Q4" s="33"/>
      <c r="R4" s="33" t="s">
        <v>396</v>
      </c>
      <c r="S4" s="33"/>
      <c r="T4" s="33" t="s">
        <v>397</v>
      </c>
      <c r="U4" s="33"/>
      <c r="V4" s="33" t="s">
        <v>398</v>
      </c>
      <c r="W4" s="33"/>
      <c r="X4" s="33" t="s">
        <v>399</v>
      </c>
      <c r="Y4" s="33"/>
      <c r="Z4" s="33" t="s">
        <v>400</v>
      </c>
      <c r="AA4" s="33"/>
      <c r="AB4" s="33" t="s">
        <v>401</v>
      </c>
      <c r="AC4" s="33"/>
      <c r="AD4" s="33" t="s">
        <v>402</v>
      </c>
      <c r="AE4" s="33"/>
      <c r="AF4" s="33" t="s">
        <v>403</v>
      </c>
      <c r="AG4" s="33"/>
      <c r="AH4" s="33" t="s">
        <v>404</v>
      </c>
      <c r="AI4" s="33"/>
      <c r="AJ4" s="33" t="s">
        <v>405</v>
      </c>
      <c r="AK4" s="33"/>
      <c r="AL4" s="33" t="s">
        <v>406</v>
      </c>
      <c r="AM4" s="33"/>
      <c r="AN4" s="33" t="s">
        <v>407</v>
      </c>
      <c r="AO4" s="33"/>
      <c r="AP4" s="33" t="s">
        <v>408</v>
      </c>
      <c r="AQ4" s="33"/>
      <c r="AR4" s="33" t="s">
        <v>409</v>
      </c>
      <c r="AS4" s="33"/>
      <c r="AT4" s="33" t="s">
        <v>410</v>
      </c>
      <c r="AU4" s="33"/>
      <c r="AV4" s="33" t="s">
        <v>411</v>
      </c>
      <c r="AW4" s="33"/>
      <c r="AX4" s="33" t="s">
        <v>412</v>
      </c>
      <c r="AY4" s="33"/>
      <c r="AZ4" s="33" t="s">
        <v>413</v>
      </c>
      <c r="BA4" s="33"/>
      <c r="BB4" s="33" t="s">
        <v>414</v>
      </c>
      <c r="BC4" s="33"/>
      <c r="BD4" s="33" t="s">
        <v>415</v>
      </c>
      <c r="BE4" s="33"/>
      <c r="BF4" s="33" t="s">
        <v>416</v>
      </c>
      <c r="BG4" s="33"/>
      <c r="BH4" s="33" t="s">
        <v>417</v>
      </c>
      <c r="BI4" s="33"/>
      <c r="BJ4" s="33" t="s">
        <v>418</v>
      </c>
      <c r="BK4" s="33"/>
      <c r="BL4" s="33" t="s">
        <v>419</v>
      </c>
      <c r="BM4" s="33"/>
      <c r="BN4" s="33" t="s">
        <v>420</v>
      </c>
      <c r="BO4" s="33"/>
      <c r="BP4" s="33" t="s">
        <v>421</v>
      </c>
      <c r="BQ4" s="33"/>
      <c r="BR4" s="33" t="s">
        <v>422</v>
      </c>
      <c r="BS4" s="33"/>
      <c r="BT4" s="33" t="s">
        <v>423</v>
      </c>
      <c r="BU4" s="33"/>
      <c r="BV4" s="33" t="s">
        <v>424</v>
      </c>
      <c r="BW4" s="33"/>
      <c r="BX4" s="33" t="s">
        <v>425</v>
      </c>
      <c r="BY4" s="33"/>
      <c r="BZ4" s="33" t="s">
        <v>426</v>
      </c>
      <c r="CA4" s="33"/>
    </row>
    <row r="5" ht="15.6" spans="1:79">
      <c r="A5" s="33"/>
      <c r="B5" s="33"/>
      <c r="C5" s="33"/>
      <c r="D5" s="33"/>
      <c r="E5" s="33"/>
      <c r="F5" s="33" t="s">
        <v>427</v>
      </c>
      <c r="G5" s="33" t="s">
        <v>428</v>
      </c>
      <c r="H5" s="33" t="s">
        <v>427</v>
      </c>
      <c r="I5" s="33" t="s">
        <v>428</v>
      </c>
      <c r="J5" s="33" t="s">
        <v>427</v>
      </c>
      <c r="K5" s="33" t="s">
        <v>428</v>
      </c>
      <c r="L5" s="33" t="s">
        <v>427</v>
      </c>
      <c r="M5" s="33" t="s">
        <v>428</v>
      </c>
      <c r="N5" s="33" t="s">
        <v>427</v>
      </c>
      <c r="O5" s="33" t="s">
        <v>428</v>
      </c>
      <c r="P5" s="33" t="s">
        <v>427</v>
      </c>
      <c r="Q5" s="33" t="s">
        <v>428</v>
      </c>
      <c r="R5" s="33" t="s">
        <v>427</v>
      </c>
      <c r="S5" s="33" t="s">
        <v>428</v>
      </c>
      <c r="T5" s="33" t="s">
        <v>427</v>
      </c>
      <c r="U5" s="33" t="s">
        <v>428</v>
      </c>
      <c r="V5" s="33" t="s">
        <v>427</v>
      </c>
      <c r="W5" s="33" t="s">
        <v>428</v>
      </c>
      <c r="X5" s="33" t="s">
        <v>427</v>
      </c>
      <c r="Y5" s="33" t="s">
        <v>428</v>
      </c>
      <c r="Z5" s="33" t="s">
        <v>427</v>
      </c>
      <c r="AA5" s="33" t="s">
        <v>428</v>
      </c>
      <c r="AB5" s="33" t="s">
        <v>427</v>
      </c>
      <c r="AC5" s="33" t="s">
        <v>428</v>
      </c>
      <c r="AD5" s="33" t="s">
        <v>427</v>
      </c>
      <c r="AE5" s="33" t="s">
        <v>428</v>
      </c>
      <c r="AF5" s="33" t="s">
        <v>427</v>
      </c>
      <c r="AG5" s="33" t="s">
        <v>428</v>
      </c>
      <c r="AH5" s="33" t="s">
        <v>427</v>
      </c>
      <c r="AI5" s="33" t="s">
        <v>428</v>
      </c>
      <c r="AJ5" s="33" t="s">
        <v>427</v>
      </c>
      <c r="AK5" s="33" t="s">
        <v>428</v>
      </c>
      <c r="AL5" s="33" t="s">
        <v>427</v>
      </c>
      <c r="AM5" s="33" t="s">
        <v>428</v>
      </c>
      <c r="AN5" s="33" t="s">
        <v>427</v>
      </c>
      <c r="AO5" s="33" t="s">
        <v>428</v>
      </c>
      <c r="AP5" s="33" t="s">
        <v>427</v>
      </c>
      <c r="AQ5" s="33" t="s">
        <v>428</v>
      </c>
      <c r="AR5" s="33" t="s">
        <v>427</v>
      </c>
      <c r="AS5" s="33" t="s">
        <v>428</v>
      </c>
      <c r="AT5" s="33" t="s">
        <v>427</v>
      </c>
      <c r="AU5" s="33" t="s">
        <v>428</v>
      </c>
      <c r="AV5" s="33" t="s">
        <v>427</v>
      </c>
      <c r="AW5" s="33" t="s">
        <v>428</v>
      </c>
      <c r="AX5" s="33" t="s">
        <v>427</v>
      </c>
      <c r="AY5" s="33" t="s">
        <v>428</v>
      </c>
      <c r="AZ5" s="33" t="s">
        <v>427</v>
      </c>
      <c r="BA5" s="33" t="s">
        <v>428</v>
      </c>
      <c r="BB5" s="33" t="s">
        <v>427</v>
      </c>
      <c r="BC5" s="33" t="s">
        <v>428</v>
      </c>
      <c r="BD5" s="33" t="s">
        <v>427</v>
      </c>
      <c r="BE5" s="33" t="s">
        <v>428</v>
      </c>
      <c r="BF5" s="33" t="s">
        <v>427</v>
      </c>
      <c r="BG5" s="33" t="s">
        <v>428</v>
      </c>
      <c r="BH5" s="33" t="s">
        <v>427</v>
      </c>
      <c r="BI5" s="33" t="s">
        <v>428</v>
      </c>
      <c r="BJ5" s="33" t="s">
        <v>427</v>
      </c>
      <c r="BK5" s="33" t="s">
        <v>428</v>
      </c>
      <c r="BL5" s="33" t="s">
        <v>427</v>
      </c>
      <c r="BM5" s="33" t="s">
        <v>428</v>
      </c>
      <c r="BN5" s="33" t="s">
        <v>427</v>
      </c>
      <c r="BO5" s="33" t="s">
        <v>428</v>
      </c>
      <c r="BP5" s="33" t="s">
        <v>427</v>
      </c>
      <c r="BQ5" s="33" t="s">
        <v>428</v>
      </c>
      <c r="BR5" s="33" t="s">
        <v>427</v>
      </c>
      <c r="BS5" s="33" t="s">
        <v>428</v>
      </c>
      <c r="BT5" s="33" t="s">
        <v>427</v>
      </c>
      <c r="BU5" s="33" t="s">
        <v>428</v>
      </c>
      <c r="BV5" s="33" t="s">
        <v>427</v>
      </c>
      <c r="BW5" s="33" t="s">
        <v>428</v>
      </c>
      <c r="BX5" s="33" t="s">
        <v>427</v>
      </c>
      <c r="BY5" s="33" t="s">
        <v>428</v>
      </c>
      <c r="BZ5" s="33" t="s">
        <v>427</v>
      </c>
      <c r="CA5" s="33" t="s">
        <v>428</v>
      </c>
    </row>
    <row r="6" ht="30" customHeight="1" spans="1:79">
      <c r="A6" s="34" t="s">
        <v>12</v>
      </c>
      <c r="B6" s="34" t="s">
        <v>13</v>
      </c>
      <c r="C6" s="34" t="s">
        <v>14</v>
      </c>
      <c r="D6" s="34" t="s">
        <v>15</v>
      </c>
      <c r="E6" s="34" t="s">
        <v>16</v>
      </c>
      <c r="F6" s="34" t="s">
        <v>429</v>
      </c>
      <c r="G6" s="34" t="s">
        <v>430</v>
      </c>
      <c r="H6" s="34" t="s">
        <v>429</v>
      </c>
      <c r="I6" s="34" t="s">
        <v>431</v>
      </c>
      <c r="J6" s="34" t="s">
        <v>429</v>
      </c>
      <c r="K6" s="34" t="s">
        <v>431</v>
      </c>
      <c r="L6" s="34" t="s">
        <v>429</v>
      </c>
      <c r="M6" s="34" t="s">
        <v>432</v>
      </c>
      <c r="N6" s="34" t="s">
        <v>429</v>
      </c>
      <c r="O6" s="34" t="s">
        <v>432</v>
      </c>
      <c r="P6" s="34" t="s">
        <v>429</v>
      </c>
      <c r="Q6" s="34" t="s">
        <v>433</v>
      </c>
      <c r="R6" s="34" t="s">
        <v>429</v>
      </c>
      <c r="S6" s="34" t="s">
        <v>434</v>
      </c>
      <c r="T6" s="34" t="s">
        <v>429</v>
      </c>
      <c r="U6" s="34" t="s">
        <v>435</v>
      </c>
      <c r="V6" s="34" t="s">
        <v>429</v>
      </c>
      <c r="W6" s="34" t="s">
        <v>436</v>
      </c>
      <c r="X6" s="34" t="s">
        <v>429</v>
      </c>
      <c r="Y6" s="34" t="s">
        <v>437</v>
      </c>
      <c r="Z6" s="34" t="s">
        <v>429</v>
      </c>
      <c r="AA6" s="34" t="s">
        <v>438</v>
      </c>
      <c r="AB6" s="34" t="s">
        <v>429</v>
      </c>
      <c r="AC6" s="34" t="s">
        <v>439</v>
      </c>
      <c r="AD6" s="34" t="s">
        <v>429</v>
      </c>
      <c r="AE6" s="34" t="s">
        <v>440</v>
      </c>
      <c r="AF6" s="34" t="s">
        <v>429</v>
      </c>
      <c r="AG6" s="34" t="s">
        <v>441</v>
      </c>
      <c r="AH6" s="34" t="s">
        <v>429</v>
      </c>
      <c r="AI6" s="34" t="s">
        <v>442</v>
      </c>
      <c r="AJ6" s="34" t="s">
        <v>429</v>
      </c>
      <c r="AK6" s="34" t="s">
        <v>443</v>
      </c>
      <c r="AL6" s="34" t="s">
        <v>429</v>
      </c>
      <c r="AM6" s="34" t="s">
        <v>444</v>
      </c>
      <c r="AN6" s="34" t="s">
        <v>429</v>
      </c>
      <c r="AO6" s="34" t="s">
        <v>445</v>
      </c>
      <c r="AP6" s="34" t="s">
        <v>429</v>
      </c>
      <c r="AQ6" s="34" t="s">
        <v>446</v>
      </c>
      <c r="AR6" s="34" t="s">
        <v>429</v>
      </c>
      <c r="AS6" s="34" t="s">
        <v>447</v>
      </c>
      <c r="AT6" s="34" t="s">
        <v>429</v>
      </c>
      <c r="AU6" s="34" t="s">
        <v>448</v>
      </c>
      <c r="AV6" s="34" t="s">
        <v>429</v>
      </c>
      <c r="AW6" s="34" t="s">
        <v>449</v>
      </c>
      <c r="AX6" s="34" t="s">
        <v>429</v>
      </c>
      <c r="AY6" s="34" t="s">
        <v>450</v>
      </c>
      <c r="AZ6" s="34" t="s">
        <v>429</v>
      </c>
      <c r="BA6" s="34" t="s">
        <v>451</v>
      </c>
      <c r="BB6" s="34" t="s">
        <v>429</v>
      </c>
      <c r="BC6" s="34" t="s">
        <v>452</v>
      </c>
      <c r="BD6" s="34" t="s">
        <v>429</v>
      </c>
      <c r="BE6" s="34" t="s">
        <v>453</v>
      </c>
      <c r="BF6" s="34" t="s">
        <v>429</v>
      </c>
      <c r="BG6" s="34" t="s">
        <v>454</v>
      </c>
      <c r="BH6" s="34" t="s">
        <v>429</v>
      </c>
      <c r="BI6" s="34" t="s">
        <v>455</v>
      </c>
      <c r="BJ6" s="34" t="s">
        <v>429</v>
      </c>
      <c r="BK6" s="34" t="s">
        <v>456</v>
      </c>
      <c r="BL6" s="34" t="s">
        <v>429</v>
      </c>
      <c r="BM6" s="34" t="s">
        <v>457</v>
      </c>
      <c r="BN6" s="34" t="s">
        <v>429</v>
      </c>
      <c r="BO6" s="34" t="s">
        <v>458</v>
      </c>
      <c r="BP6" s="34" t="s">
        <v>429</v>
      </c>
      <c r="BQ6" s="34" t="s">
        <v>459</v>
      </c>
      <c r="BR6" s="34" t="s">
        <v>429</v>
      </c>
      <c r="BS6" s="34" t="s">
        <v>460</v>
      </c>
      <c r="BT6" s="34" t="s">
        <v>429</v>
      </c>
      <c r="BU6" s="34" t="s">
        <v>461</v>
      </c>
      <c r="BV6" s="34" t="s">
        <v>429</v>
      </c>
      <c r="BW6" s="34" t="s">
        <v>462</v>
      </c>
      <c r="BX6" s="34" t="s">
        <v>429</v>
      </c>
      <c r="BY6" s="34" t="s">
        <v>463</v>
      </c>
      <c r="BZ6" s="34" t="s">
        <v>429</v>
      </c>
      <c r="CA6" s="34" t="s">
        <v>464</v>
      </c>
    </row>
    <row r="7" ht="30" customHeight="1" spans="1:79">
      <c r="A7" s="36" t="s">
        <v>17</v>
      </c>
      <c r="B7" s="36" t="s">
        <v>18</v>
      </c>
      <c r="C7" s="36" t="s">
        <v>14</v>
      </c>
      <c r="D7" s="36" t="s">
        <v>15</v>
      </c>
      <c r="E7" s="36" t="s">
        <v>16</v>
      </c>
      <c r="F7" s="36" t="s">
        <v>429</v>
      </c>
      <c r="G7" s="36" t="s">
        <v>465</v>
      </c>
      <c r="H7" s="36" t="s">
        <v>429</v>
      </c>
      <c r="I7" s="36" t="s">
        <v>466</v>
      </c>
      <c r="J7" s="36" t="s">
        <v>429</v>
      </c>
      <c r="K7" s="36" t="s">
        <v>466</v>
      </c>
      <c r="L7" s="36" t="s">
        <v>429</v>
      </c>
      <c r="M7" s="36" t="s">
        <v>467</v>
      </c>
      <c r="N7" s="36" t="s">
        <v>429</v>
      </c>
      <c r="O7" s="36" t="s">
        <v>466</v>
      </c>
      <c r="P7" s="36" t="s">
        <v>429</v>
      </c>
      <c r="Q7" s="36" t="s">
        <v>468</v>
      </c>
      <c r="R7" s="36" t="s">
        <v>429</v>
      </c>
      <c r="S7" s="36" t="s">
        <v>469</v>
      </c>
      <c r="T7" s="36" t="s">
        <v>429</v>
      </c>
      <c r="U7" s="36" t="s">
        <v>468</v>
      </c>
      <c r="V7" s="36" t="s">
        <v>429</v>
      </c>
      <c r="W7" s="36" t="s">
        <v>470</v>
      </c>
      <c r="X7" s="36" t="s">
        <v>429</v>
      </c>
      <c r="Y7" s="36" t="s">
        <v>471</v>
      </c>
      <c r="Z7" s="36" t="s">
        <v>429</v>
      </c>
      <c r="AA7" s="36" t="s">
        <v>472</v>
      </c>
      <c r="AB7" s="36" t="s">
        <v>429</v>
      </c>
      <c r="AC7" s="36" t="s">
        <v>473</v>
      </c>
      <c r="AD7" s="36" t="s">
        <v>429</v>
      </c>
      <c r="AE7" s="36" t="s">
        <v>474</v>
      </c>
      <c r="AF7" s="36" t="s">
        <v>429</v>
      </c>
      <c r="AG7" s="36" t="s">
        <v>475</v>
      </c>
      <c r="AH7" s="36" t="s">
        <v>429</v>
      </c>
      <c r="AI7" s="36" t="s">
        <v>476</v>
      </c>
      <c r="AJ7" s="36" t="s">
        <v>429</v>
      </c>
      <c r="AK7" s="36" t="s">
        <v>477</v>
      </c>
      <c r="AL7" s="36" t="s">
        <v>429</v>
      </c>
      <c r="AM7" s="36" t="s">
        <v>478</v>
      </c>
      <c r="AN7" s="36" t="s">
        <v>429</v>
      </c>
      <c r="AO7" s="36" t="s">
        <v>479</v>
      </c>
      <c r="AP7" s="36" t="s">
        <v>429</v>
      </c>
      <c r="AQ7" s="36" t="s">
        <v>480</v>
      </c>
      <c r="AR7" s="36" t="s">
        <v>429</v>
      </c>
      <c r="AS7" s="36" t="s">
        <v>481</v>
      </c>
      <c r="AT7" s="36" t="s">
        <v>429</v>
      </c>
      <c r="AU7" s="36" t="s">
        <v>482</v>
      </c>
      <c r="AV7" s="36" t="s">
        <v>429</v>
      </c>
      <c r="AW7" s="36" t="s">
        <v>483</v>
      </c>
      <c r="AX7" s="36" t="s">
        <v>429</v>
      </c>
      <c r="AY7" s="36" t="s">
        <v>484</v>
      </c>
      <c r="AZ7" s="36" t="s">
        <v>429</v>
      </c>
      <c r="BA7" s="36" t="s">
        <v>485</v>
      </c>
      <c r="BB7" s="36" t="s">
        <v>429</v>
      </c>
      <c r="BC7" s="36" t="s">
        <v>486</v>
      </c>
      <c r="BD7" s="36" t="s">
        <v>429</v>
      </c>
      <c r="BE7" s="36" t="s">
        <v>487</v>
      </c>
      <c r="BF7" s="36" t="s">
        <v>429</v>
      </c>
      <c r="BG7" s="36" t="s">
        <v>488</v>
      </c>
      <c r="BH7" s="36" t="s">
        <v>429</v>
      </c>
      <c r="BI7" s="36" t="s">
        <v>489</v>
      </c>
      <c r="BJ7" s="36" t="s">
        <v>429</v>
      </c>
      <c r="BK7" s="36" t="s">
        <v>490</v>
      </c>
      <c r="BL7" s="36" t="s">
        <v>429</v>
      </c>
      <c r="BM7" s="36" t="s">
        <v>491</v>
      </c>
      <c r="BN7" s="36" t="s">
        <v>429</v>
      </c>
      <c r="BO7" s="36" t="s">
        <v>492</v>
      </c>
      <c r="BP7" s="36" t="s">
        <v>429</v>
      </c>
      <c r="BQ7" s="36" t="s">
        <v>493</v>
      </c>
      <c r="BR7" s="36" t="s">
        <v>429</v>
      </c>
      <c r="BS7" s="36" t="s">
        <v>494</v>
      </c>
      <c r="BT7" s="36" t="s">
        <v>429</v>
      </c>
      <c r="BU7" s="36" t="s">
        <v>495</v>
      </c>
      <c r="BV7" s="36" t="s">
        <v>429</v>
      </c>
      <c r="BW7" s="36" t="s">
        <v>496</v>
      </c>
      <c r="BX7" s="36" t="s">
        <v>429</v>
      </c>
      <c r="BY7" s="36" t="s">
        <v>497</v>
      </c>
      <c r="BZ7" s="36" t="s">
        <v>429</v>
      </c>
      <c r="CA7" s="36" t="s">
        <v>498</v>
      </c>
    </row>
    <row r="8" ht="30" customHeight="1" spans="1:79">
      <c r="A8" s="34" t="s">
        <v>19</v>
      </c>
      <c r="B8" s="34" t="s">
        <v>20</v>
      </c>
      <c r="C8" s="34" t="s">
        <v>14</v>
      </c>
      <c r="D8" s="34" t="s">
        <v>15</v>
      </c>
      <c r="E8" s="34" t="s">
        <v>21</v>
      </c>
      <c r="F8" s="34" t="s">
        <v>429</v>
      </c>
      <c r="G8" s="34" t="s">
        <v>465</v>
      </c>
      <c r="H8" s="34" t="s">
        <v>429</v>
      </c>
      <c r="I8" s="34" t="s">
        <v>465</v>
      </c>
      <c r="J8" s="34" t="s">
        <v>429</v>
      </c>
      <c r="K8" s="34" t="s">
        <v>499</v>
      </c>
      <c r="L8" s="34" t="s">
        <v>429</v>
      </c>
      <c r="M8" s="34" t="s">
        <v>500</v>
      </c>
      <c r="N8" s="34" t="s">
        <v>429</v>
      </c>
      <c r="O8" s="34" t="s">
        <v>501</v>
      </c>
      <c r="P8" s="34" t="s">
        <v>429</v>
      </c>
      <c r="Q8" s="34" t="s">
        <v>465</v>
      </c>
      <c r="R8" s="34" t="s">
        <v>429</v>
      </c>
      <c r="S8" s="34" t="s">
        <v>502</v>
      </c>
      <c r="T8" s="34" t="s">
        <v>429</v>
      </c>
      <c r="U8" s="34" t="s">
        <v>502</v>
      </c>
      <c r="V8" s="34" t="s">
        <v>429</v>
      </c>
      <c r="W8" s="34" t="s">
        <v>503</v>
      </c>
      <c r="X8" s="34" t="s">
        <v>429</v>
      </c>
      <c r="Y8" s="34" t="s">
        <v>504</v>
      </c>
      <c r="Z8" s="34" t="s">
        <v>429</v>
      </c>
      <c r="AA8" s="34" t="s">
        <v>505</v>
      </c>
      <c r="AB8" s="34" t="s">
        <v>429</v>
      </c>
      <c r="AC8" s="34" t="s">
        <v>506</v>
      </c>
      <c r="AD8" s="34" t="s">
        <v>429</v>
      </c>
      <c r="AE8" s="34" t="s">
        <v>507</v>
      </c>
      <c r="AF8" s="34" t="s">
        <v>429</v>
      </c>
      <c r="AG8" s="34" t="s">
        <v>508</v>
      </c>
      <c r="AH8" s="34" t="s">
        <v>429</v>
      </c>
      <c r="AI8" s="34" t="s">
        <v>509</v>
      </c>
      <c r="AJ8" s="34" t="s">
        <v>429</v>
      </c>
      <c r="AK8" s="34" t="s">
        <v>510</v>
      </c>
      <c r="AL8" s="34" t="s">
        <v>429</v>
      </c>
      <c r="AM8" s="34" t="s">
        <v>511</v>
      </c>
      <c r="AN8" s="34" t="s">
        <v>429</v>
      </c>
      <c r="AO8" s="34" t="s">
        <v>512</v>
      </c>
      <c r="AP8" s="34" t="s">
        <v>429</v>
      </c>
      <c r="AQ8" s="34" t="s">
        <v>513</v>
      </c>
      <c r="AR8" s="34" t="s">
        <v>429</v>
      </c>
      <c r="AS8" s="34" t="s">
        <v>514</v>
      </c>
      <c r="AT8" s="34" t="s">
        <v>429</v>
      </c>
      <c r="AU8" s="34" t="s">
        <v>515</v>
      </c>
      <c r="AV8" s="34" t="s">
        <v>429</v>
      </c>
      <c r="AW8" s="34" t="s">
        <v>516</v>
      </c>
      <c r="AX8" s="34" t="s">
        <v>429</v>
      </c>
      <c r="AY8" s="34" t="s">
        <v>517</v>
      </c>
      <c r="AZ8" s="34" t="s">
        <v>429</v>
      </c>
      <c r="BA8" s="34" t="s">
        <v>518</v>
      </c>
      <c r="BB8" s="34" t="s">
        <v>429</v>
      </c>
      <c r="BC8" s="34" t="s">
        <v>519</v>
      </c>
      <c r="BD8" s="34" t="s">
        <v>429</v>
      </c>
      <c r="BE8" s="34" t="s">
        <v>520</v>
      </c>
      <c r="BF8" s="34" t="s">
        <v>429</v>
      </c>
      <c r="BG8" s="34" t="s">
        <v>488</v>
      </c>
      <c r="BH8" s="34" t="s">
        <v>429</v>
      </c>
      <c r="BI8" s="34" t="s">
        <v>521</v>
      </c>
      <c r="BJ8" s="34" t="s">
        <v>429</v>
      </c>
      <c r="BK8" s="34" t="s">
        <v>522</v>
      </c>
      <c r="BL8" s="34" t="s">
        <v>429</v>
      </c>
      <c r="BM8" s="34" t="s">
        <v>523</v>
      </c>
      <c r="BN8" s="34" t="s">
        <v>429</v>
      </c>
      <c r="BO8" s="34" t="s">
        <v>524</v>
      </c>
      <c r="BP8" s="34" t="s">
        <v>429</v>
      </c>
      <c r="BQ8" s="34" t="s">
        <v>525</v>
      </c>
      <c r="BR8" s="34" t="s">
        <v>429</v>
      </c>
      <c r="BS8" s="34" t="s">
        <v>526</v>
      </c>
      <c r="BT8" s="34" t="s">
        <v>429</v>
      </c>
      <c r="BU8" s="34" t="s">
        <v>527</v>
      </c>
      <c r="BV8" s="34" t="s">
        <v>429</v>
      </c>
      <c r="BW8" s="34" t="s">
        <v>528</v>
      </c>
      <c r="BX8" s="34" t="s">
        <v>429</v>
      </c>
      <c r="BY8" s="34" t="s">
        <v>497</v>
      </c>
      <c r="BZ8" s="34" t="s">
        <v>429</v>
      </c>
      <c r="CA8" s="34" t="s">
        <v>529</v>
      </c>
    </row>
    <row r="9" ht="30" customHeight="1" spans="1:79">
      <c r="A9" s="36" t="s">
        <v>22</v>
      </c>
      <c r="B9" s="36" t="s">
        <v>23</v>
      </c>
      <c r="C9" s="36" t="s">
        <v>14</v>
      </c>
      <c r="D9" s="36" t="s">
        <v>15</v>
      </c>
      <c r="E9" s="36" t="s">
        <v>21</v>
      </c>
      <c r="F9" s="36" t="s">
        <v>429</v>
      </c>
      <c r="G9" s="36" t="s">
        <v>530</v>
      </c>
      <c r="H9" s="36" t="s">
        <v>429</v>
      </c>
      <c r="I9" s="36" t="s">
        <v>530</v>
      </c>
      <c r="J9" s="36" t="s">
        <v>429</v>
      </c>
      <c r="K9" s="36" t="s">
        <v>531</v>
      </c>
      <c r="L9" s="36" t="s">
        <v>429</v>
      </c>
      <c r="M9" s="36" t="s">
        <v>532</v>
      </c>
      <c r="N9" s="36" t="s">
        <v>429</v>
      </c>
      <c r="O9" s="36" t="s">
        <v>533</v>
      </c>
      <c r="P9" s="36" t="s">
        <v>429</v>
      </c>
      <c r="Q9" s="36" t="s">
        <v>534</v>
      </c>
      <c r="R9" s="36" t="s">
        <v>429</v>
      </c>
      <c r="S9" s="36" t="s">
        <v>535</v>
      </c>
      <c r="T9" s="36" t="s">
        <v>429</v>
      </c>
      <c r="U9" s="36" t="s">
        <v>536</v>
      </c>
      <c r="V9" s="36" t="s">
        <v>429</v>
      </c>
      <c r="W9" s="36" t="s">
        <v>537</v>
      </c>
      <c r="X9" s="36" t="s">
        <v>429</v>
      </c>
      <c r="Y9" s="36" t="s">
        <v>538</v>
      </c>
      <c r="Z9" s="36" t="s">
        <v>429</v>
      </c>
      <c r="AA9" s="36" t="s">
        <v>539</v>
      </c>
      <c r="AB9" s="36" t="s">
        <v>429</v>
      </c>
      <c r="AC9" s="36" t="s">
        <v>540</v>
      </c>
      <c r="AD9" s="36" t="s">
        <v>429</v>
      </c>
      <c r="AE9" s="36" t="s">
        <v>541</v>
      </c>
      <c r="AF9" s="36" t="s">
        <v>429</v>
      </c>
      <c r="AG9" s="36" t="s">
        <v>542</v>
      </c>
      <c r="AH9" s="36" t="s">
        <v>429</v>
      </c>
      <c r="AI9" s="36" t="s">
        <v>543</v>
      </c>
      <c r="AJ9" s="36" t="s">
        <v>429</v>
      </c>
      <c r="AK9" s="36" t="s">
        <v>544</v>
      </c>
      <c r="AL9" s="36" t="s">
        <v>429</v>
      </c>
      <c r="AM9" s="36" t="s">
        <v>545</v>
      </c>
      <c r="AN9" s="36" t="s">
        <v>429</v>
      </c>
      <c r="AO9" s="36" t="s">
        <v>546</v>
      </c>
      <c r="AP9" s="36" t="s">
        <v>429</v>
      </c>
      <c r="AQ9" s="36" t="s">
        <v>547</v>
      </c>
      <c r="AR9" s="36" t="s">
        <v>429</v>
      </c>
      <c r="AS9" s="36" t="s">
        <v>548</v>
      </c>
      <c r="AT9" s="36" t="s">
        <v>429</v>
      </c>
      <c r="AU9" s="36" t="s">
        <v>549</v>
      </c>
      <c r="AV9" s="36" t="s">
        <v>429</v>
      </c>
      <c r="AW9" s="36" t="s">
        <v>550</v>
      </c>
      <c r="AX9" s="36" t="s">
        <v>429</v>
      </c>
      <c r="AY9" s="36" t="s">
        <v>551</v>
      </c>
      <c r="AZ9" s="36" t="s">
        <v>429</v>
      </c>
      <c r="BA9" s="36" t="s">
        <v>552</v>
      </c>
      <c r="BB9" s="36" t="s">
        <v>429</v>
      </c>
      <c r="BC9" s="36" t="s">
        <v>553</v>
      </c>
      <c r="BD9" s="36" t="s">
        <v>429</v>
      </c>
      <c r="BE9" s="36" t="s">
        <v>554</v>
      </c>
      <c r="BF9" s="36" t="s">
        <v>429</v>
      </c>
      <c r="BG9" s="36" t="s">
        <v>555</v>
      </c>
      <c r="BH9" s="36" t="s">
        <v>429</v>
      </c>
      <c r="BI9" s="36" t="s">
        <v>556</v>
      </c>
      <c r="BJ9" s="36" t="s">
        <v>429</v>
      </c>
      <c r="BK9" s="36" t="s">
        <v>557</v>
      </c>
      <c r="BL9" s="36" t="s">
        <v>429</v>
      </c>
      <c r="BM9" s="36" t="s">
        <v>558</v>
      </c>
      <c r="BN9" s="36" t="s">
        <v>429</v>
      </c>
      <c r="BO9" s="36" t="s">
        <v>559</v>
      </c>
      <c r="BP9" s="36" t="s">
        <v>429</v>
      </c>
      <c r="BQ9" s="36" t="s">
        <v>560</v>
      </c>
      <c r="BR9" s="36" t="s">
        <v>429</v>
      </c>
      <c r="BS9" s="36" t="s">
        <v>561</v>
      </c>
      <c r="BT9" s="36" t="s">
        <v>429</v>
      </c>
      <c r="BU9" s="36" t="s">
        <v>562</v>
      </c>
      <c r="BV9" s="36" t="s">
        <v>429</v>
      </c>
      <c r="BW9" s="36" t="s">
        <v>563</v>
      </c>
      <c r="BX9" s="36" t="s">
        <v>429</v>
      </c>
      <c r="BY9" s="36" t="s">
        <v>564</v>
      </c>
      <c r="BZ9" s="36" t="s">
        <v>429</v>
      </c>
      <c r="CA9" s="36" t="s">
        <v>565</v>
      </c>
    </row>
    <row r="10" ht="30" customHeight="1" spans="1:79">
      <c r="A10" s="34" t="s">
        <v>24</v>
      </c>
      <c r="B10" s="34" t="s">
        <v>25</v>
      </c>
      <c r="C10" s="34" t="s">
        <v>14</v>
      </c>
      <c r="D10" s="34" t="s">
        <v>15</v>
      </c>
      <c r="E10" s="34" t="s">
        <v>21</v>
      </c>
      <c r="F10" s="34" t="s">
        <v>429</v>
      </c>
      <c r="G10" s="34" t="s">
        <v>566</v>
      </c>
      <c r="H10" s="34" t="s">
        <v>429</v>
      </c>
      <c r="I10" s="34" t="s">
        <v>566</v>
      </c>
      <c r="J10" s="34" t="s">
        <v>429</v>
      </c>
      <c r="K10" s="34" t="s">
        <v>566</v>
      </c>
      <c r="L10" s="34" t="s">
        <v>429</v>
      </c>
      <c r="M10" s="34" t="s">
        <v>567</v>
      </c>
      <c r="N10" s="34" t="s">
        <v>429</v>
      </c>
      <c r="O10" s="34" t="s">
        <v>568</v>
      </c>
      <c r="P10" s="34" t="s">
        <v>429</v>
      </c>
      <c r="Q10" s="34" t="s">
        <v>568</v>
      </c>
      <c r="R10" s="34" t="s">
        <v>429</v>
      </c>
      <c r="S10" s="34" t="s">
        <v>569</v>
      </c>
      <c r="T10" s="34" t="s">
        <v>429</v>
      </c>
      <c r="U10" s="34" t="s">
        <v>570</v>
      </c>
      <c r="V10" s="34" t="s">
        <v>429</v>
      </c>
      <c r="W10" s="34" t="s">
        <v>571</v>
      </c>
      <c r="X10" s="34" t="s">
        <v>429</v>
      </c>
      <c r="Y10" s="34" t="s">
        <v>572</v>
      </c>
      <c r="Z10" s="34" t="s">
        <v>429</v>
      </c>
      <c r="AA10" s="34" t="s">
        <v>573</v>
      </c>
      <c r="AB10" s="34" t="s">
        <v>429</v>
      </c>
      <c r="AC10" s="34" t="s">
        <v>574</v>
      </c>
      <c r="AD10" s="34" t="s">
        <v>429</v>
      </c>
      <c r="AE10" s="34" t="s">
        <v>575</v>
      </c>
      <c r="AF10" s="34" t="s">
        <v>429</v>
      </c>
      <c r="AG10" s="34" t="s">
        <v>576</v>
      </c>
      <c r="AH10" s="34" t="s">
        <v>429</v>
      </c>
      <c r="AI10" s="34" t="s">
        <v>577</v>
      </c>
      <c r="AJ10" s="34" t="s">
        <v>429</v>
      </c>
      <c r="AK10" s="34" t="s">
        <v>578</v>
      </c>
      <c r="AL10" s="34" t="s">
        <v>429</v>
      </c>
      <c r="AM10" s="34" t="s">
        <v>579</v>
      </c>
      <c r="AN10" s="34" t="s">
        <v>429</v>
      </c>
      <c r="AO10" s="34" t="s">
        <v>580</v>
      </c>
      <c r="AP10" s="34" t="s">
        <v>429</v>
      </c>
      <c r="AQ10" s="34" t="s">
        <v>581</v>
      </c>
      <c r="AR10" s="34" t="s">
        <v>429</v>
      </c>
      <c r="AS10" s="34" t="s">
        <v>580</v>
      </c>
      <c r="AT10" s="34" t="s">
        <v>429</v>
      </c>
      <c r="AU10" s="34" t="s">
        <v>582</v>
      </c>
      <c r="AV10" s="34" t="s">
        <v>429</v>
      </c>
      <c r="AW10" s="34" t="s">
        <v>582</v>
      </c>
      <c r="AX10" s="34" t="s">
        <v>429</v>
      </c>
      <c r="AY10" s="34" t="s">
        <v>583</v>
      </c>
      <c r="AZ10" s="34" t="s">
        <v>429</v>
      </c>
      <c r="BA10" s="34" t="s">
        <v>584</v>
      </c>
      <c r="BB10" s="34" t="s">
        <v>429</v>
      </c>
      <c r="BC10" s="34" t="s">
        <v>491</v>
      </c>
      <c r="BD10" s="34" t="s">
        <v>429</v>
      </c>
      <c r="BE10" s="34" t="s">
        <v>585</v>
      </c>
      <c r="BF10" s="34" t="s">
        <v>429</v>
      </c>
      <c r="BG10" s="34" t="s">
        <v>494</v>
      </c>
      <c r="BH10" s="34" t="s">
        <v>429</v>
      </c>
      <c r="BI10" s="34" t="s">
        <v>586</v>
      </c>
      <c r="BJ10" s="34" t="s">
        <v>429</v>
      </c>
      <c r="BK10" s="34" t="s">
        <v>587</v>
      </c>
      <c r="BL10" s="34" t="s">
        <v>429</v>
      </c>
      <c r="BM10" s="34" t="s">
        <v>587</v>
      </c>
      <c r="BN10" s="34" t="s">
        <v>429</v>
      </c>
      <c r="BO10" s="34" t="s">
        <v>588</v>
      </c>
      <c r="BP10" s="34" t="s">
        <v>429</v>
      </c>
      <c r="BQ10" s="34" t="s">
        <v>589</v>
      </c>
      <c r="BR10" s="34" t="s">
        <v>429</v>
      </c>
      <c r="BS10" s="34" t="s">
        <v>590</v>
      </c>
      <c r="BT10" s="34" t="s">
        <v>429</v>
      </c>
      <c r="BU10" s="34" t="s">
        <v>591</v>
      </c>
      <c r="BV10" s="34" t="s">
        <v>429</v>
      </c>
      <c r="BW10" s="34" t="s">
        <v>592</v>
      </c>
      <c r="BX10" s="34" t="s">
        <v>429</v>
      </c>
      <c r="BY10" s="34" t="s">
        <v>593</v>
      </c>
      <c r="BZ10" s="34" t="s">
        <v>429</v>
      </c>
      <c r="CA10" s="34" t="s">
        <v>594</v>
      </c>
    </row>
    <row r="11" ht="30" customHeight="1" spans="1:79">
      <c r="A11" s="36" t="s">
        <v>26</v>
      </c>
      <c r="B11" s="36" t="s">
        <v>27</v>
      </c>
      <c r="C11" s="36" t="s">
        <v>14</v>
      </c>
      <c r="D11" s="36" t="s">
        <v>15</v>
      </c>
      <c r="E11" s="36" t="s">
        <v>21</v>
      </c>
      <c r="F11" s="36" t="s">
        <v>429</v>
      </c>
      <c r="G11" s="36" t="s">
        <v>466</v>
      </c>
      <c r="H11" s="36" t="s">
        <v>429</v>
      </c>
      <c r="I11" s="36" t="s">
        <v>466</v>
      </c>
      <c r="J11" s="36" t="s">
        <v>429</v>
      </c>
      <c r="K11" s="36" t="s">
        <v>466</v>
      </c>
      <c r="L11" s="36" t="s">
        <v>429</v>
      </c>
      <c r="M11" s="36" t="s">
        <v>501</v>
      </c>
      <c r="N11" s="36" t="s">
        <v>429</v>
      </c>
      <c r="O11" s="36" t="s">
        <v>501</v>
      </c>
      <c r="P11" s="36" t="s">
        <v>429</v>
      </c>
      <c r="Q11" s="36" t="s">
        <v>595</v>
      </c>
      <c r="R11" s="36" t="s">
        <v>429</v>
      </c>
      <c r="S11" s="36" t="s">
        <v>596</v>
      </c>
      <c r="T11" s="36" t="s">
        <v>429</v>
      </c>
      <c r="U11" s="36" t="s">
        <v>597</v>
      </c>
      <c r="V11" s="36" t="s">
        <v>429</v>
      </c>
      <c r="W11" s="36" t="s">
        <v>598</v>
      </c>
      <c r="X11" s="36" t="s">
        <v>429</v>
      </c>
      <c r="Y11" s="36" t="s">
        <v>598</v>
      </c>
      <c r="Z11" s="36" t="s">
        <v>429</v>
      </c>
      <c r="AA11" s="36" t="s">
        <v>599</v>
      </c>
      <c r="AB11" s="36" t="s">
        <v>429</v>
      </c>
      <c r="AC11" s="36" t="s">
        <v>572</v>
      </c>
      <c r="AD11" s="36" t="s">
        <v>429</v>
      </c>
      <c r="AE11" s="36" t="s">
        <v>600</v>
      </c>
      <c r="AF11" s="36" t="s">
        <v>429</v>
      </c>
      <c r="AG11" s="36" t="s">
        <v>600</v>
      </c>
      <c r="AH11" s="36" t="s">
        <v>429</v>
      </c>
      <c r="AI11" s="36" t="s">
        <v>440</v>
      </c>
      <c r="AJ11" s="36" t="s">
        <v>429</v>
      </c>
      <c r="AK11" s="36" t="s">
        <v>440</v>
      </c>
      <c r="AL11" s="36" t="s">
        <v>429</v>
      </c>
      <c r="AM11" s="36" t="s">
        <v>601</v>
      </c>
      <c r="AN11" s="36" t="s">
        <v>429</v>
      </c>
      <c r="AO11" s="36" t="s">
        <v>441</v>
      </c>
      <c r="AP11" s="36" t="s">
        <v>429</v>
      </c>
      <c r="AQ11" s="36" t="s">
        <v>602</v>
      </c>
      <c r="AR11" s="36" t="s">
        <v>429</v>
      </c>
      <c r="AS11" s="36" t="s">
        <v>603</v>
      </c>
      <c r="AT11" s="36" t="s">
        <v>429</v>
      </c>
      <c r="AU11" s="36" t="s">
        <v>604</v>
      </c>
      <c r="AV11" s="36" t="s">
        <v>429</v>
      </c>
      <c r="AW11" s="36" t="s">
        <v>605</v>
      </c>
      <c r="AX11" s="36" t="s">
        <v>429</v>
      </c>
      <c r="AY11" s="36" t="s">
        <v>606</v>
      </c>
      <c r="AZ11" s="36" t="s">
        <v>429</v>
      </c>
      <c r="BA11" s="36" t="s">
        <v>607</v>
      </c>
      <c r="BB11" s="36" t="s">
        <v>429</v>
      </c>
      <c r="BC11" s="36" t="s">
        <v>608</v>
      </c>
      <c r="BD11" s="36" t="s">
        <v>429</v>
      </c>
      <c r="BE11" s="36" t="s">
        <v>609</v>
      </c>
      <c r="BF11" s="36" t="s">
        <v>429</v>
      </c>
      <c r="BG11" s="36" t="s">
        <v>610</v>
      </c>
      <c r="BH11" s="36" t="s">
        <v>429</v>
      </c>
      <c r="BI11" s="36" t="s">
        <v>611</v>
      </c>
      <c r="BJ11" s="36" t="s">
        <v>429</v>
      </c>
      <c r="BK11" s="36" t="s">
        <v>612</v>
      </c>
      <c r="BL11" s="36" t="s">
        <v>429</v>
      </c>
      <c r="BM11" s="36" t="s">
        <v>613</v>
      </c>
      <c r="BN11" s="36" t="s">
        <v>429</v>
      </c>
      <c r="BO11" s="36" t="s">
        <v>614</v>
      </c>
      <c r="BP11" s="36" t="s">
        <v>429</v>
      </c>
      <c r="BQ11" s="36" t="s">
        <v>615</v>
      </c>
      <c r="BR11" s="36" t="s">
        <v>429</v>
      </c>
      <c r="BS11" s="36" t="s">
        <v>616</v>
      </c>
      <c r="BT11" s="36" t="s">
        <v>429</v>
      </c>
      <c r="BU11" s="36" t="s">
        <v>617</v>
      </c>
      <c r="BV11" s="36" t="s">
        <v>429</v>
      </c>
      <c r="BW11" s="36" t="s">
        <v>618</v>
      </c>
      <c r="BX11" s="36" t="s">
        <v>429</v>
      </c>
      <c r="BY11" s="36" t="s">
        <v>619</v>
      </c>
      <c r="BZ11" s="36" t="s">
        <v>429</v>
      </c>
      <c r="CA11" s="36" t="s">
        <v>620</v>
      </c>
    </row>
    <row r="12" ht="30" customHeight="1" spans="1:79">
      <c r="A12" s="34" t="s">
        <v>28</v>
      </c>
      <c r="B12" s="34" t="s">
        <v>29</v>
      </c>
      <c r="C12" s="34" t="s">
        <v>14</v>
      </c>
      <c r="D12" s="34" t="s">
        <v>15</v>
      </c>
      <c r="E12" s="34" t="s">
        <v>21</v>
      </c>
      <c r="F12" s="34" t="s">
        <v>429</v>
      </c>
      <c r="G12" s="34" t="s">
        <v>621</v>
      </c>
      <c r="H12" s="34" t="s">
        <v>429</v>
      </c>
      <c r="I12" s="34" t="s">
        <v>621</v>
      </c>
      <c r="J12" s="34" t="s">
        <v>429</v>
      </c>
      <c r="K12" s="34" t="s">
        <v>621</v>
      </c>
      <c r="L12" s="34" t="s">
        <v>429</v>
      </c>
      <c r="M12" s="34" t="s">
        <v>622</v>
      </c>
      <c r="N12" s="34" t="s">
        <v>429</v>
      </c>
      <c r="O12" s="34" t="s">
        <v>622</v>
      </c>
      <c r="P12" s="34" t="s">
        <v>429</v>
      </c>
      <c r="Q12" s="34" t="s">
        <v>623</v>
      </c>
      <c r="R12" s="34" t="s">
        <v>429</v>
      </c>
      <c r="S12" s="34" t="s">
        <v>624</v>
      </c>
      <c r="T12" s="34" t="s">
        <v>429</v>
      </c>
      <c r="U12" s="34" t="s">
        <v>625</v>
      </c>
      <c r="V12" s="34" t="s">
        <v>429</v>
      </c>
      <c r="W12" s="34" t="s">
        <v>626</v>
      </c>
      <c r="X12" s="34" t="s">
        <v>429</v>
      </c>
      <c r="Y12" s="34" t="s">
        <v>485</v>
      </c>
      <c r="Z12" s="34" t="s">
        <v>429</v>
      </c>
      <c r="AA12" s="34" t="s">
        <v>627</v>
      </c>
      <c r="AB12" s="34" t="s">
        <v>429</v>
      </c>
      <c r="AC12" s="34" t="s">
        <v>485</v>
      </c>
      <c r="AD12" s="34" t="s">
        <v>429</v>
      </c>
      <c r="AE12" s="34" t="s">
        <v>628</v>
      </c>
      <c r="AF12" s="34" t="s">
        <v>429</v>
      </c>
      <c r="AG12" s="34" t="s">
        <v>629</v>
      </c>
      <c r="AH12" s="34" t="s">
        <v>429</v>
      </c>
      <c r="AI12" s="34" t="s">
        <v>630</v>
      </c>
      <c r="AJ12" s="34" t="s">
        <v>429</v>
      </c>
      <c r="AK12" s="34" t="s">
        <v>631</v>
      </c>
      <c r="AL12" s="34" t="s">
        <v>429</v>
      </c>
      <c r="AM12" s="34" t="s">
        <v>632</v>
      </c>
      <c r="AN12" s="34" t="s">
        <v>429</v>
      </c>
      <c r="AO12" s="34" t="s">
        <v>631</v>
      </c>
      <c r="AP12" s="34" t="s">
        <v>429</v>
      </c>
      <c r="AQ12" s="34" t="s">
        <v>633</v>
      </c>
      <c r="AR12" s="34" t="s">
        <v>429</v>
      </c>
      <c r="AS12" s="34" t="s">
        <v>634</v>
      </c>
      <c r="AT12" s="34" t="s">
        <v>429</v>
      </c>
      <c r="AU12" s="34" t="s">
        <v>635</v>
      </c>
      <c r="AV12" s="34" t="s">
        <v>429</v>
      </c>
      <c r="AW12" s="34" t="s">
        <v>636</v>
      </c>
      <c r="AX12" s="34" t="s">
        <v>429</v>
      </c>
      <c r="AY12" s="34" t="s">
        <v>637</v>
      </c>
      <c r="AZ12" s="34" t="s">
        <v>429</v>
      </c>
      <c r="BA12" s="34" t="s">
        <v>638</v>
      </c>
      <c r="BB12" s="34" t="s">
        <v>429</v>
      </c>
      <c r="BC12" s="34" t="s">
        <v>639</v>
      </c>
      <c r="BD12" s="34" t="s">
        <v>429</v>
      </c>
      <c r="BE12" s="34" t="s">
        <v>640</v>
      </c>
      <c r="BF12" s="34" t="s">
        <v>429</v>
      </c>
      <c r="BG12" s="34" t="s">
        <v>641</v>
      </c>
      <c r="BH12" s="34" t="s">
        <v>429</v>
      </c>
      <c r="BI12" s="34" t="s">
        <v>642</v>
      </c>
      <c r="BJ12" s="34" t="s">
        <v>429</v>
      </c>
      <c r="BK12" s="34" t="s">
        <v>643</v>
      </c>
      <c r="BL12" s="34" t="s">
        <v>429</v>
      </c>
      <c r="BM12" s="34" t="s">
        <v>644</v>
      </c>
      <c r="BN12" s="34" t="s">
        <v>429</v>
      </c>
      <c r="BO12" s="34" t="s">
        <v>645</v>
      </c>
      <c r="BP12" s="34" t="s">
        <v>429</v>
      </c>
      <c r="BQ12" s="34" t="s">
        <v>646</v>
      </c>
      <c r="BR12" s="34" t="s">
        <v>429</v>
      </c>
      <c r="BS12" s="34" t="s">
        <v>647</v>
      </c>
      <c r="BT12" s="34" t="s">
        <v>429</v>
      </c>
      <c r="BU12" s="34" t="s">
        <v>648</v>
      </c>
      <c r="BV12" s="34" t="s">
        <v>429</v>
      </c>
      <c r="BW12" s="34" t="s">
        <v>649</v>
      </c>
      <c r="BX12" s="34" t="s">
        <v>429</v>
      </c>
      <c r="BY12" s="34" t="s">
        <v>650</v>
      </c>
      <c r="BZ12" s="34" t="s">
        <v>429</v>
      </c>
      <c r="CA12" s="34" t="s">
        <v>651</v>
      </c>
    </row>
    <row r="13" ht="30" customHeight="1" spans="1:79">
      <c r="A13" s="36" t="s">
        <v>30</v>
      </c>
      <c r="B13" s="36" t="s">
        <v>31</v>
      </c>
      <c r="C13" s="36" t="s">
        <v>14</v>
      </c>
      <c r="D13" s="36" t="s">
        <v>15</v>
      </c>
      <c r="E13" s="36" t="s">
        <v>21</v>
      </c>
      <c r="F13" s="36" t="s">
        <v>429</v>
      </c>
      <c r="G13" s="36" t="s">
        <v>466</v>
      </c>
      <c r="H13" s="36" t="s">
        <v>429</v>
      </c>
      <c r="I13" s="36" t="s">
        <v>652</v>
      </c>
      <c r="J13" s="36" t="s">
        <v>429</v>
      </c>
      <c r="K13" s="36" t="s">
        <v>652</v>
      </c>
      <c r="L13" s="36" t="s">
        <v>429</v>
      </c>
      <c r="M13" s="36" t="s">
        <v>653</v>
      </c>
      <c r="N13" s="36" t="s">
        <v>429</v>
      </c>
      <c r="O13" s="36" t="s">
        <v>652</v>
      </c>
      <c r="P13" s="36" t="s">
        <v>429</v>
      </c>
      <c r="Q13" s="36" t="s">
        <v>654</v>
      </c>
      <c r="R13" s="36" t="s">
        <v>429</v>
      </c>
      <c r="S13" s="36" t="s">
        <v>655</v>
      </c>
      <c r="T13" s="36" t="s">
        <v>429</v>
      </c>
      <c r="U13" s="36" t="s">
        <v>656</v>
      </c>
      <c r="V13" s="36" t="s">
        <v>429</v>
      </c>
      <c r="W13" s="36" t="s">
        <v>657</v>
      </c>
      <c r="X13" s="36" t="s">
        <v>429</v>
      </c>
      <c r="Y13" s="36" t="s">
        <v>477</v>
      </c>
      <c r="Z13" s="36" t="s">
        <v>429</v>
      </c>
      <c r="AA13" s="36" t="s">
        <v>483</v>
      </c>
      <c r="AB13" s="36" t="s">
        <v>429</v>
      </c>
      <c r="AC13" s="36" t="s">
        <v>658</v>
      </c>
      <c r="AD13" s="36" t="s">
        <v>429</v>
      </c>
      <c r="AE13" s="36" t="s">
        <v>659</v>
      </c>
      <c r="AF13" s="36" t="s">
        <v>429</v>
      </c>
      <c r="AG13" s="36" t="s">
        <v>660</v>
      </c>
      <c r="AH13" s="36" t="s">
        <v>429</v>
      </c>
      <c r="AI13" s="36" t="s">
        <v>661</v>
      </c>
      <c r="AJ13" s="36" t="s">
        <v>429</v>
      </c>
      <c r="AK13" s="36" t="s">
        <v>662</v>
      </c>
      <c r="AL13" s="36" t="s">
        <v>429</v>
      </c>
      <c r="AM13" s="36" t="s">
        <v>638</v>
      </c>
      <c r="AN13" s="36" t="s">
        <v>429</v>
      </c>
      <c r="AO13" s="36" t="s">
        <v>663</v>
      </c>
      <c r="AP13" s="36" t="s">
        <v>429</v>
      </c>
      <c r="AQ13" s="36" t="s">
        <v>664</v>
      </c>
      <c r="AR13" s="36" t="s">
        <v>429</v>
      </c>
      <c r="AS13" s="36" t="s">
        <v>665</v>
      </c>
      <c r="AT13" s="36" t="s">
        <v>429</v>
      </c>
      <c r="AU13" s="36" t="s">
        <v>666</v>
      </c>
      <c r="AV13" s="36" t="s">
        <v>429</v>
      </c>
      <c r="AW13" s="36" t="s">
        <v>667</v>
      </c>
      <c r="AX13" s="36" t="s">
        <v>429</v>
      </c>
      <c r="AY13" s="36" t="s">
        <v>668</v>
      </c>
      <c r="AZ13" s="36" t="s">
        <v>429</v>
      </c>
      <c r="BA13" s="36" t="s">
        <v>669</v>
      </c>
      <c r="BB13" s="36" t="s">
        <v>429</v>
      </c>
      <c r="BC13" s="36" t="s">
        <v>670</v>
      </c>
      <c r="BD13" s="36" t="s">
        <v>429</v>
      </c>
      <c r="BE13" s="36" t="s">
        <v>671</v>
      </c>
      <c r="BF13" s="36" t="s">
        <v>429</v>
      </c>
      <c r="BG13" s="36" t="s">
        <v>672</v>
      </c>
      <c r="BH13" s="36" t="s">
        <v>429</v>
      </c>
      <c r="BI13" s="36" t="s">
        <v>673</v>
      </c>
      <c r="BJ13" s="36" t="s">
        <v>429</v>
      </c>
      <c r="BK13" s="36" t="s">
        <v>674</v>
      </c>
      <c r="BL13" s="36" t="s">
        <v>429</v>
      </c>
      <c r="BM13" s="36" t="s">
        <v>675</v>
      </c>
      <c r="BN13" s="36" t="s">
        <v>429</v>
      </c>
      <c r="BO13" s="36" t="s">
        <v>676</v>
      </c>
      <c r="BP13" s="36" t="s">
        <v>429</v>
      </c>
      <c r="BQ13" s="36" t="s">
        <v>677</v>
      </c>
      <c r="BR13" s="36" t="s">
        <v>429</v>
      </c>
      <c r="BS13" s="36" t="s">
        <v>678</v>
      </c>
      <c r="BT13" s="36" t="s">
        <v>429</v>
      </c>
      <c r="BU13" s="36" t="s">
        <v>679</v>
      </c>
      <c r="BV13" s="36" t="s">
        <v>429</v>
      </c>
      <c r="BW13" s="36" t="s">
        <v>586</v>
      </c>
      <c r="BX13" s="36" t="s">
        <v>429</v>
      </c>
      <c r="BY13" s="36" t="s">
        <v>680</v>
      </c>
      <c r="BZ13" s="36" t="s">
        <v>681</v>
      </c>
      <c r="CA13" s="36" t="s">
        <v>682</v>
      </c>
    </row>
    <row r="14" ht="30" customHeight="1" spans="1:79">
      <c r="A14" s="34" t="s">
        <v>32</v>
      </c>
      <c r="B14" s="34" t="s">
        <v>33</v>
      </c>
      <c r="C14" s="34" t="s">
        <v>14</v>
      </c>
      <c r="D14" s="34" t="s">
        <v>15</v>
      </c>
      <c r="E14" s="34" t="s">
        <v>21</v>
      </c>
      <c r="F14" s="34" t="s">
        <v>429</v>
      </c>
      <c r="G14" s="34" t="s">
        <v>683</v>
      </c>
      <c r="H14" s="34" t="s">
        <v>429</v>
      </c>
      <c r="I14" s="34" t="s">
        <v>683</v>
      </c>
      <c r="J14" s="34" t="s">
        <v>429</v>
      </c>
      <c r="K14" s="34" t="s">
        <v>684</v>
      </c>
      <c r="L14" s="34" t="s">
        <v>429</v>
      </c>
      <c r="M14" s="34" t="s">
        <v>685</v>
      </c>
      <c r="N14" s="34" t="s">
        <v>429</v>
      </c>
      <c r="O14" s="34" t="s">
        <v>685</v>
      </c>
      <c r="P14" s="34" t="s">
        <v>429</v>
      </c>
      <c r="Q14" s="34" t="s">
        <v>685</v>
      </c>
      <c r="R14" s="34" t="s">
        <v>429</v>
      </c>
      <c r="S14" s="34" t="s">
        <v>686</v>
      </c>
      <c r="T14" s="34" t="s">
        <v>429</v>
      </c>
      <c r="U14" s="34" t="s">
        <v>687</v>
      </c>
      <c r="V14" s="34" t="s">
        <v>429</v>
      </c>
      <c r="W14" s="34" t="s">
        <v>688</v>
      </c>
      <c r="X14" s="34" t="s">
        <v>429</v>
      </c>
      <c r="Y14" s="34" t="s">
        <v>689</v>
      </c>
      <c r="Z14" s="34" t="s">
        <v>429</v>
      </c>
      <c r="AA14" s="34" t="s">
        <v>690</v>
      </c>
      <c r="AB14" s="34" t="s">
        <v>429</v>
      </c>
      <c r="AC14" s="34" t="s">
        <v>691</v>
      </c>
      <c r="AD14" s="34" t="s">
        <v>429</v>
      </c>
      <c r="AE14" s="34" t="s">
        <v>692</v>
      </c>
      <c r="AF14" s="34" t="s">
        <v>429</v>
      </c>
      <c r="AG14" s="34" t="s">
        <v>693</v>
      </c>
      <c r="AH14" s="34" t="s">
        <v>429</v>
      </c>
      <c r="AI14" s="34" t="s">
        <v>694</v>
      </c>
      <c r="AJ14" s="34" t="s">
        <v>429</v>
      </c>
      <c r="AK14" s="34" t="s">
        <v>694</v>
      </c>
      <c r="AL14" s="34" t="s">
        <v>429</v>
      </c>
      <c r="AM14" s="34" t="s">
        <v>695</v>
      </c>
      <c r="AN14" s="34" t="s">
        <v>429</v>
      </c>
      <c r="AO14" s="34" t="s">
        <v>695</v>
      </c>
      <c r="AP14" s="34" t="s">
        <v>429</v>
      </c>
      <c r="AQ14" s="34" t="s">
        <v>696</v>
      </c>
      <c r="AR14" s="34" t="s">
        <v>429</v>
      </c>
      <c r="AS14" s="34" t="s">
        <v>697</v>
      </c>
      <c r="AT14" s="34" t="s">
        <v>429</v>
      </c>
      <c r="AU14" s="34" t="s">
        <v>698</v>
      </c>
      <c r="AV14" s="34" t="s">
        <v>429</v>
      </c>
      <c r="AW14" s="34" t="s">
        <v>698</v>
      </c>
      <c r="AX14" s="34" t="s">
        <v>429</v>
      </c>
      <c r="AY14" s="34" t="s">
        <v>699</v>
      </c>
      <c r="AZ14" s="34" t="s">
        <v>429</v>
      </c>
      <c r="BA14" s="34" t="s">
        <v>699</v>
      </c>
      <c r="BB14" s="34" t="s">
        <v>429</v>
      </c>
      <c r="BC14" s="34" t="s">
        <v>700</v>
      </c>
      <c r="BD14" s="34" t="s">
        <v>429</v>
      </c>
      <c r="BE14" s="34" t="s">
        <v>701</v>
      </c>
      <c r="BF14" s="34" t="s">
        <v>429</v>
      </c>
      <c r="BG14" s="34" t="s">
        <v>702</v>
      </c>
      <c r="BH14" s="34" t="s">
        <v>429</v>
      </c>
      <c r="BI14" s="34" t="s">
        <v>702</v>
      </c>
      <c r="BJ14" s="34" t="s">
        <v>429</v>
      </c>
      <c r="BK14" s="34" t="s">
        <v>703</v>
      </c>
      <c r="BL14" s="34" t="s">
        <v>429</v>
      </c>
      <c r="BM14" s="34" t="s">
        <v>704</v>
      </c>
      <c r="BN14" s="34" t="s">
        <v>429</v>
      </c>
      <c r="BO14" s="34" t="s">
        <v>705</v>
      </c>
      <c r="BP14" s="34" t="s">
        <v>429</v>
      </c>
      <c r="BQ14" s="34" t="s">
        <v>706</v>
      </c>
      <c r="BR14" s="34" t="s">
        <v>429</v>
      </c>
      <c r="BS14" s="34" t="s">
        <v>707</v>
      </c>
      <c r="BT14" s="34" t="s">
        <v>429</v>
      </c>
      <c r="BU14" s="34" t="s">
        <v>708</v>
      </c>
      <c r="BV14" s="34" t="s">
        <v>429</v>
      </c>
      <c r="BW14" s="34" t="s">
        <v>709</v>
      </c>
      <c r="BX14" s="34" t="s">
        <v>429</v>
      </c>
      <c r="BY14" s="34" t="s">
        <v>710</v>
      </c>
      <c r="BZ14" s="34" t="s">
        <v>429</v>
      </c>
      <c r="CA14" s="34" t="s">
        <v>711</v>
      </c>
    </row>
    <row r="15" ht="30" customHeight="1" spans="1:79">
      <c r="A15" s="36" t="s">
        <v>34</v>
      </c>
      <c r="B15" s="36" t="s">
        <v>35</v>
      </c>
      <c r="C15" s="36" t="s">
        <v>14</v>
      </c>
      <c r="D15" s="36" t="s">
        <v>15</v>
      </c>
      <c r="E15" s="36" t="s">
        <v>21</v>
      </c>
      <c r="F15" s="36" t="s">
        <v>429</v>
      </c>
      <c r="G15" s="36" t="s">
        <v>712</v>
      </c>
      <c r="H15" s="36" t="s">
        <v>429</v>
      </c>
      <c r="I15" s="36" t="s">
        <v>712</v>
      </c>
      <c r="J15" s="36" t="s">
        <v>429</v>
      </c>
      <c r="K15" s="36" t="s">
        <v>713</v>
      </c>
      <c r="L15" s="36" t="s">
        <v>429</v>
      </c>
      <c r="M15" s="36" t="s">
        <v>714</v>
      </c>
      <c r="N15" s="36" t="s">
        <v>429</v>
      </c>
      <c r="O15" s="36" t="s">
        <v>715</v>
      </c>
      <c r="P15" s="36" t="s">
        <v>429</v>
      </c>
      <c r="Q15" s="36" t="s">
        <v>716</v>
      </c>
      <c r="R15" s="36" t="s">
        <v>429</v>
      </c>
      <c r="S15" s="36" t="s">
        <v>717</v>
      </c>
      <c r="T15" s="36" t="s">
        <v>429</v>
      </c>
      <c r="U15" s="36" t="s">
        <v>717</v>
      </c>
      <c r="V15" s="36" t="s">
        <v>429</v>
      </c>
      <c r="W15" s="36" t="s">
        <v>718</v>
      </c>
      <c r="X15" s="36" t="s">
        <v>429</v>
      </c>
      <c r="Y15" s="36" t="s">
        <v>719</v>
      </c>
      <c r="Z15" s="36" t="s">
        <v>429</v>
      </c>
      <c r="AA15" s="36" t="s">
        <v>720</v>
      </c>
      <c r="AB15" s="36" t="s">
        <v>429</v>
      </c>
      <c r="AC15" s="36" t="s">
        <v>721</v>
      </c>
      <c r="AD15" s="36" t="s">
        <v>429</v>
      </c>
      <c r="AE15" s="36" t="s">
        <v>477</v>
      </c>
      <c r="AF15" s="36" t="s">
        <v>429</v>
      </c>
      <c r="AG15" s="36" t="s">
        <v>722</v>
      </c>
      <c r="AH15" s="36" t="s">
        <v>429</v>
      </c>
      <c r="AI15" s="36" t="s">
        <v>723</v>
      </c>
      <c r="AJ15" s="36" t="s">
        <v>429</v>
      </c>
      <c r="AK15" s="36" t="s">
        <v>724</v>
      </c>
      <c r="AL15" s="36" t="s">
        <v>429</v>
      </c>
      <c r="AM15" s="36" t="s">
        <v>725</v>
      </c>
      <c r="AN15" s="36" t="s">
        <v>429</v>
      </c>
      <c r="AO15" s="36" t="s">
        <v>726</v>
      </c>
      <c r="AP15" s="36" t="s">
        <v>429</v>
      </c>
      <c r="AQ15" s="36" t="s">
        <v>727</v>
      </c>
      <c r="AR15" s="36" t="s">
        <v>429</v>
      </c>
      <c r="AS15" s="36" t="s">
        <v>728</v>
      </c>
      <c r="AT15" s="36" t="s">
        <v>429</v>
      </c>
      <c r="AU15" s="36" t="s">
        <v>729</v>
      </c>
      <c r="AV15" s="36" t="s">
        <v>429</v>
      </c>
      <c r="AW15" s="36" t="s">
        <v>730</v>
      </c>
      <c r="AX15" s="36" t="s">
        <v>429</v>
      </c>
      <c r="AY15" s="36" t="s">
        <v>731</v>
      </c>
      <c r="AZ15" s="36" t="s">
        <v>429</v>
      </c>
      <c r="BA15" s="36" t="s">
        <v>732</v>
      </c>
      <c r="BB15" s="36" t="s">
        <v>429</v>
      </c>
      <c r="BC15" s="36" t="s">
        <v>733</v>
      </c>
      <c r="BD15" s="36" t="s">
        <v>429</v>
      </c>
      <c r="BE15" s="36" t="s">
        <v>734</v>
      </c>
      <c r="BF15" s="36" t="s">
        <v>429</v>
      </c>
      <c r="BG15" s="36" t="s">
        <v>735</v>
      </c>
      <c r="BH15" s="36" t="s">
        <v>429</v>
      </c>
      <c r="BI15" s="36" t="s">
        <v>736</v>
      </c>
      <c r="BJ15" s="36" t="s">
        <v>429</v>
      </c>
      <c r="BK15" s="36" t="s">
        <v>487</v>
      </c>
      <c r="BL15" s="36" t="s">
        <v>429</v>
      </c>
      <c r="BM15" s="36" t="s">
        <v>737</v>
      </c>
      <c r="BN15" s="36" t="s">
        <v>429</v>
      </c>
      <c r="BO15" s="36" t="s">
        <v>738</v>
      </c>
      <c r="BP15" s="36" t="s">
        <v>429</v>
      </c>
      <c r="BQ15" s="36" t="s">
        <v>739</v>
      </c>
      <c r="BR15" s="36" t="s">
        <v>429</v>
      </c>
      <c r="BS15" s="36" t="s">
        <v>740</v>
      </c>
      <c r="BT15" s="36" t="s">
        <v>429</v>
      </c>
      <c r="BU15" s="36" t="s">
        <v>741</v>
      </c>
      <c r="BV15" s="36" t="s">
        <v>429</v>
      </c>
      <c r="BW15" s="36" t="s">
        <v>742</v>
      </c>
      <c r="BX15" s="36" t="s">
        <v>429</v>
      </c>
      <c r="BY15" s="36" t="s">
        <v>743</v>
      </c>
      <c r="BZ15" s="36" t="s">
        <v>429</v>
      </c>
      <c r="CA15" s="36" t="s">
        <v>743</v>
      </c>
    </row>
    <row r="16" ht="30" customHeight="1" spans="1:79">
      <c r="A16" s="34" t="s">
        <v>36</v>
      </c>
      <c r="B16" s="34" t="s">
        <v>37</v>
      </c>
      <c r="C16" s="34" t="s">
        <v>14</v>
      </c>
      <c r="D16" s="34" t="s">
        <v>15</v>
      </c>
      <c r="E16" s="34" t="s">
        <v>21</v>
      </c>
      <c r="F16" s="34" t="s">
        <v>429</v>
      </c>
      <c r="G16" s="34" t="s">
        <v>744</v>
      </c>
      <c r="H16" s="34" t="s">
        <v>429</v>
      </c>
      <c r="I16" s="34" t="s">
        <v>653</v>
      </c>
      <c r="J16" s="34" t="s">
        <v>429</v>
      </c>
      <c r="K16" s="34" t="s">
        <v>745</v>
      </c>
      <c r="L16" s="34" t="s">
        <v>429</v>
      </c>
      <c r="M16" s="34" t="s">
        <v>746</v>
      </c>
      <c r="N16" s="34" t="s">
        <v>429</v>
      </c>
      <c r="O16" s="34" t="s">
        <v>747</v>
      </c>
      <c r="P16" s="34" t="s">
        <v>429</v>
      </c>
      <c r="Q16" s="34" t="s">
        <v>746</v>
      </c>
      <c r="R16" s="34" t="s">
        <v>429</v>
      </c>
      <c r="S16" s="34" t="s">
        <v>748</v>
      </c>
      <c r="T16" s="34" t="s">
        <v>429</v>
      </c>
      <c r="U16" s="34" t="s">
        <v>749</v>
      </c>
      <c r="V16" s="34" t="s">
        <v>429</v>
      </c>
      <c r="W16" s="34" t="s">
        <v>750</v>
      </c>
      <c r="X16" s="34" t="s">
        <v>429</v>
      </c>
      <c r="Y16" s="34" t="s">
        <v>751</v>
      </c>
      <c r="Z16" s="34" t="s">
        <v>429</v>
      </c>
      <c r="AA16" s="34" t="s">
        <v>752</v>
      </c>
      <c r="AB16" s="34" t="s">
        <v>429</v>
      </c>
      <c r="AC16" s="34" t="s">
        <v>753</v>
      </c>
      <c r="AD16" s="34" t="s">
        <v>429</v>
      </c>
      <c r="AE16" s="34" t="s">
        <v>754</v>
      </c>
      <c r="AF16" s="34" t="s">
        <v>429</v>
      </c>
      <c r="AG16" s="34" t="s">
        <v>755</v>
      </c>
      <c r="AH16" s="34" t="s">
        <v>429</v>
      </c>
      <c r="AI16" s="34" t="s">
        <v>756</v>
      </c>
      <c r="AJ16" s="34" t="s">
        <v>429</v>
      </c>
      <c r="AK16" s="34" t="s">
        <v>757</v>
      </c>
      <c r="AL16" s="34" t="s">
        <v>429</v>
      </c>
      <c r="AM16" s="34" t="s">
        <v>758</v>
      </c>
      <c r="AN16" s="34" t="s">
        <v>429</v>
      </c>
      <c r="AO16" s="34" t="s">
        <v>758</v>
      </c>
      <c r="AP16" s="34" t="s">
        <v>429</v>
      </c>
      <c r="AQ16" s="34" t="s">
        <v>759</v>
      </c>
      <c r="AR16" s="34" t="s">
        <v>429</v>
      </c>
      <c r="AS16" s="34" t="s">
        <v>747</v>
      </c>
      <c r="AT16" s="34" t="s">
        <v>429</v>
      </c>
      <c r="AU16" s="34" t="s">
        <v>760</v>
      </c>
      <c r="AV16" s="34" t="s">
        <v>429</v>
      </c>
      <c r="AW16" s="34" t="s">
        <v>760</v>
      </c>
      <c r="AX16" s="34" t="s">
        <v>429</v>
      </c>
      <c r="AY16" s="34" t="s">
        <v>761</v>
      </c>
      <c r="AZ16" s="34" t="s">
        <v>429</v>
      </c>
      <c r="BA16" s="34" t="s">
        <v>762</v>
      </c>
      <c r="BB16" s="34" t="s">
        <v>429</v>
      </c>
      <c r="BC16" s="34" t="s">
        <v>763</v>
      </c>
      <c r="BD16" s="34" t="s">
        <v>429</v>
      </c>
      <c r="BE16" s="34" t="s">
        <v>764</v>
      </c>
      <c r="BF16" s="34" t="s">
        <v>429</v>
      </c>
      <c r="BG16" s="34" t="s">
        <v>765</v>
      </c>
      <c r="BH16" s="34" t="s">
        <v>429</v>
      </c>
      <c r="BI16" s="34" t="s">
        <v>764</v>
      </c>
      <c r="BJ16" s="34" t="s">
        <v>429</v>
      </c>
      <c r="BK16" s="34" t="s">
        <v>766</v>
      </c>
      <c r="BL16" s="34" t="s">
        <v>429</v>
      </c>
      <c r="BM16" s="34" t="s">
        <v>767</v>
      </c>
      <c r="BN16" s="34" t="s">
        <v>429</v>
      </c>
      <c r="BO16" s="34" t="s">
        <v>768</v>
      </c>
      <c r="BP16" s="34" t="s">
        <v>429</v>
      </c>
      <c r="BQ16" s="34" t="s">
        <v>769</v>
      </c>
      <c r="BR16" s="34" t="s">
        <v>429</v>
      </c>
      <c r="BS16" s="34" t="s">
        <v>770</v>
      </c>
      <c r="BT16" s="34" t="s">
        <v>429</v>
      </c>
      <c r="BU16" s="34" t="s">
        <v>771</v>
      </c>
      <c r="BV16" s="34" t="s">
        <v>429</v>
      </c>
      <c r="BW16" s="34" t="s">
        <v>772</v>
      </c>
      <c r="BX16" s="34" t="s">
        <v>429</v>
      </c>
      <c r="BY16" s="34" t="s">
        <v>773</v>
      </c>
      <c r="BZ16" s="34" t="s">
        <v>429</v>
      </c>
      <c r="CA16" s="34" t="s">
        <v>529</v>
      </c>
    </row>
    <row r="17" ht="30" customHeight="1" spans="1:79">
      <c r="A17" s="36" t="s">
        <v>38</v>
      </c>
      <c r="B17" s="36" t="s">
        <v>39</v>
      </c>
      <c r="C17" s="36" t="s">
        <v>14</v>
      </c>
      <c r="D17" s="36" t="s">
        <v>15</v>
      </c>
      <c r="E17" s="36" t="s">
        <v>21</v>
      </c>
      <c r="F17" s="36" t="s">
        <v>429</v>
      </c>
      <c r="G17" s="36" t="s">
        <v>653</v>
      </c>
      <c r="H17" s="36" t="s">
        <v>429</v>
      </c>
      <c r="I17" s="36" t="s">
        <v>653</v>
      </c>
      <c r="J17" s="36" t="s">
        <v>429</v>
      </c>
      <c r="K17" s="36" t="s">
        <v>653</v>
      </c>
      <c r="L17" s="36" t="s">
        <v>429</v>
      </c>
      <c r="M17" s="36" t="s">
        <v>774</v>
      </c>
      <c r="N17" s="36" t="s">
        <v>429</v>
      </c>
      <c r="O17" s="36" t="s">
        <v>775</v>
      </c>
      <c r="P17" s="36" t="s">
        <v>429</v>
      </c>
      <c r="Q17" s="36" t="s">
        <v>776</v>
      </c>
      <c r="R17" s="36" t="s">
        <v>429</v>
      </c>
      <c r="S17" s="36" t="s">
        <v>777</v>
      </c>
      <c r="T17" s="36" t="s">
        <v>429</v>
      </c>
      <c r="U17" s="36" t="s">
        <v>475</v>
      </c>
      <c r="V17" s="36" t="s">
        <v>429</v>
      </c>
      <c r="W17" s="36" t="s">
        <v>778</v>
      </c>
      <c r="X17" s="36" t="s">
        <v>429</v>
      </c>
      <c r="Y17" s="36" t="s">
        <v>779</v>
      </c>
      <c r="Z17" s="36" t="s">
        <v>429</v>
      </c>
      <c r="AA17" s="36" t="s">
        <v>780</v>
      </c>
      <c r="AB17" s="36" t="s">
        <v>429</v>
      </c>
      <c r="AC17" s="36" t="s">
        <v>780</v>
      </c>
      <c r="AD17" s="36" t="s">
        <v>429</v>
      </c>
      <c r="AE17" s="36" t="s">
        <v>479</v>
      </c>
      <c r="AF17" s="36" t="s">
        <v>429</v>
      </c>
      <c r="AG17" s="36" t="s">
        <v>781</v>
      </c>
      <c r="AH17" s="36" t="s">
        <v>429</v>
      </c>
      <c r="AI17" s="36" t="s">
        <v>782</v>
      </c>
      <c r="AJ17" s="36" t="s">
        <v>429</v>
      </c>
      <c r="AK17" s="36" t="s">
        <v>783</v>
      </c>
      <c r="AL17" s="36" t="s">
        <v>429</v>
      </c>
      <c r="AM17" s="36" t="s">
        <v>483</v>
      </c>
      <c r="AN17" s="36" t="s">
        <v>429</v>
      </c>
      <c r="AO17" s="36" t="s">
        <v>733</v>
      </c>
      <c r="AP17" s="36" t="s">
        <v>429</v>
      </c>
      <c r="AQ17" s="36" t="s">
        <v>484</v>
      </c>
      <c r="AR17" s="36" t="s">
        <v>429</v>
      </c>
      <c r="AS17" s="36" t="s">
        <v>485</v>
      </c>
      <c r="AT17" s="36" t="s">
        <v>429</v>
      </c>
      <c r="AU17" s="36" t="s">
        <v>628</v>
      </c>
      <c r="AV17" s="36" t="s">
        <v>429</v>
      </c>
      <c r="AW17" s="36" t="s">
        <v>629</v>
      </c>
      <c r="AX17" s="36" t="s">
        <v>429</v>
      </c>
      <c r="AY17" s="36" t="s">
        <v>630</v>
      </c>
      <c r="AZ17" s="36" t="s">
        <v>429</v>
      </c>
      <c r="BA17" s="36" t="s">
        <v>634</v>
      </c>
      <c r="BB17" s="36" t="s">
        <v>429</v>
      </c>
      <c r="BC17" s="36" t="s">
        <v>660</v>
      </c>
      <c r="BD17" s="36" t="s">
        <v>429</v>
      </c>
      <c r="BE17" s="36" t="s">
        <v>784</v>
      </c>
      <c r="BF17" s="36" t="s">
        <v>429</v>
      </c>
      <c r="BG17" s="36" t="s">
        <v>785</v>
      </c>
      <c r="BH17" s="36" t="s">
        <v>429</v>
      </c>
      <c r="BI17" s="36" t="s">
        <v>642</v>
      </c>
      <c r="BJ17" s="36" t="s">
        <v>429</v>
      </c>
      <c r="BK17" s="36" t="s">
        <v>663</v>
      </c>
      <c r="BL17" s="36" t="s">
        <v>429</v>
      </c>
      <c r="BM17" s="36" t="s">
        <v>648</v>
      </c>
      <c r="BN17" s="36" t="s">
        <v>429</v>
      </c>
      <c r="BO17" s="36" t="s">
        <v>786</v>
      </c>
      <c r="BP17" s="36" t="s">
        <v>429</v>
      </c>
      <c r="BQ17" s="36" t="s">
        <v>787</v>
      </c>
      <c r="BR17" s="36" t="s">
        <v>429</v>
      </c>
      <c r="BS17" s="36" t="s">
        <v>788</v>
      </c>
      <c r="BT17" s="36" t="s">
        <v>429</v>
      </c>
      <c r="BU17" s="36" t="s">
        <v>789</v>
      </c>
      <c r="BV17" s="36" t="s">
        <v>429</v>
      </c>
      <c r="BW17" s="36" t="s">
        <v>790</v>
      </c>
      <c r="BX17" s="36" t="s">
        <v>429</v>
      </c>
      <c r="BY17" s="36" t="s">
        <v>791</v>
      </c>
      <c r="BZ17" s="36" t="s">
        <v>429</v>
      </c>
      <c r="CA17" s="36" t="s">
        <v>529</v>
      </c>
    </row>
    <row r="18" ht="30" customHeight="1" spans="1:79">
      <c r="A18" s="34" t="s">
        <v>40</v>
      </c>
      <c r="B18" s="34" t="s">
        <v>41</v>
      </c>
      <c r="C18" s="34" t="s">
        <v>14</v>
      </c>
      <c r="D18" s="34" t="s">
        <v>15</v>
      </c>
      <c r="E18" s="34" t="s">
        <v>21</v>
      </c>
      <c r="F18" s="34" t="s">
        <v>429</v>
      </c>
      <c r="G18" s="34" t="s">
        <v>792</v>
      </c>
      <c r="H18" s="34" t="s">
        <v>429</v>
      </c>
      <c r="I18" s="34" t="s">
        <v>793</v>
      </c>
      <c r="J18" s="34" t="s">
        <v>429</v>
      </c>
      <c r="K18" s="34" t="s">
        <v>794</v>
      </c>
      <c r="L18" s="34" t="s">
        <v>429</v>
      </c>
      <c r="M18" s="34" t="s">
        <v>653</v>
      </c>
      <c r="N18" s="34" t="s">
        <v>429</v>
      </c>
      <c r="O18" s="34" t="s">
        <v>794</v>
      </c>
      <c r="P18" s="34" t="s">
        <v>429</v>
      </c>
      <c r="Q18" s="34" t="s">
        <v>795</v>
      </c>
      <c r="R18" s="34" t="s">
        <v>429</v>
      </c>
      <c r="S18" s="34" t="s">
        <v>796</v>
      </c>
      <c r="T18" s="34" t="s">
        <v>429</v>
      </c>
      <c r="U18" s="34" t="s">
        <v>797</v>
      </c>
      <c r="V18" s="34" t="s">
        <v>429</v>
      </c>
      <c r="W18" s="34" t="s">
        <v>798</v>
      </c>
      <c r="X18" s="34" t="s">
        <v>429</v>
      </c>
      <c r="Y18" s="34" t="s">
        <v>799</v>
      </c>
      <c r="Z18" s="34" t="s">
        <v>429</v>
      </c>
      <c r="AA18" s="34" t="s">
        <v>800</v>
      </c>
      <c r="AB18" s="34" t="s">
        <v>429</v>
      </c>
      <c r="AC18" s="34" t="s">
        <v>801</v>
      </c>
      <c r="AD18" s="34" t="s">
        <v>429</v>
      </c>
      <c r="AE18" s="34" t="s">
        <v>802</v>
      </c>
      <c r="AF18" s="34" t="s">
        <v>429</v>
      </c>
      <c r="AG18" s="34" t="s">
        <v>803</v>
      </c>
      <c r="AH18" s="34" t="s">
        <v>429</v>
      </c>
      <c r="AI18" s="34" t="s">
        <v>804</v>
      </c>
      <c r="AJ18" s="34" t="s">
        <v>429</v>
      </c>
      <c r="AK18" s="34" t="s">
        <v>805</v>
      </c>
      <c r="AL18" s="34" t="s">
        <v>429</v>
      </c>
      <c r="AM18" s="34" t="s">
        <v>806</v>
      </c>
      <c r="AN18" s="34" t="s">
        <v>429</v>
      </c>
      <c r="AO18" s="34" t="s">
        <v>558</v>
      </c>
      <c r="AP18" s="34" t="s">
        <v>429</v>
      </c>
      <c r="AQ18" s="34" t="s">
        <v>559</v>
      </c>
      <c r="AR18" s="34" t="s">
        <v>429</v>
      </c>
      <c r="AS18" s="34" t="s">
        <v>807</v>
      </c>
      <c r="AT18" s="34" t="s">
        <v>429</v>
      </c>
      <c r="AU18" s="34" t="s">
        <v>808</v>
      </c>
      <c r="AV18" s="34" t="s">
        <v>429</v>
      </c>
      <c r="AW18" s="34" t="s">
        <v>809</v>
      </c>
      <c r="AX18" s="34" t="s">
        <v>429</v>
      </c>
      <c r="AY18" s="34" t="s">
        <v>630</v>
      </c>
      <c r="AZ18" s="34" t="s">
        <v>429</v>
      </c>
      <c r="BA18" s="34" t="s">
        <v>810</v>
      </c>
      <c r="BB18" s="34" t="s">
        <v>429</v>
      </c>
      <c r="BC18" s="34" t="s">
        <v>811</v>
      </c>
      <c r="BD18" s="34" t="s">
        <v>429</v>
      </c>
      <c r="BE18" s="34" t="s">
        <v>812</v>
      </c>
      <c r="BF18" s="34" t="s">
        <v>429</v>
      </c>
      <c r="BG18" s="34" t="s">
        <v>813</v>
      </c>
      <c r="BH18" s="34" t="s">
        <v>429</v>
      </c>
      <c r="BI18" s="34" t="s">
        <v>814</v>
      </c>
      <c r="BJ18" s="34" t="s">
        <v>429</v>
      </c>
      <c r="BK18" s="34" t="s">
        <v>815</v>
      </c>
      <c r="BL18" s="34" t="s">
        <v>429</v>
      </c>
      <c r="BM18" s="34" t="s">
        <v>816</v>
      </c>
      <c r="BN18" s="34" t="s">
        <v>429</v>
      </c>
      <c r="BO18" s="34" t="s">
        <v>817</v>
      </c>
      <c r="BP18" s="34" t="s">
        <v>429</v>
      </c>
      <c r="BQ18" s="34" t="s">
        <v>818</v>
      </c>
      <c r="BR18" s="34" t="s">
        <v>429</v>
      </c>
      <c r="BS18" s="34" t="s">
        <v>819</v>
      </c>
      <c r="BT18" s="34" t="s">
        <v>429</v>
      </c>
      <c r="BU18" s="34" t="s">
        <v>820</v>
      </c>
      <c r="BV18" s="34" t="s">
        <v>429</v>
      </c>
      <c r="BW18" s="34" t="s">
        <v>488</v>
      </c>
      <c r="BX18" s="34" t="s">
        <v>429</v>
      </c>
      <c r="BY18" s="34" t="s">
        <v>821</v>
      </c>
      <c r="BZ18" s="34" t="s">
        <v>429</v>
      </c>
      <c r="CA18" s="34" t="s">
        <v>822</v>
      </c>
    </row>
    <row r="19" ht="30" customHeight="1" spans="1:79">
      <c r="A19" s="36" t="s">
        <v>42</v>
      </c>
      <c r="B19" s="36" t="s">
        <v>43</v>
      </c>
      <c r="C19" s="36" t="s">
        <v>14</v>
      </c>
      <c r="D19" s="36" t="s">
        <v>15</v>
      </c>
      <c r="E19" s="36" t="s">
        <v>21</v>
      </c>
      <c r="F19" s="36" t="s">
        <v>429</v>
      </c>
      <c r="G19" s="36" t="s">
        <v>823</v>
      </c>
      <c r="H19" s="36" t="s">
        <v>429</v>
      </c>
      <c r="I19" s="36" t="s">
        <v>823</v>
      </c>
      <c r="J19" s="36" t="s">
        <v>429</v>
      </c>
      <c r="K19" s="36" t="s">
        <v>823</v>
      </c>
      <c r="L19" s="36" t="s">
        <v>429</v>
      </c>
      <c r="M19" s="36" t="s">
        <v>824</v>
      </c>
      <c r="N19" s="36" t="s">
        <v>429</v>
      </c>
      <c r="O19" s="36" t="s">
        <v>825</v>
      </c>
      <c r="P19" s="36" t="s">
        <v>429</v>
      </c>
      <c r="Q19" s="36" t="s">
        <v>826</v>
      </c>
      <c r="R19" s="36" t="s">
        <v>429</v>
      </c>
      <c r="S19" s="36" t="s">
        <v>827</v>
      </c>
      <c r="T19" s="36" t="s">
        <v>429</v>
      </c>
      <c r="U19" s="36" t="s">
        <v>474</v>
      </c>
      <c r="V19" s="36" t="s">
        <v>429</v>
      </c>
      <c r="W19" s="36" t="s">
        <v>720</v>
      </c>
      <c r="X19" s="36" t="s">
        <v>429</v>
      </c>
      <c r="Y19" s="36" t="s">
        <v>828</v>
      </c>
      <c r="Z19" s="36" t="s">
        <v>429</v>
      </c>
      <c r="AA19" s="36" t="s">
        <v>829</v>
      </c>
      <c r="AB19" s="36" t="s">
        <v>429</v>
      </c>
      <c r="AC19" s="36" t="s">
        <v>830</v>
      </c>
      <c r="AD19" s="36" t="s">
        <v>429</v>
      </c>
      <c r="AE19" s="36" t="s">
        <v>831</v>
      </c>
      <c r="AF19" s="36" t="s">
        <v>429</v>
      </c>
      <c r="AG19" s="36" t="s">
        <v>832</v>
      </c>
      <c r="AH19" s="36" t="s">
        <v>429</v>
      </c>
      <c r="AI19" s="36" t="s">
        <v>833</v>
      </c>
      <c r="AJ19" s="36" t="s">
        <v>429</v>
      </c>
      <c r="AK19" s="36" t="s">
        <v>834</v>
      </c>
      <c r="AL19" s="36" t="s">
        <v>429</v>
      </c>
      <c r="AM19" s="36" t="s">
        <v>835</v>
      </c>
      <c r="AN19" s="36" t="s">
        <v>429</v>
      </c>
      <c r="AO19" s="36" t="s">
        <v>836</v>
      </c>
      <c r="AP19" s="36" t="s">
        <v>429</v>
      </c>
      <c r="AQ19" s="36" t="s">
        <v>837</v>
      </c>
      <c r="AR19" s="36" t="s">
        <v>429</v>
      </c>
      <c r="AS19" s="36" t="s">
        <v>838</v>
      </c>
      <c r="AT19" s="36" t="s">
        <v>429</v>
      </c>
      <c r="AU19" s="36" t="s">
        <v>839</v>
      </c>
      <c r="AV19" s="36" t="s">
        <v>429</v>
      </c>
      <c r="AW19" s="36" t="s">
        <v>840</v>
      </c>
      <c r="AX19" s="36" t="s">
        <v>429</v>
      </c>
      <c r="AY19" s="36" t="s">
        <v>841</v>
      </c>
      <c r="AZ19" s="36" t="s">
        <v>429</v>
      </c>
      <c r="BA19" s="36" t="s">
        <v>842</v>
      </c>
      <c r="BB19" s="36" t="s">
        <v>429</v>
      </c>
      <c r="BC19" s="36" t="s">
        <v>843</v>
      </c>
      <c r="BD19" s="36" t="s">
        <v>429</v>
      </c>
      <c r="BE19" s="36" t="s">
        <v>844</v>
      </c>
      <c r="BF19" s="36" t="s">
        <v>429</v>
      </c>
      <c r="BG19" s="36" t="s">
        <v>845</v>
      </c>
      <c r="BH19" s="36" t="s">
        <v>429</v>
      </c>
      <c r="BI19" s="36" t="s">
        <v>846</v>
      </c>
      <c r="BJ19" s="36" t="s">
        <v>429</v>
      </c>
      <c r="BK19" s="36" t="s">
        <v>847</v>
      </c>
      <c r="BL19" s="36" t="s">
        <v>429</v>
      </c>
      <c r="BM19" s="36" t="s">
        <v>847</v>
      </c>
      <c r="BN19" s="36" t="s">
        <v>429</v>
      </c>
      <c r="BO19" s="36" t="s">
        <v>848</v>
      </c>
      <c r="BP19" s="36" t="s">
        <v>429</v>
      </c>
      <c r="BQ19" s="36" t="s">
        <v>849</v>
      </c>
      <c r="BR19" s="36" t="s">
        <v>429</v>
      </c>
      <c r="BS19" s="36" t="s">
        <v>850</v>
      </c>
      <c r="BT19" s="36" t="s">
        <v>429</v>
      </c>
      <c r="BU19" s="36" t="s">
        <v>851</v>
      </c>
      <c r="BV19" s="36" t="s">
        <v>429</v>
      </c>
      <c r="BW19" s="36" t="s">
        <v>852</v>
      </c>
      <c r="BX19" s="36" t="s">
        <v>429</v>
      </c>
      <c r="BY19" s="36" t="s">
        <v>853</v>
      </c>
      <c r="BZ19" s="36" t="s">
        <v>429</v>
      </c>
      <c r="CA19" s="36" t="s">
        <v>854</v>
      </c>
    </row>
    <row r="20" ht="30" customHeight="1" spans="1:79">
      <c r="A20" s="34" t="s">
        <v>44</v>
      </c>
      <c r="B20" s="34" t="s">
        <v>45</v>
      </c>
      <c r="C20" s="34" t="s">
        <v>14</v>
      </c>
      <c r="D20" s="34" t="s">
        <v>15</v>
      </c>
      <c r="E20" s="34" t="s">
        <v>21</v>
      </c>
      <c r="F20" s="34" t="s">
        <v>429</v>
      </c>
      <c r="G20" s="34" t="s">
        <v>855</v>
      </c>
      <c r="H20" s="34" t="s">
        <v>429</v>
      </c>
      <c r="I20" s="34" t="s">
        <v>856</v>
      </c>
      <c r="J20" s="34" t="s">
        <v>429</v>
      </c>
      <c r="K20" s="34" t="s">
        <v>856</v>
      </c>
      <c r="L20" s="34" t="s">
        <v>429</v>
      </c>
      <c r="M20" s="34" t="s">
        <v>652</v>
      </c>
      <c r="N20" s="34" t="s">
        <v>429</v>
      </c>
      <c r="O20" s="34" t="s">
        <v>857</v>
      </c>
      <c r="P20" s="34" t="s">
        <v>429</v>
      </c>
      <c r="Q20" s="34" t="s">
        <v>858</v>
      </c>
      <c r="R20" s="34" t="s">
        <v>429</v>
      </c>
      <c r="S20" s="34" t="s">
        <v>859</v>
      </c>
      <c r="T20" s="34" t="s">
        <v>429</v>
      </c>
      <c r="U20" s="34" t="s">
        <v>859</v>
      </c>
      <c r="V20" s="34" t="s">
        <v>429</v>
      </c>
      <c r="W20" s="34" t="s">
        <v>860</v>
      </c>
      <c r="X20" s="34" t="s">
        <v>429</v>
      </c>
      <c r="Y20" s="34" t="s">
        <v>861</v>
      </c>
      <c r="Z20" s="34" t="s">
        <v>429</v>
      </c>
      <c r="AA20" s="34" t="s">
        <v>655</v>
      </c>
      <c r="AB20" s="34" t="s">
        <v>429</v>
      </c>
      <c r="AC20" s="34" t="s">
        <v>656</v>
      </c>
      <c r="AD20" s="34" t="s">
        <v>429</v>
      </c>
      <c r="AE20" s="34" t="s">
        <v>721</v>
      </c>
      <c r="AF20" s="34" t="s">
        <v>429</v>
      </c>
      <c r="AG20" s="34" t="s">
        <v>862</v>
      </c>
      <c r="AH20" s="34" t="s">
        <v>429</v>
      </c>
      <c r="AI20" s="34" t="s">
        <v>863</v>
      </c>
      <c r="AJ20" s="34" t="s">
        <v>429</v>
      </c>
      <c r="AK20" s="34" t="s">
        <v>864</v>
      </c>
      <c r="AL20" s="34" t="s">
        <v>429</v>
      </c>
      <c r="AM20" s="34" t="s">
        <v>865</v>
      </c>
      <c r="AN20" s="34" t="s">
        <v>429</v>
      </c>
      <c r="AO20" s="34" t="s">
        <v>865</v>
      </c>
      <c r="AP20" s="34" t="s">
        <v>429</v>
      </c>
      <c r="AQ20" s="34" t="s">
        <v>866</v>
      </c>
      <c r="AR20" s="34" t="s">
        <v>429</v>
      </c>
      <c r="AS20" s="34" t="s">
        <v>867</v>
      </c>
      <c r="AT20" s="34" t="s">
        <v>429</v>
      </c>
      <c r="AU20" s="34" t="s">
        <v>868</v>
      </c>
      <c r="AV20" s="34" t="s">
        <v>429</v>
      </c>
      <c r="AW20" s="34" t="s">
        <v>869</v>
      </c>
      <c r="AX20" s="34" t="s">
        <v>429</v>
      </c>
      <c r="AY20" s="34" t="s">
        <v>870</v>
      </c>
      <c r="AZ20" s="34" t="s">
        <v>429</v>
      </c>
      <c r="BA20" s="34" t="s">
        <v>870</v>
      </c>
      <c r="BB20" s="34" t="s">
        <v>429</v>
      </c>
      <c r="BC20" s="34" t="s">
        <v>484</v>
      </c>
      <c r="BD20" s="34" t="s">
        <v>429</v>
      </c>
      <c r="BE20" s="34" t="s">
        <v>484</v>
      </c>
      <c r="BF20" s="34" t="s">
        <v>429</v>
      </c>
      <c r="BG20" s="34" t="s">
        <v>871</v>
      </c>
      <c r="BH20" s="34" t="s">
        <v>429</v>
      </c>
      <c r="BI20" s="34" t="s">
        <v>630</v>
      </c>
      <c r="BJ20" s="34" t="s">
        <v>429</v>
      </c>
      <c r="BK20" s="34" t="s">
        <v>872</v>
      </c>
      <c r="BL20" s="34" t="s">
        <v>429</v>
      </c>
      <c r="BM20" s="34" t="s">
        <v>872</v>
      </c>
      <c r="BN20" s="34" t="s">
        <v>429</v>
      </c>
      <c r="BO20" s="34" t="s">
        <v>637</v>
      </c>
      <c r="BP20" s="34" t="s">
        <v>429</v>
      </c>
      <c r="BQ20" s="34" t="s">
        <v>647</v>
      </c>
      <c r="BR20" s="34" t="s">
        <v>429</v>
      </c>
      <c r="BS20" s="34" t="s">
        <v>873</v>
      </c>
      <c r="BT20" s="34" t="s">
        <v>429</v>
      </c>
      <c r="BU20" s="34" t="s">
        <v>489</v>
      </c>
      <c r="BV20" s="34" t="s">
        <v>429</v>
      </c>
      <c r="BW20" s="34" t="s">
        <v>671</v>
      </c>
      <c r="BX20" s="34" t="s">
        <v>429</v>
      </c>
      <c r="BY20" s="34" t="s">
        <v>874</v>
      </c>
      <c r="BZ20" s="34" t="s">
        <v>429</v>
      </c>
      <c r="CA20" s="34" t="s">
        <v>875</v>
      </c>
    </row>
    <row r="21" ht="30" customHeight="1" spans="1:79">
      <c r="A21" s="36" t="s">
        <v>46</v>
      </c>
      <c r="B21" s="36" t="s">
        <v>47</v>
      </c>
      <c r="C21" s="36" t="s">
        <v>14</v>
      </c>
      <c r="D21" s="36" t="s">
        <v>15</v>
      </c>
      <c r="E21" s="36" t="s">
        <v>21</v>
      </c>
      <c r="F21" s="36" t="s">
        <v>429</v>
      </c>
      <c r="G21" s="36" t="s">
        <v>858</v>
      </c>
      <c r="H21" s="36" t="s">
        <v>429</v>
      </c>
      <c r="I21" s="36" t="s">
        <v>876</v>
      </c>
      <c r="J21" s="36" t="s">
        <v>429</v>
      </c>
      <c r="K21" s="36" t="s">
        <v>876</v>
      </c>
      <c r="L21" s="36" t="s">
        <v>429</v>
      </c>
      <c r="M21" s="36" t="s">
        <v>877</v>
      </c>
      <c r="N21" s="36" t="s">
        <v>429</v>
      </c>
      <c r="O21" s="36" t="s">
        <v>878</v>
      </c>
      <c r="P21" s="36" t="s">
        <v>429</v>
      </c>
      <c r="Q21" s="36" t="s">
        <v>465</v>
      </c>
      <c r="R21" s="36" t="s">
        <v>429</v>
      </c>
      <c r="S21" s="36" t="s">
        <v>879</v>
      </c>
      <c r="T21" s="36" t="s">
        <v>429</v>
      </c>
      <c r="U21" s="36" t="s">
        <v>879</v>
      </c>
      <c r="V21" s="36" t="s">
        <v>429</v>
      </c>
      <c r="W21" s="36" t="s">
        <v>880</v>
      </c>
      <c r="X21" s="36" t="s">
        <v>429</v>
      </c>
      <c r="Y21" s="36" t="s">
        <v>881</v>
      </c>
      <c r="Z21" s="36" t="s">
        <v>429</v>
      </c>
      <c r="AA21" s="36" t="s">
        <v>657</v>
      </c>
      <c r="AB21" s="36" t="s">
        <v>429</v>
      </c>
      <c r="AC21" s="36" t="s">
        <v>657</v>
      </c>
      <c r="AD21" s="36" t="s">
        <v>429</v>
      </c>
      <c r="AE21" s="36" t="s">
        <v>882</v>
      </c>
      <c r="AF21" s="36" t="s">
        <v>429</v>
      </c>
      <c r="AG21" s="36" t="s">
        <v>883</v>
      </c>
      <c r="AH21" s="36" t="s">
        <v>429</v>
      </c>
      <c r="AI21" s="36" t="s">
        <v>597</v>
      </c>
      <c r="AJ21" s="36" t="s">
        <v>429</v>
      </c>
      <c r="AK21" s="36" t="s">
        <v>597</v>
      </c>
      <c r="AL21" s="36" t="s">
        <v>429</v>
      </c>
      <c r="AM21" s="36" t="s">
        <v>630</v>
      </c>
      <c r="AN21" s="36" t="s">
        <v>429</v>
      </c>
      <c r="AO21" s="36" t="s">
        <v>884</v>
      </c>
      <c r="AP21" s="36" t="s">
        <v>429</v>
      </c>
      <c r="AQ21" s="36" t="s">
        <v>885</v>
      </c>
      <c r="AR21" s="36" t="s">
        <v>429</v>
      </c>
      <c r="AS21" s="36" t="s">
        <v>886</v>
      </c>
      <c r="AT21" s="36" t="s">
        <v>429</v>
      </c>
      <c r="AU21" s="36" t="s">
        <v>887</v>
      </c>
      <c r="AV21" s="36" t="s">
        <v>429</v>
      </c>
      <c r="AW21" s="36" t="s">
        <v>675</v>
      </c>
      <c r="AX21" s="36" t="s">
        <v>429</v>
      </c>
      <c r="AY21" s="36" t="s">
        <v>888</v>
      </c>
      <c r="AZ21" s="36" t="s">
        <v>429</v>
      </c>
      <c r="BA21" s="36" t="s">
        <v>677</v>
      </c>
      <c r="BB21" s="36" t="s">
        <v>429</v>
      </c>
      <c r="BC21" s="36" t="s">
        <v>889</v>
      </c>
      <c r="BD21" s="36" t="s">
        <v>429</v>
      </c>
      <c r="BE21" s="36" t="s">
        <v>890</v>
      </c>
      <c r="BF21" s="36" t="s">
        <v>429</v>
      </c>
      <c r="BG21" s="36" t="s">
        <v>891</v>
      </c>
      <c r="BH21" s="36" t="s">
        <v>429</v>
      </c>
      <c r="BI21" s="36" t="s">
        <v>891</v>
      </c>
      <c r="BJ21" s="36" t="s">
        <v>429</v>
      </c>
      <c r="BK21" s="36" t="s">
        <v>892</v>
      </c>
      <c r="BL21" s="36" t="s">
        <v>429</v>
      </c>
      <c r="BM21" s="36" t="s">
        <v>893</v>
      </c>
      <c r="BN21" s="36" t="s">
        <v>429</v>
      </c>
      <c r="BO21" s="36" t="s">
        <v>894</v>
      </c>
      <c r="BP21" s="36" t="s">
        <v>429</v>
      </c>
      <c r="BQ21" s="36" t="s">
        <v>895</v>
      </c>
      <c r="BR21" s="36" t="s">
        <v>429</v>
      </c>
      <c r="BS21" s="36" t="s">
        <v>896</v>
      </c>
      <c r="BT21" s="36" t="s">
        <v>429</v>
      </c>
      <c r="BU21" s="36" t="s">
        <v>896</v>
      </c>
      <c r="BV21" s="36" t="s">
        <v>429</v>
      </c>
      <c r="BW21" s="36" t="s">
        <v>897</v>
      </c>
      <c r="BX21" s="36" t="s">
        <v>429</v>
      </c>
      <c r="BY21" s="36" t="s">
        <v>898</v>
      </c>
      <c r="BZ21" s="36" t="s">
        <v>429</v>
      </c>
      <c r="CA21" s="36" t="s">
        <v>899</v>
      </c>
    </row>
    <row r="22" ht="30" customHeight="1" spans="1:79">
      <c r="A22" s="34" t="s">
        <v>48</v>
      </c>
      <c r="B22" s="34" t="s">
        <v>49</v>
      </c>
      <c r="C22" s="34" t="s">
        <v>14</v>
      </c>
      <c r="D22" s="34" t="s">
        <v>15</v>
      </c>
      <c r="E22" s="34" t="s">
        <v>21</v>
      </c>
      <c r="F22" s="34" t="s">
        <v>429</v>
      </c>
      <c r="G22" s="34" t="s">
        <v>900</v>
      </c>
      <c r="H22" s="34" t="s">
        <v>429</v>
      </c>
      <c r="I22" s="34" t="s">
        <v>465</v>
      </c>
      <c r="J22" s="34" t="s">
        <v>429</v>
      </c>
      <c r="K22" s="34" t="s">
        <v>465</v>
      </c>
      <c r="L22" s="34" t="s">
        <v>429</v>
      </c>
      <c r="M22" s="34" t="s">
        <v>824</v>
      </c>
      <c r="N22" s="34" t="s">
        <v>429</v>
      </c>
      <c r="O22" s="34" t="s">
        <v>824</v>
      </c>
      <c r="P22" s="34" t="s">
        <v>429</v>
      </c>
      <c r="Q22" s="34" t="s">
        <v>901</v>
      </c>
      <c r="R22" s="34" t="s">
        <v>429</v>
      </c>
      <c r="S22" s="34" t="s">
        <v>902</v>
      </c>
      <c r="T22" s="34" t="s">
        <v>429</v>
      </c>
      <c r="U22" s="34" t="s">
        <v>903</v>
      </c>
      <c r="V22" s="34" t="s">
        <v>429</v>
      </c>
      <c r="W22" s="34" t="s">
        <v>904</v>
      </c>
      <c r="X22" s="34" t="s">
        <v>429</v>
      </c>
      <c r="Y22" s="34" t="s">
        <v>538</v>
      </c>
      <c r="Z22" s="34" t="s">
        <v>429</v>
      </c>
      <c r="AA22" s="34" t="s">
        <v>905</v>
      </c>
      <c r="AB22" s="34" t="s">
        <v>429</v>
      </c>
      <c r="AC22" s="34" t="s">
        <v>906</v>
      </c>
      <c r="AD22" s="34" t="s">
        <v>429</v>
      </c>
      <c r="AE22" s="34" t="s">
        <v>907</v>
      </c>
      <c r="AF22" s="34" t="s">
        <v>429</v>
      </c>
      <c r="AG22" s="34" t="s">
        <v>908</v>
      </c>
      <c r="AH22" s="34" t="s">
        <v>429</v>
      </c>
      <c r="AI22" s="34" t="s">
        <v>909</v>
      </c>
      <c r="AJ22" s="34" t="s">
        <v>429</v>
      </c>
      <c r="AK22" s="34" t="s">
        <v>655</v>
      </c>
      <c r="AL22" s="34" t="s">
        <v>429</v>
      </c>
      <c r="AM22" s="34" t="s">
        <v>657</v>
      </c>
      <c r="AN22" s="34" t="s">
        <v>429</v>
      </c>
      <c r="AO22" s="34" t="s">
        <v>779</v>
      </c>
      <c r="AP22" s="34" t="s">
        <v>429</v>
      </c>
      <c r="AQ22" s="34" t="s">
        <v>910</v>
      </c>
      <c r="AR22" s="34" t="s">
        <v>429</v>
      </c>
      <c r="AS22" s="34" t="s">
        <v>630</v>
      </c>
      <c r="AT22" s="34" t="s">
        <v>429</v>
      </c>
      <c r="AU22" s="34" t="s">
        <v>632</v>
      </c>
      <c r="AV22" s="34" t="s">
        <v>429</v>
      </c>
      <c r="AW22" s="34" t="s">
        <v>911</v>
      </c>
      <c r="AX22" s="34" t="s">
        <v>429</v>
      </c>
      <c r="AY22" s="34" t="s">
        <v>912</v>
      </c>
      <c r="AZ22" s="34" t="s">
        <v>429</v>
      </c>
      <c r="BA22" s="34" t="s">
        <v>913</v>
      </c>
      <c r="BB22" s="34" t="s">
        <v>429</v>
      </c>
      <c r="BC22" s="34" t="s">
        <v>914</v>
      </c>
      <c r="BD22" s="34" t="s">
        <v>429</v>
      </c>
      <c r="BE22" s="34" t="s">
        <v>915</v>
      </c>
      <c r="BF22" s="34" t="s">
        <v>429</v>
      </c>
      <c r="BG22" s="34" t="s">
        <v>916</v>
      </c>
      <c r="BH22" s="34" t="s">
        <v>429</v>
      </c>
      <c r="BI22" s="34" t="s">
        <v>917</v>
      </c>
      <c r="BJ22" s="34" t="s">
        <v>429</v>
      </c>
      <c r="BK22" s="34" t="s">
        <v>918</v>
      </c>
      <c r="BL22" s="34" t="s">
        <v>429</v>
      </c>
      <c r="BM22" s="34" t="s">
        <v>919</v>
      </c>
      <c r="BN22" s="34" t="s">
        <v>429</v>
      </c>
      <c r="BO22" s="34" t="s">
        <v>920</v>
      </c>
      <c r="BP22" s="34" t="s">
        <v>429</v>
      </c>
      <c r="BQ22" s="34" t="s">
        <v>921</v>
      </c>
      <c r="BR22" s="34" t="s">
        <v>429</v>
      </c>
      <c r="BS22" s="34" t="s">
        <v>922</v>
      </c>
      <c r="BT22" s="34" t="s">
        <v>429</v>
      </c>
      <c r="BU22" s="34" t="s">
        <v>923</v>
      </c>
      <c r="BV22" s="34" t="s">
        <v>429</v>
      </c>
      <c r="BW22" s="34" t="s">
        <v>924</v>
      </c>
      <c r="BX22" s="34" t="s">
        <v>429</v>
      </c>
      <c r="BY22" s="34" t="s">
        <v>898</v>
      </c>
      <c r="BZ22" s="34" t="s">
        <v>429</v>
      </c>
      <c r="CA22" s="34" t="s">
        <v>925</v>
      </c>
    </row>
    <row r="23" ht="30" customHeight="1" spans="1:79">
      <c r="A23" s="36" t="s">
        <v>50</v>
      </c>
      <c r="B23" s="36" t="s">
        <v>51</v>
      </c>
      <c r="C23" s="36" t="s">
        <v>14</v>
      </c>
      <c r="D23" s="36" t="s">
        <v>15</v>
      </c>
      <c r="E23" s="36" t="s">
        <v>21</v>
      </c>
      <c r="F23" s="36" t="s">
        <v>429</v>
      </c>
      <c r="G23" s="36" t="s">
        <v>926</v>
      </c>
      <c r="H23" s="36" t="s">
        <v>429</v>
      </c>
      <c r="I23" s="36" t="s">
        <v>927</v>
      </c>
      <c r="J23" s="36" t="s">
        <v>429</v>
      </c>
      <c r="K23" s="36" t="s">
        <v>927</v>
      </c>
      <c r="L23" s="36" t="s">
        <v>429</v>
      </c>
      <c r="M23" s="36" t="s">
        <v>928</v>
      </c>
      <c r="N23" s="36" t="s">
        <v>429</v>
      </c>
      <c r="O23" s="36" t="s">
        <v>928</v>
      </c>
      <c r="P23" s="36" t="s">
        <v>429</v>
      </c>
      <c r="Q23" s="36" t="s">
        <v>929</v>
      </c>
      <c r="R23" s="36" t="s">
        <v>429</v>
      </c>
      <c r="S23" s="36" t="s">
        <v>930</v>
      </c>
      <c r="T23" s="36" t="s">
        <v>429</v>
      </c>
      <c r="U23" s="36" t="s">
        <v>931</v>
      </c>
      <c r="V23" s="36" t="s">
        <v>429</v>
      </c>
      <c r="W23" s="36" t="s">
        <v>932</v>
      </c>
      <c r="X23" s="36" t="s">
        <v>429</v>
      </c>
      <c r="Y23" s="36" t="s">
        <v>932</v>
      </c>
      <c r="Z23" s="36" t="s">
        <v>429</v>
      </c>
      <c r="AA23" s="36" t="s">
        <v>933</v>
      </c>
      <c r="AB23" s="36" t="s">
        <v>429</v>
      </c>
      <c r="AC23" s="36" t="s">
        <v>934</v>
      </c>
      <c r="AD23" s="36" t="s">
        <v>429</v>
      </c>
      <c r="AE23" s="36" t="s">
        <v>935</v>
      </c>
      <c r="AF23" s="36" t="s">
        <v>429</v>
      </c>
      <c r="AG23" s="36" t="s">
        <v>936</v>
      </c>
      <c r="AH23" s="36" t="s">
        <v>429</v>
      </c>
      <c r="AI23" s="36" t="s">
        <v>937</v>
      </c>
      <c r="AJ23" s="36" t="s">
        <v>429</v>
      </c>
      <c r="AK23" s="36" t="s">
        <v>938</v>
      </c>
      <c r="AL23" s="36" t="s">
        <v>429</v>
      </c>
      <c r="AM23" s="36" t="s">
        <v>939</v>
      </c>
      <c r="AN23" s="36" t="s">
        <v>429</v>
      </c>
      <c r="AO23" s="36" t="s">
        <v>940</v>
      </c>
      <c r="AP23" s="36" t="s">
        <v>429</v>
      </c>
      <c r="AQ23" s="36" t="s">
        <v>941</v>
      </c>
      <c r="AR23" s="36" t="s">
        <v>429</v>
      </c>
      <c r="AS23" s="36" t="s">
        <v>942</v>
      </c>
      <c r="AT23" s="36" t="s">
        <v>429</v>
      </c>
      <c r="AU23" s="36" t="s">
        <v>943</v>
      </c>
      <c r="AV23" s="36" t="s">
        <v>429</v>
      </c>
      <c r="AW23" s="36" t="s">
        <v>944</v>
      </c>
      <c r="AX23" s="36" t="s">
        <v>429</v>
      </c>
      <c r="AY23" s="36" t="s">
        <v>945</v>
      </c>
      <c r="AZ23" s="36" t="s">
        <v>429</v>
      </c>
      <c r="BA23" s="36" t="s">
        <v>946</v>
      </c>
      <c r="BB23" s="36" t="s">
        <v>429</v>
      </c>
      <c r="BC23" s="36" t="s">
        <v>947</v>
      </c>
      <c r="BD23" s="36" t="s">
        <v>429</v>
      </c>
      <c r="BE23" s="36" t="s">
        <v>947</v>
      </c>
      <c r="BF23" s="36" t="s">
        <v>429</v>
      </c>
      <c r="BG23" s="36" t="s">
        <v>948</v>
      </c>
      <c r="BH23" s="36" t="s">
        <v>429</v>
      </c>
      <c r="BI23" s="36" t="s">
        <v>949</v>
      </c>
      <c r="BJ23" s="36" t="s">
        <v>429</v>
      </c>
      <c r="BK23" s="36" t="s">
        <v>950</v>
      </c>
      <c r="BL23" s="36" t="s">
        <v>429</v>
      </c>
      <c r="BM23" s="36" t="s">
        <v>950</v>
      </c>
      <c r="BN23" s="36" t="s">
        <v>429</v>
      </c>
      <c r="BO23" s="36" t="s">
        <v>951</v>
      </c>
      <c r="BP23" s="36" t="s">
        <v>429</v>
      </c>
      <c r="BQ23" s="36" t="s">
        <v>952</v>
      </c>
      <c r="BR23" s="36" t="s">
        <v>429</v>
      </c>
      <c r="BS23" s="36" t="s">
        <v>953</v>
      </c>
      <c r="BT23" s="36" t="s">
        <v>429</v>
      </c>
      <c r="BU23" s="36" t="s">
        <v>953</v>
      </c>
      <c r="BV23" s="36" t="s">
        <v>429</v>
      </c>
      <c r="BW23" s="36" t="s">
        <v>954</v>
      </c>
      <c r="BX23" s="36" t="s">
        <v>429</v>
      </c>
      <c r="BY23" s="36" t="s">
        <v>955</v>
      </c>
      <c r="BZ23" s="36" t="s">
        <v>429</v>
      </c>
      <c r="CA23" s="36" t="s">
        <v>956</v>
      </c>
    </row>
    <row r="24" ht="30" customHeight="1" spans="1:79">
      <c r="A24" s="34" t="s">
        <v>52</v>
      </c>
      <c r="B24" s="34" t="s">
        <v>53</v>
      </c>
      <c r="C24" s="34" t="s">
        <v>14</v>
      </c>
      <c r="D24" s="34" t="s">
        <v>15</v>
      </c>
      <c r="E24" s="34" t="s">
        <v>21</v>
      </c>
      <c r="F24" s="34" t="s">
        <v>429</v>
      </c>
      <c r="G24" s="34" t="s">
        <v>957</v>
      </c>
      <c r="H24" s="34" t="s">
        <v>429</v>
      </c>
      <c r="I24" s="34" t="s">
        <v>957</v>
      </c>
      <c r="J24" s="34" t="s">
        <v>429</v>
      </c>
      <c r="K24" s="34" t="s">
        <v>957</v>
      </c>
      <c r="L24" s="34" t="s">
        <v>429</v>
      </c>
      <c r="M24" s="34" t="s">
        <v>958</v>
      </c>
      <c r="N24" s="34" t="s">
        <v>429</v>
      </c>
      <c r="O24" s="34" t="s">
        <v>959</v>
      </c>
      <c r="P24" s="34" t="s">
        <v>429</v>
      </c>
      <c r="Q24" s="34" t="s">
        <v>960</v>
      </c>
      <c r="R24" s="34" t="s">
        <v>429</v>
      </c>
      <c r="S24" s="34" t="s">
        <v>961</v>
      </c>
      <c r="T24" s="34" t="s">
        <v>429</v>
      </c>
      <c r="U24" s="34" t="s">
        <v>962</v>
      </c>
      <c r="V24" s="34" t="s">
        <v>429</v>
      </c>
      <c r="W24" s="34" t="s">
        <v>963</v>
      </c>
      <c r="X24" s="34" t="s">
        <v>429</v>
      </c>
      <c r="Y24" s="34" t="s">
        <v>964</v>
      </c>
      <c r="Z24" s="34" t="s">
        <v>429</v>
      </c>
      <c r="AA24" s="34" t="s">
        <v>824</v>
      </c>
      <c r="AB24" s="34" t="s">
        <v>429</v>
      </c>
      <c r="AC24" s="34" t="s">
        <v>965</v>
      </c>
      <c r="AD24" s="34" t="s">
        <v>429</v>
      </c>
      <c r="AE24" s="34" t="s">
        <v>966</v>
      </c>
      <c r="AF24" s="34" t="s">
        <v>429</v>
      </c>
      <c r="AG24" s="34" t="s">
        <v>474</v>
      </c>
      <c r="AH24" s="34" t="s">
        <v>429</v>
      </c>
      <c r="AI24" s="34" t="s">
        <v>656</v>
      </c>
      <c r="AJ24" s="34" t="s">
        <v>429</v>
      </c>
      <c r="AK24" s="34" t="s">
        <v>656</v>
      </c>
      <c r="AL24" s="34" t="s">
        <v>429</v>
      </c>
      <c r="AM24" s="34" t="s">
        <v>967</v>
      </c>
      <c r="AN24" s="34" t="s">
        <v>429</v>
      </c>
      <c r="AO24" s="34" t="s">
        <v>910</v>
      </c>
      <c r="AP24" s="34" t="s">
        <v>429</v>
      </c>
      <c r="AQ24" s="34" t="s">
        <v>968</v>
      </c>
      <c r="AR24" s="34" t="s">
        <v>429</v>
      </c>
      <c r="AS24" s="34" t="s">
        <v>969</v>
      </c>
      <c r="AT24" s="34" t="s">
        <v>429</v>
      </c>
      <c r="AU24" s="34" t="s">
        <v>970</v>
      </c>
      <c r="AV24" s="34" t="s">
        <v>429</v>
      </c>
      <c r="AW24" s="34" t="s">
        <v>626</v>
      </c>
      <c r="AX24" s="34" t="s">
        <v>429</v>
      </c>
      <c r="AY24" s="34" t="s">
        <v>971</v>
      </c>
      <c r="AZ24" s="34" t="s">
        <v>429</v>
      </c>
      <c r="BA24" s="34" t="s">
        <v>499</v>
      </c>
      <c r="BB24" s="34" t="s">
        <v>429</v>
      </c>
      <c r="BC24" s="34" t="s">
        <v>972</v>
      </c>
      <c r="BD24" s="34" t="s">
        <v>429</v>
      </c>
      <c r="BE24" s="34" t="s">
        <v>973</v>
      </c>
      <c r="BF24" s="34" t="s">
        <v>429</v>
      </c>
      <c r="BG24" s="34" t="s">
        <v>974</v>
      </c>
      <c r="BH24" s="34" t="s">
        <v>429</v>
      </c>
      <c r="BI24" s="34" t="s">
        <v>975</v>
      </c>
      <c r="BJ24" s="34" t="s">
        <v>429</v>
      </c>
      <c r="BK24" s="34" t="s">
        <v>976</v>
      </c>
      <c r="BL24" s="34" t="s">
        <v>429</v>
      </c>
      <c r="BM24" s="34" t="s">
        <v>977</v>
      </c>
      <c r="BN24" s="34" t="s">
        <v>429</v>
      </c>
      <c r="BO24" s="34" t="s">
        <v>978</v>
      </c>
      <c r="BP24" s="34" t="s">
        <v>429</v>
      </c>
      <c r="BQ24" s="34" t="s">
        <v>979</v>
      </c>
      <c r="BR24" s="34" t="s">
        <v>429</v>
      </c>
      <c r="BS24" s="34" t="s">
        <v>980</v>
      </c>
      <c r="BT24" s="34" t="s">
        <v>429</v>
      </c>
      <c r="BU24" s="34" t="s">
        <v>981</v>
      </c>
      <c r="BV24" s="34" t="s">
        <v>429</v>
      </c>
      <c r="BW24" s="34" t="s">
        <v>982</v>
      </c>
      <c r="BX24" s="34" t="s">
        <v>429</v>
      </c>
      <c r="BY24" s="34" t="s">
        <v>983</v>
      </c>
      <c r="BZ24" s="34" t="s">
        <v>429</v>
      </c>
      <c r="CA24" s="34" t="s">
        <v>984</v>
      </c>
    </row>
    <row r="25" ht="30" customHeight="1" spans="1:79">
      <c r="A25" s="36" t="s">
        <v>54</v>
      </c>
      <c r="B25" s="36" t="s">
        <v>55</v>
      </c>
      <c r="C25" s="36" t="s">
        <v>14</v>
      </c>
      <c r="D25" s="36" t="s">
        <v>15</v>
      </c>
      <c r="E25" s="36" t="s">
        <v>21</v>
      </c>
      <c r="F25" s="36" t="s">
        <v>429</v>
      </c>
      <c r="G25" s="36" t="s">
        <v>985</v>
      </c>
      <c r="H25" s="36" t="s">
        <v>429</v>
      </c>
      <c r="I25" s="36" t="s">
        <v>986</v>
      </c>
      <c r="J25" s="36" t="s">
        <v>429</v>
      </c>
      <c r="K25" s="36" t="s">
        <v>987</v>
      </c>
      <c r="L25" s="36" t="s">
        <v>429</v>
      </c>
      <c r="M25" s="36" t="s">
        <v>988</v>
      </c>
      <c r="N25" s="36" t="s">
        <v>429</v>
      </c>
      <c r="O25" s="36" t="s">
        <v>989</v>
      </c>
      <c r="P25" s="36" t="s">
        <v>429</v>
      </c>
      <c r="Q25" s="36" t="s">
        <v>990</v>
      </c>
      <c r="R25" s="36" t="s">
        <v>429</v>
      </c>
      <c r="S25" s="36" t="s">
        <v>991</v>
      </c>
      <c r="T25" s="36" t="s">
        <v>429</v>
      </c>
      <c r="U25" s="36" t="s">
        <v>992</v>
      </c>
      <c r="V25" s="36" t="s">
        <v>429</v>
      </c>
      <c r="W25" s="36" t="s">
        <v>993</v>
      </c>
      <c r="X25" s="36" t="s">
        <v>429</v>
      </c>
      <c r="Y25" s="36" t="s">
        <v>994</v>
      </c>
      <c r="Z25" s="36" t="s">
        <v>429</v>
      </c>
      <c r="AA25" s="36" t="s">
        <v>995</v>
      </c>
      <c r="AB25" s="36" t="s">
        <v>429</v>
      </c>
      <c r="AC25" s="36" t="s">
        <v>996</v>
      </c>
      <c r="AD25" s="36" t="s">
        <v>429</v>
      </c>
      <c r="AE25" s="36" t="s">
        <v>997</v>
      </c>
      <c r="AF25" s="36" t="s">
        <v>429</v>
      </c>
      <c r="AG25" s="36" t="s">
        <v>998</v>
      </c>
      <c r="AH25" s="36" t="s">
        <v>429</v>
      </c>
      <c r="AI25" s="36" t="s">
        <v>999</v>
      </c>
      <c r="AJ25" s="36" t="s">
        <v>429</v>
      </c>
      <c r="AK25" s="36" t="s">
        <v>1000</v>
      </c>
      <c r="AL25" s="36" t="s">
        <v>429</v>
      </c>
      <c r="AM25" s="36" t="s">
        <v>1001</v>
      </c>
      <c r="AN25" s="36" t="s">
        <v>429</v>
      </c>
      <c r="AO25" s="36" t="s">
        <v>1002</v>
      </c>
      <c r="AP25" s="36" t="s">
        <v>429</v>
      </c>
      <c r="AQ25" s="36" t="s">
        <v>1003</v>
      </c>
      <c r="AR25" s="36" t="s">
        <v>429</v>
      </c>
      <c r="AS25" s="36" t="s">
        <v>1004</v>
      </c>
      <c r="AT25" s="36" t="s">
        <v>429</v>
      </c>
      <c r="AU25" s="36" t="s">
        <v>1005</v>
      </c>
      <c r="AV25" s="36" t="s">
        <v>429</v>
      </c>
      <c r="AW25" s="36" t="s">
        <v>1006</v>
      </c>
      <c r="AX25" s="36" t="s">
        <v>429</v>
      </c>
      <c r="AY25" s="36" t="s">
        <v>1007</v>
      </c>
      <c r="AZ25" s="36" t="s">
        <v>429</v>
      </c>
      <c r="BA25" s="36" t="s">
        <v>1007</v>
      </c>
      <c r="BB25" s="36" t="s">
        <v>429</v>
      </c>
      <c r="BC25" s="36" t="s">
        <v>1008</v>
      </c>
      <c r="BD25" s="36" t="s">
        <v>429</v>
      </c>
      <c r="BE25" s="36" t="s">
        <v>1009</v>
      </c>
      <c r="BF25" s="36" t="s">
        <v>429</v>
      </c>
      <c r="BG25" s="36" t="s">
        <v>1010</v>
      </c>
      <c r="BH25" s="36" t="s">
        <v>429</v>
      </c>
      <c r="BI25" s="36" t="s">
        <v>1011</v>
      </c>
      <c r="BJ25" s="36" t="s">
        <v>429</v>
      </c>
      <c r="BK25" s="36" t="s">
        <v>1012</v>
      </c>
      <c r="BL25" s="36" t="s">
        <v>429</v>
      </c>
      <c r="BM25" s="36" t="s">
        <v>1013</v>
      </c>
      <c r="BN25" s="36" t="s">
        <v>429</v>
      </c>
      <c r="BO25" s="36" t="s">
        <v>1014</v>
      </c>
      <c r="BP25" s="36" t="s">
        <v>429</v>
      </c>
      <c r="BQ25" s="36" t="s">
        <v>1015</v>
      </c>
      <c r="BR25" s="36" t="s">
        <v>429</v>
      </c>
      <c r="BS25" s="36" t="s">
        <v>1016</v>
      </c>
      <c r="BT25" s="36" t="s">
        <v>429</v>
      </c>
      <c r="BU25" s="36" t="s">
        <v>1017</v>
      </c>
      <c r="BV25" s="36" t="s">
        <v>429</v>
      </c>
      <c r="BW25" s="36" t="s">
        <v>1018</v>
      </c>
      <c r="BX25" s="36" t="s">
        <v>429</v>
      </c>
      <c r="BY25" s="36" t="s">
        <v>853</v>
      </c>
      <c r="BZ25" s="36" t="s">
        <v>429</v>
      </c>
      <c r="CA25" s="36" t="s">
        <v>464</v>
      </c>
    </row>
    <row r="26" ht="30" customHeight="1" spans="1:79">
      <c r="A26" s="34" t="s">
        <v>56</v>
      </c>
      <c r="B26" s="34" t="s">
        <v>57</v>
      </c>
      <c r="C26" s="34" t="s">
        <v>14</v>
      </c>
      <c r="D26" s="34" t="s">
        <v>15</v>
      </c>
      <c r="E26" s="34" t="s">
        <v>21</v>
      </c>
      <c r="F26" s="34" t="s">
        <v>429</v>
      </c>
      <c r="G26" s="34" t="s">
        <v>1019</v>
      </c>
      <c r="H26" s="34" t="s">
        <v>429</v>
      </c>
      <c r="I26" s="34" t="s">
        <v>1019</v>
      </c>
      <c r="J26" s="34" t="s">
        <v>429</v>
      </c>
      <c r="K26" s="34" t="s">
        <v>1019</v>
      </c>
      <c r="L26" s="34" t="s">
        <v>429</v>
      </c>
      <c r="M26" s="34" t="s">
        <v>1020</v>
      </c>
      <c r="N26" s="34" t="s">
        <v>429</v>
      </c>
      <c r="O26" s="34" t="s">
        <v>1020</v>
      </c>
      <c r="P26" s="34" t="s">
        <v>429</v>
      </c>
      <c r="Q26" s="34" t="s">
        <v>824</v>
      </c>
      <c r="R26" s="34" t="s">
        <v>429</v>
      </c>
      <c r="S26" s="34" t="s">
        <v>1021</v>
      </c>
      <c r="T26" s="34" t="s">
        <v>429</v>
      </c>
      <c r="U26" s="34" t="s">
        <v>777</v>
      </c>
      <c r="V26" s="34" t="s">
        <v>429</v>
      </c>
      <c r="W26" s="34" t="s">
        <v>1022</v>
      </c>
      <c r="X26" s="34" t="s">
        <v>429</v>
      </c>
      <c r="Y26" s="34" t="s">
        <v>1023</v>
      </c>
      <c r="Z26" s="34" t="s">
        <v>429</v>
      </c>
      <c r="AA26" s="34" t="s">
        <v>654</v>
      </c>
      <c r="AB26" s="34" t="s">
        <v>429</v>
      </c>
      <c r="AC26" s="34" t="s">
        <v>1024</v>
      </c>
      <c r="AD26" s="34" t="s">
        <v>429</v>
      </c>
      <c r="AE26" s="34" t="s">
        <v>1025</v>
      </c>
      <c r="AF26" s="34" t="s">
        <v>429</v>
      </c>
      <c r="AG26" s="34" t="s">
        <v>1026</v>
      </c>
      <c r="AH26" s="34" t="s">
        <v>429</v>
      </c>
      <c r="AI26" s="34" t="s">
        <v>1027</v>
      </c>
      <c r="AJ26" s="34" t="s">
        <v>429</v>
      </c>
      <c r="AK26" s="34" t="s">
        <v>1028</v>
      </c>
      <c r="AL26" s="34" t="s">
        <v>429</v>
      </c>
      <c r="AM26" s="34" t="s">
        <v>669</v>
      </c>
      <c r="AN26" s="34" t="s">
        <v>429</v>
      </c>
      <c r="AO26" s="34" t="s">
        <v>673</v>
      </c>
      <c r="AP26" s="34" t="s">
        <v>429</v>
      </c>
      <c r="AQ26" s="34" t="s">
        <v>1029</v>
      </c>
      <c r="AR26" s="34" t="s">
        <v>429</v>
      </c>
      <c r="AS26" s="34" t="s">
        <v>1030</v>
      </c>
      <c r="AT26" s="34" t="s">
        <v>429</v>
      </c>
      <c r="AU26" s="34" t="s">
        <v>1031</v>
      </c>
      <c r="AV26" s="34" t="s">
        <v>429</v>
      </c>
      <c r="AW26" s="34" t="s">
        <v>677</v>
      </c>
      <c r="AX26" s="34" t="s">
        <v>429</v>
      </c>
      <c r="AY26" s="34" t="s">
        <v>678</v>
      </c>
      <c r="AZ26" s="34" t="s">
        <v>429</v>
      </c>
      <c r="BA26" s="34" t="s">
        <v>1032</v>
      </c>
      <c r="BB26" s="34" t="s">
        <v>429</v>
      </c>
      <c r="BC26" s="34" t="s">
        <v>1033</v>
      </c>
      <c r="BD26" s="34" t="s">
        <v>429</v>
      </c>
      <c r="BE26" s="34" t="s">
        <v>1034</v>
      </c>
      <c r="BF26" s="34" t="s">
        <v>429</v>
      </c>
      <c r="BG26" s="34" t="s">
        <v>1035</v>
      </c>
      <c r="BH26" s="34" t="s">
        <v>429</v>
      </c>
      <c r="BI26" s="34" t="s">
        <v>1036</v>
      </c>
      <c r="BJ26" s="34" t="s">
        <v>429</v>
      </c>
      <c r="BK26" s="34" t="s">
        <v>816</v>
      </c>
      <c r="BL26" s="34" t="s">
        <v>429</v>
      </c>
      <c r="BM26" s="34" t="s">
        <v>1037</v>
      </c>
      <c r="BN26" s="34" t="s">
        <v>429</v>
      </c>
      <c r="BO26" s="34" t="s">
        <v>1038</v>
      </c>
      <c r="BP26" s="34" t="s">
        <v>429</v>
      </c>
      <c r="BQ26" s="34" t="s">
        <v>1039</v>
      </c>
      <c r="BR26" s="34" t="s">
        <v>429</v>
      </c>
      <c r="BS26" s="34" t="s">
        <v>1040</v>
      </c>
      <c r="BT26" s="34" t="s">
        <v>429</v>
      </c>
      <c r="BU26" s="34" t="s">
        <v>1041</v>
      </c>
      <c r="BV26" s="34" t="s">
        <v>429</v>
      </c>
      <c r="BW26" s="34" t="s">
        <v>1042</v>
      </c>
      <c r="BX26" s="34" t="s">
        <v>429</v>
      </c>
      <c r="BY26" s="34" t="s">
        <v>1043</v>
      </c>
      <c r="BZ26" s="34" t="s">
        <v>429</v>
      </c>
      <c r="CA26" s="34" t="s">
        <v>1044</v>
      </c>
    </row>
    <row r="27" ht="30" customHeight="1" spans="1:79">
      <c r="A27" s="36" t="s">
        <v>58</v>
      </c>
      <c r="B27" s="36" t="s">
        <v>59</v>
      </c>
      <c r="C27" s="36" t="s">
        <v>14</v>
      </c>
      <c r="D27" s="36" t="s">
        <v>15</v>
      </c>
      <c r="E27" s="36" t="s">
        <v>21</v>
      </c>
      <c r="F27" s="36" t="s">
        <v>429</v>
      </c>
      <c r="G27" s="36" t="s">
        <v>901</v>
      </c>
      <c r="H27" s="36" t="s">
        <v>429</v>
      </c>
      <c r="I27" s="36" t="s">
        <v>466</v>
      </c>
      <c r="J27" s="36" t="s">
        <v>429</v>
      </c>
      <c r="K27" s="36" t="s">
        <v>901</v>
      </c>
      <c r="L27" s="36" t="s">
        <v>429</v>
      </c>
      <c r="M27" s="36" t="s">
        <v>1045</v>
      </c>
      <c r="N27" s="36" t="s">
        <v>429</v>
      </c>
      <c r="O27" s="36" t="s">
        <v>466</v>
      </c>
      <c r="P27" s="36" t="s">
        <v>429</v>
      </c>
      <c r="Q27" s="36" t="s">
        <v>466</v>
      </c>
      <c r="R27" s="36" t="s">
        <v>429</v>
      </c>
      <c r="S27" s="36" t="s">
        <v>1046</v>
      </c>
      <c r="T27" s="36" t="s">
        <v>429</v>
      </c>
      <c r="U27" s="36" t="s">
        <v>1047</v>
      </c>
      <c r="V27" s="36" t="s">
        <v>429</v>
      </c>
      <c r="W27" s="36" t="s">
        <v>1048</v>
      </c>
      <c r="X27" s="36" t="s">
        <v>429</v>
      </c>
      <c r="Y27" s="36" t="s">
        <v>1049</v>
      </c>
      <c r="Z27" s="36" t="s">
        <v>429</v>
      </c>
      <c r="AA27" s="36" t="s">
        <v>1050</v>
      </c>
      <c r="AB27" s="36" t="s">
        <v>429</v>
      </c>
      <c r="AC27" s="36" t="s">
        <v>1051</v>
      </c>
      <c r="AD27" s="36" t="s">
        <v>429</v>
      </c>
      <c r="AE27" s="36" t="s">
        <v>1052</v>
      </c>
      <c r="AF27" s="36" t="s">
        <v>429</v>
      </c>
      <c r="AG27" s="36" t="s">
        <v>1053</v>
      </c>
      <c r="AH27" s="36" t="s">
        <v>429</v>
      </c>
      <c r="AI27" s="36" t="s">
        <v>1054</v>
      </c>
      <c r="AJ27" s="36" t="s">
        <v>429</v>
      </c>
      <c r="AK27" s="36" t="s">
        <v>723</v>
      </c>
      <c r="AL27" s="36" t="s">
        <v>429</v>
      </c>
      <c r="AM27" s="36" t="s">
        <v>1055</v>
      </c>
      <c r="AN27" s="36" t="s">
        <v>429</v>
      </c>
      <c r="AO27" s="36" t="s">
        <v>1056</v>
      </c>
      <c r="AP27" s="36" t="s">
        <v>429</v>
      </c>
      <c r="AQ27" s="36" t="s">
        <v>1057</v>
      </c>
      <c r="AR27" s="36" t="s">
        <v>429</v>
      </c>
      <c r="AS27" s="36" t="s">
        <v>1058</v>
      </c>
      <c r="AT27" s="36" t="s">
        <v>429</v>
      </c>
      <c r="AU27" s="36" t="s">
        <v>1059</v>
      </c>
      <c r="AV27" s="36" t="s">
        <v>429</v>
      </c>
      <c r="AW27" s="36" t="s">
        <v>1060</v>
      </c>
      <c r="AX27" s="36" t="s">
        <v>429</v>
      </c>
      <c r="AY27" s="36" t="s">
        <v>1061</v>
      </c>
      <c r="AZ27" s="36" t="s">
        <v>429</v>
      </c>
      <c r="BA27" s="36" t="s">
        <v>1062</v>
      </c>
      <c r="BB27" s="36" t="s">
        <v>429</v>
      </c>
      <c r="BC27" s="36" t="s">
        <v>1063</v>
      </c>
      <c r="BD27" s="36" t="s">
        <v>429</v>
      </c>
      <c r="BE27" s="36" t="s">
        <v>1064</v>
      </c>
      <c r="BF27" s="36" t="s">
        <v>429</v>
      </c>
      <c r="BG27" s="36" t="s">
        <v>1065</v>
      </c>
      <c r="BH27" s="36" t="s">
        <v>429</v>
      </c>
      <c r="BI27" s="36" t="s">
        <v>1066</v>
      </c>
      <c r="BJ27" s="36" t="s">
        <v>429</v>
      </c>
      <c r="BK27" s="36" t="s">
        <v>1067</v>
      </c>
      <c r="BL27" s="36" t="s">
        <v>429</v>
      </c>
      <c r="BM27" s="36" t="s">
        <v>1068</v>
      </c>
      <c r="BN27" s="36" t="s">
        <v>429</v>
      </c>
      <c r="BO27" s="36" t="s">
        <v>1069</v>
      </c>
      <c r="BP27" s="36" t="s">
        <v>429</v>
      </c>
      <c r="BQ27" s="36" t="s">
        <v>1070</v>
      </c>
      <c r="BR27" s="36" t="s">
        <v>429</v>
      </c>
      <c r="BS27" s="36" t="s">
        <v>1071</v>
      </c>
      <c r="BT27" s="36" t="s">
        <v>429</v>
      </c>
      <c r="BU27" s="36" t="s">
        <v>1072</v>
      </c>
      <c r="BV27" s="36" t="s">
        <v>429</v>
      </c>
      <c r="BW27" s="36" t="s">
        <v>1073</v>
      </c>
      <c r="BX27" s="36" t="s">
        <v>429</v>
      </c>
      <c r="BY27" s="36" t="s">
        <v>983</v>
      </c>
      <c r="BZ27" s="36" t="s">
        <v>429</v>
      </c>
      <c r="CA27" s="36" t="s">
        <v>565</v>
      </c>
    </row>
    <row r="28" ht="30" customHeight="1" spans="1:79">
      <c r="A28" s="34" t="s">
        <v>60</v>
      </c>
      <c r="B28" s="34" t="s">
        <v>61</v>
      </c>
      <c r="C28" s="34" t="s">
        <v>14</v>
      </c>
      <c r="D28" s="34" t="s">
        <v>15</v>
      </c>
      <c r="E28" s="34" t="s">
        <v>21</v>
      </c>
      <c r="F28" s="34" t="s">
        <v>429</v>
      </c>
      <c r="G28" s="34" t="s">
        <v>1074</v>
      </c>
      <c r="H28" s="34" t="s">
        <v>429</v>
      </c>
      <c r="I28" s="34" t="s">
        <v>1075</v>
      </c>
      <c r="J28" s="34" t="s">
        <v>429</v>
      </c>
      <c r="K28" s="34" t="s">
        <v>1075</v>
      </c>
      <c r="L28" s="34" t="s">
        <v>429</v>
      </c>
      <c r="M28" s="34" t="s">
        <v>1076</v>
      </c>
      <c r="N28" s="34" t="s">
        <v>429</v>
      </c>
      <c r="O28" s="34" t="s">
        <v>1077</v>
      </c>
      <c r="P28" s="34" t="s">
        <v>429</v>
      </c>
      <c r="Q28" s="34" t="s">
        <v>795</v>
      </c>
      <c r="R28" s="34" t="s">
        <v>429</v>
      </c>
      <c r="S28" s="34" t="s">
        <v>1078</v>
      </c>
      <c r="T28" s="34" t="s">
        <v>429</v>
      </c>
      <c r="U28" s="34" t="s">
        <v>1022</v>
      </c>
      <c r="V28" s="34" t="s">
        <v>429</v>
      </c>
      <c r="W28" s="34" t="s">
        <v>1079</v>
      </c>
      <c r="X28" s="34" t="s">
        <v>429</v>
      </c>
      <c r="Y28" s="34" t="s">
        <v>1080</v>
      </c>
      <c r="Z28" s="34" t="s">
        <v>429</v>
      </c>
      <c r="AA28" s="34" t="s">
        <v>477</v>
      </c>
      <c r="AB28" s="34" t="s">
        <v>429</v>
      </c>
      <c r="AC28" s="34" t="s">
        <v>910</v>
      </c>
      <c r="AD28" s="34" t="s">
        <v>429</v>
      </c>
      <c r="AE28" s="34" t="s">
        <v>882</v>
      </c>
      <c r="AF28" s="34" t="s">
        <v>429</v>
      </c>
      <c r="AG28" s="34" t="s">
        <v>1081</v>
      </c>
      <c r="AH28" s="34" t="s">
        <v>429</v>
      </c>
      <c r="AI28" s="34" t="s">
        <v>1082</v>
      </c>
      <c r="AJ28" s="34" t="s">
        <v>429</v>
      </c>
      <c r="AK28" s="34" t="s">
        <v>782</v>
      </c>
      <c r="AL28" s="34" t="s">
        <v>429</v>
      </c>
      <c r="AM28" s="34" t="s">
        <v>1083</v>
      </c>
      <c r="AN28" s="34" t="s">
        <v>429</v>
      </c>
      <c r="AO28" s="34" t="s">
        <v>1084</v>
      </c>
      <c r="AP28" s="34" t="s">
        <v>429</v>
      </c>
      <c r="AQ28" s="34" t="s">
        <v>511</v>
      </c>
      <c r="AR28" s="34" t="s">
        <v>429</v>
      </c>
      <c r="AS28" s="34" t="s">
        <v>1085</v>
      </c>
      <c r="AT28" s="34" t="s">
        <v>429</v>
      </c>
      <c r="AU28" s="34" t="s">
        <v>484</v>
      </c>
      <c r="AV28" s="34" t="s">
        <v>429</v>
      </c>
      <c r="AW28" s="34" t="s">
        <v>736</v>
      </c>
      <c r="AX28" s="34" t="s">
        <v>429</v>
      </c>
      <c r="AY28" s="34" t="s">
        <v>1086</v>
      </c>
      <c r="AZ28" s="34" t="s">
        <v>429</v>
      </c>
      <c r="BA28" s="34" t="s">
        <v>1087</v>
      </c>
      <c r="BB28" s="34" t="s">
        <v>429</v>
      </c>
      <c r="BC28" s="34" t="s">
        <v>660</v>
      </c>
      <c r="BD28" s="34" t="s">
        <v>429</v>
      </c>
      <c r="BE28" s="34" t="s">
        <v>1087</v>
      </c>
      <c r="BF28" s="34" t="s">
        <v>429</v>
      </c>
      <c r="BG28" s="34" t="s">
        <v>814</v>
      </c>
      <c r="BH28" s="34" t="s">
        <v>429</v>
      </c>
      <c r="BI28" s="34" t="s">
        <v>1088</v>
      </c>
      <c r="BJ28" s="34" t="s">
        <v>429</v>
      </c>
      <c r="BK28" s="34" t="s">
        <v>1089</v>
      </c>
      <c r="BL28" s="34" t="s">
        <v>429</v>
      </c>
      <c r="BM28" s="34" t="s">
        <v>1090</v>
      </c>
      <c r="BN28" s="34" t="s">
        <v>429</v>
      </c>
      <c r="BO28" s="34" t="s">
        <v>1091</v>
      </c>
      <c r="BP28" s="34" t="s">
        <v>429</v>
      </c>
      <c r="BQ28" s="34" t="s">
        <v>1092</v>
      </c>
      <c r="BR28" s="34" t="s">
        <v>429</v>
      </c>
      <c r="BS28" s="34" t="s">
        <v>1093</v>
      </c>
      <c r="BT28" s="34" t="s">
        <v>429</v>
      </c>
      <c r="BU28" s="34" t="s">
        <v>1094</v>
      </c>
      <c r="BV28" s="34" t="s">
        <v>429</v>
      </c>
      <c r="BW28" s="34" t="s">
        <v>1095</v>
      </c>
      <c r="BX28" s="34" t="s">
        <v>429</v>
      </c>
      <c r="BY28" s="34" t="s">
        <v>1096</v>
      </c>
      <c r="BZ28" s="34" t="s">
        <v>429</v>
      </c>
      <c r="CA28" s="34" t="s">
        <v>1097</v>
      </c>
    </row>
    <row r="29" ht="30" customHeight="1" spans="1:79">
      <c r="A29" s="36" t="s">
        <v>62</v>
      </c>
      <c r="B29" s="36" t="s">
        <v>63</v>
      </c>
      <c r="C29" s="36" t="s">
        <v>14</v>
      </c>
      <c r="D29" s="36" t="s">
        <v>15</v>
      </c>
      <c r="E29" s="36" t="s">
        <v>21</v>
      </c>
      <c r="F29" s="36" t="s">
        <v>429</v>
      </c>
      <c r="G29" s="36" t="s">
        <v>1098</v>
      </c>
      <c r="H29" s="36" t="s">
        <v>429</v>
      </c>
      <c r="I29" s="36" t="s">
        <v>465</v>
      </c>
      <c r="J29" s="36" t="s">
        <v>429</v>
      </c>
      <c r="K29" s="36" t="s">
        <v>1099</v>
      </c>
      <c r="L29" s="36" t="s">
        <v>429</v>
      </c>
      <c r="M29" s="36" t="s">
        <v>957</v>
      </c>
      <c r="N29" s="36" t="s">
        <v>429</v>
      </c>
      <c r="O29" s="36" t="s">
        <v>1100</v>
      </c>
      <c r="P29" s="36" t="s">
        <v>429</v>
      </c>
      <c r="Q29" s="36" t="s">
        <v>1101</v>
      </c>
      <c r="R29" s="36" t="s">
        <v>429</v>
      </c>
      <c r="S29" s="36" t="s">
        <v>1102</v>
      </c>
      <c r="T29" s="36" t="s">
        <v>429</v>
      </c>
      <c r="U29" s="36" t="s">
        <v>960</v>
      </c>
      <c r="V29" s="36" t="s">
        <v>429</v>
      </c>
      <c r="W29" s="36" t="s">
        <v>962</v>
      </c>
      <c r="X29" s="36" t="s">
        <v>429</v>
      </c>
      <c r="Y29" s="36" t="s">
        <v>1103</v>
      </c>
      <c r="Z29" s="36" t="s">
        <v>429</v>
      </c>
      <c r="AA29" s="36" t="s">
        <v>1104</v>
      </c>
      <c r="AB29" s="36" t="s">
        <v>429</v>
      </c>
      <c r="AC29" s="36" t="s">
        <v>1105</v>
      </c>
      <c r="AD29" s="36" t="s">
        <v>429</v>
      </c>
      <c r="AE29" s="36" t="s">
        <v>1106</v>
      </c>
      <c r="AF29" s="36" t="s">
        <v>429</v>
      </c>
      <c r="AG29" s="36" t="s">
        <v>1107</v>
      </c>
      <c r="AH29" s="36" t="s">
        <v>429</v>
      </c>
      <c r="AI29" s="36" t="s">
        <v>1108</v>
      </c>
      <c r="AJ29" s="36" t="s">
        <v>429</v>
      </c>
      <c r="AK29" s="36" t="s">
        <v>1109</v>
      </c>
      <c r="AL29" s="36" t="s">
        <v>429</v>
      </c>
      <c r="AM29" s="36" t="s">
        <v>805</v>
      </c>
      <c r="AN29" s="36" t="s">
        <v>429</v>
      </c>
      <c r="AO29" s="36" t="s">
        <v>969</v>
      </c>
      <c r="AP29" s="36" t="s">
        <v>429</v>
      </c>
      <c r="AQ29" s="36" t="s">
        <v>482</v>
      </c>
      <c r="AR29" s="36" t="s">
        <v>429</v>
      </c>
      <c r="AS29" s="36" t="s">
        <v>658</v>
      </c>
      <c r="AT29" s="36" t="s">
        <v>429</v>
      </c>
      <c r="AU29" s="36" t="s">
        <v>1110</v>
      </c>
      <c r="AV29" s="36" t="s">
        <v>429</v>
      </c>
      <c r="AW29" s="36" t="s">
        <v>1111</v>
      </c>
      <c r="AX29" s="36" t="s">
        <v>429</v>
      </c>
      <c r="AY29" s="36" t="s">
        <v>1112</v>
      </c>
      <c r="AZ29" s="36" t="s">
        <v>429</v>
      </c>
      <c r="BA29" s="36" t="s">
        <v>1112</v>
      </c>
      <c r="BB29" s="36" t="s">
        <v>429</v>
      </c>
      <c r="BC29" s="36" t="s">
        <v>979</v>
      </c>
      <c r="BD29" s="36" t="s">
        <v>429</v>
      </c>
      <c r="BE29" s="36" t="s">
        <v>979</v>
      </c>
      <c r="BF29" s="36" t="s">
        <v>429</v>
      </c>
      <c r="BG29" s="36" t="s">
        <v>1113</v>
      </c>
      <c r="BH29" s="36" t="s">
        <v>429</v>
      </c>
      <c r="BI29" s="36" t="s">
        <v>1114</v>
      </c>
      <c r="BJ29" s="36" t="s">
        <v>429</v>
      </c>
      <c r="BK29" s="36" t="s">
        <v>982</v>
      </c>
      <c r="BL29" s="36" t="s">
        <v>429</v>
      </c>
      <c r="BM29" s="36" t="s">
        <v>873</v>
      </c>
      <c r="BN29" s="36" t="s">
        <v>429</v>
      </c>
      <c r="BO29" s="36" t="s">
        <v>489</v>
      </c>
      <c r="BP29" s="36" t="s">
        <v>429</v>
      </c>
      <c r="BQ29" s="36" t="s">
        <v>1115</v>
      </c>
      <c r="BR29" s="36" t="s">
        <v>429</v>
      </c>
      <c r="BS29" s="36" t="s">
        <v>490</v>
      </c>
      <c r="BT29" s="36" t="s">
        <v>429</v>
      </c>
      <c r="BU29" s="36" t="s">
        <v>884</v>
      </c>
      <c r="BV29" s="36" t="s">
        <v>429</v>
      </c>
      <c r="BW29" s="36" t="s">
        <v>1116</v>
      </c>
      <c r="BX29" s="36" t="s">
        <v>429</v>
      </c>
      <c r="BY29" s="36" t="s">
        <v>773</v>
      </c>
      <c r="BZ29" s="36" t="s">
        <v>429</v>
      </c>
      <c r="CA29" s="36" t="s">
        <v>529</v>
      </c>
    </row>
    <row r="30" ht="30" customHeight="1" spans="1:79">
      <c r="A30" s="34" t="s">
        <v>64</v>
      </c>
      <c r="B30" s="34" t="s">
        <v>65</v>
      </c>
      <c r="C30" s="34" t="s">
        <v>14</v>
      </c>
      <c r="D30" s="34" t="s">
        <v>15</v>
      </c>
      <c r="E30" s="34" t="s">
        <v>21</v>
      </c>
      <c r="F30" s="34" t="s">
        <v>429</v>
      </c>
      <c r="G30" s="34" t="s">
        <v>1117</v>
      </c>
      <c r="H30" s="34" t="s">
        <v>429</v>
      </c>
      <c r="I30" s="34" t="s">
        <v>1118</v>
      </c>
      <c r="J30" s="34" t="s">
        <v>429</v>
      </c>
      <c r="K30" s="34" t="s">
        <v>1118</v>
      </c>
      <c r="L30" s="34" t="s">
        <v>429</v>
      </c>
      <c r="M30" s="34" t="s">
        <v>1119</v>
      </c>
      <c r="N30" s="34" t="s">
        <v>429</v>
      </c>
      <c r="O30" s="34" t="s">
        <v>1120</v>
      </c>
      <c r="P30" s="34" t="s">
        <v>429</v>
      </c>
      <c r="Q30" s="34" t="s">
        <v>1121</v>
      </c>
      <c r="R30" s="34" t="s">
        <v>429</v>
      </c>
      <c r="S30" s="34" t="s">
        <v>740</v>
      </c>
      <c r="T30" s="34" t="s">
        <v>429</v>
      </c>
      <c r="U30" s="34" t="s">
        <v>1122</v>
      </c>
      <c r="V30" s="34" t="s">
        <v>429</v>
      </c>
      <c r="W30" s="34" t="s">
        <v>491</v>
      </c>
      <c r="X30" s="34" t="s">
        <v>429</v>
      </c>
      <c r="Y30" s="34" t="s">
        <v>672</v>
      </c>
      <c r="Z30" s="34" t="s">
        <v>429</v>
      </c>
      <c r="AA30" s="34" t="s">
        <v>495</v>
      </c>
      <c r="AB30" s="34" t="s">
        <v>429</v>
      </c>
      <c r="AC30" s="34" t="s">
        <v>1123</v>
      </c>
      <c r="AD30" s="34" t="s">
        <v>429</v>
      </c>
      <c r="AE30" s="34" t="s">
        <v>1124</v>
      </c>
      <c r="AF30" s="34" t="s">
        <v>429</v>
      </c>
      <c r="AG30" s="34" t="s">
        <v>1125</v>
      </c>
      <c r="AH30" s="34" t="s">
        <v>429</v>
      </c>
      <c r="AI30" s="34" t="s">
        <v>1126</v>
      </c>
      <c r="AJ30" s="34" t="s">
        <v>429</v>
      </c>
      <c r="AK30" s="34" t="s">
        <v>1127</v>
      </c>
      <c r="AL30" s="34" t="s">
        <v>429</v>
      </c>
      <c r="AM30" s="34" t="s">
        <v>1128</v>
      </c>
      <c r="AN30" s="34" t="s">
        <v>429</v>
      </c>
      <c r="AO30" s="34" t="s">
        <v>1129</v>
      </c>
      <c r="AP30" s="34" t="s">
        <v>429</v>
      </c>
      <c r="AQ30" s="34" t="s">
        <v>1130</v>
      </c>
      <c r="AR30" s="34" t="s">
        <v>429</v>
      </c>
      <c r="AS30" s="34" t="s">
        <v>1131</v>
      </c>
      <c r="AT30" s="34" t="s">
        <v>429</v>
      </c>
      <c r="AU30" s="34" t="s">
        <v>1132</v>
      </c>
      <c r="AV30" s="34" t="s">
        <v>429</v>
      </c>
      <c r="AW30" s="34" t="s">
        <v>1133</v>
      </c>
      <c r="AX30" s="34" t="s">
        <v>429</v>
      </c>
      <c r="AY30" s="34" t="s">
        <v>1134</v>
      </c>
      <c r="AZ30" s="34" t="s">
        <v>429</v>
      </c>
      <c r="BA30" s="34" t="s">
        <v>1135</v>
      </c>
      <c r="BB30" s="34" t="s">
        <v>429</v>
      </c>
      <c r="BC30" s="34" t="s">
        <v>1136</v>
      </c>
      <c r="BD30" s="34" t="s">
        <v>429</v>
      </c>
      <c r="BE30" s="34" t="s">
        <v>1137</v>
      </c>
      <c r="BF30" s="34" t="s">
        <v>429</v>
      </c>
      <c r="BG30" s="34" t="s">
        <v>1138</v>
      </c>
      <c r="BH30" s="34" t="s">
        <v>429</v>
      </c>
      <c r="BI30" s="34" t="s">
        <v>1139</v>
      </c>
      <c r="BJ30" s="34" t="s">
        <v>429</v>
      </c>
      <c r="BK30" s="34" t="s">
        <v>1140</v>
      </c>
      <c r="BL30" s="34" t="s">
        <v>429</v>
      </c>
      <c r="BM30" s="34" t="s">
        <v>1141</v>
      </c>
      <c r="BN30" s="34" t="s">
        <v>429</v>
      </c>
      <c r="BO30" s="34" t="s">
        <v>1142</v>
      </c>
      <c r="BP30" s="34" t="s">
        <v>429</v>
      </c>
      <c r="BQ30" s="34" t="s">
        <v>1143</v>
      </c>
      <c r="BR30" s="34" t="s">
        <v>429</v>
      </c>
      <c r="BS30" s="34" t="s">
        <v>1144</v>
      </c>
      <c r="BT30" s="34" t="s">
        <v>429</v>
      </c>
      <c r="BU30" s="34" t="s">
        <v>1145</v>
      </c>
      <c r="BV30" s="34" t="s">
        <v>429</v>
      </c>
      <c r="BW30" s="34" t="s">
        <v>1146</v>
      </c>
      <c r="BX30" s="34" t="s">
        <v>429</v>
      </c>
      <c r="BY30" s="34" t="s">
        <v>1147</v>
      </c>
      <c r="BZ30" s="34" t="s">
        <v>429</v>
      </c>
      <c r="CA30" s="34" t="s">
        <v>1148</v>
      </c>
    </row>
    <row r="31" ht="30" customHeight="1" spans="1:79">
      <c r="A31" s="36" t="s">
        <v>66</v>
      </c>
      <c r="B31" s="36" t="s">
        <v>67</v>
      </c>
      <c r="C31" s="36" t="s">
        <v>14</v>
      </c>
      <c r="D31" s="36" t="s">
        <v>15</v>
      </c>
      <c r="E31" s="36" t="s">
        <v>21</v>
      </c>
      <c r="F31" s="36" t="s">
        <v>429</v>
      </c>
      <c r="G31" s="36" t="s">
        <v>1149</v>
      </c>
      <c r="H31" s="36" t="s">
        <v>429</v>
      </c>
      <c r="I31" s="36" t="s">
        <v>501</v>
      </c>
      <c r="J31" s="36" t="s">
        <v>429</v>
      </c>
      <c r="K31" s="36" t="s">
        <v>501</v>
      </c>
      <c r="L31" s="36" t="s">
        <v>429</v>
      </c>
      <c r="M31" s="36" t="s">
        <v>501</v>
      </c>
      <c r="N31" s="36" t="s">
        <v>429</v>
      </c>
      <c r="O31" s="36" t="s">
        <v>501</v>
      </c>
      <c r="P31" s="36" t="s">
        <v>429</v>
      </c>
      <c r="Q31" s="36" t="s">
        <v>1101</v>
      </c>
      <c r="R31" s="36" t="s">
        <v>429</v>
      </c>
      <c r="S31" s="36" t="s">
        <v>1150</v>
      </c>
      <c r="T31" s="36" t="s">
        <v>429</v>
      </c>
      <c r="U31" s="36" t="s">
        <v>1151</v>
      </c>
      <c r="V31" s="36" t="s">
        <v>429</v>
      </c>
      <c r="W31" s="36" t="s">
        <v>1152</v>
      </c>
      <c r="X31" s="36" t="s">
        <v>429</v>
      </c>
      <c r="Y31" s="36" t="s">
        <v>1102</v>
      </c>
      <c r="Z31" s="36" t="s">
        <v>429</v>
      </c>
      <c r="AA31" s="36" t="s">
        <v>1153</v>
      </c>
      <c r="AB31" s="36" t="s">
        <v>429</v>
      </c>
      <c r="AC31" s="36" t="s">
        <v>1154</v>
      </c>
      <c r="AD31" s="36" t="s">
        <v>429</v>
      </c>
      <c r="AE31" s="36" t="s">
        <v>1105</v>
      </c>
      <c r="AF31" s="36" t="s">
        <v>429</v>
      </c>
      <c r="AG31" s="36" t="s">
        <v>1155</v>
      </c>
      <c r="AH31" s="36" t="s">
        <v>429</v>
      </c>
      <c r="AI31" s="36" t="s">
        <v>969</v>
      </c>
      <c r="AJ31" s="36" t="s">
        <v>429</v>
      </c>
      <c r="AK31" s="36" t="s">
        <v>554</v>
      </c>
      <c r="AL31" s="36" t="s">
        <v>429</v>
      </c>
      <c r="AM31" s="36" t="s">
        <v>1156</v>
      </c>
      <c r="AN31" s="36" t="s">
        <v>429</v>
      </c>
      <c r="AO31" s="36" t="s">
        <v>558</v>
      </c>
      <c r="AP31" s="36" t="s">
        <v>429</v>
      </c>
      <c r="AQ31" s="36" t="s">
        <v>1157</v>
      </c>
      <c r="AR31" s="36" t="s">
        <v>429</v>
      </c>
      <c r="AS31" s="36" t="s">
        <v>626</v>
      </c>
      <c r="AT31" s="36" t="s">
        <v>429</v>
      </c>
      <c r="AU31" s="36" t="s">
        <v>732</v>
      </c>
      <c r="AV31" s="36" t="s">
        <v>429</v>
      </c>
      <c r="AW31" s="36" t="s">
        <v>1158</v>
      </c>
      <c r="AX31" s="36" t="s">
        <v>429</v>
      </c>
      <c r="AY31" s="36" t="s">
        <v>1159</v>
      </c>
      <c r="AZ31" s="36" t="s">
        <v>429</v>
      </c>
      <c r="BA31" s="36" t="s">
        <v>1160</v>
      </c>
      <c r="BB31" s="36" t="s">
        <v>429</v>
      </c>
      <c r="BC31" s="36" t="s">
        <v>1161</v>
      </c>
      <c r="BD31" s="36" t="s">
        <v>429</v>
      </c>
      <c r="BE31" s="36" t="s">
        <v>1162</v>
      </c>
      <c r="BF31" s="36" t="s">
        <v>429</v>
      </c>
      <c r="BG31" s="36" t="s">
        <v>1163</v>
      </c>
      <c r="BH31" s="36" t="s">
        <v>429</v>
      </c>
      <c r="BI31" s="36" t="s">
        <v>1116</v>
      </c>
      <c r="BJ31" s="36" t="s">
        <v>429</v>
      </c>
      <c r="BK31" s="36" t="s">
        <v>1164</v>
      </c>
      <c r="BL31" s="36" t="s">
        <v>429</v>
      </c>
      <c r="BM31" s="36" t="s">
        <v>1165</v>
      </c>
      <c r="BN31" s="36" t="s">
        <v>429</v>
      </c>
      <c r="BO31" s="36" t="s">
        <v>887</v>
      </c>
      <c r="BP31" s="36" t="s">
        <v>429</v>
      </c>
      <c r="BQ31" s="36" t="s">
        <v>887</v>
      </c>
      <c r="BR31" s="36" t="s">
        <v>429</v>
      </c>
      <c r="BS31" s="36" t="s">
        <v>1166</v>
      </c>
      <c r="BT31" s="36" t="s">
        <v>429</v>
      </c>
      <c r="BU31" s="36" t="s">
        <v>1167</v>
      </c>
      <c r="BV31" s="36" t="s">
        <v>429</v>
      </c>
      <c r="BW31" s="36" t="s">
        <v>676</v>
      </c>
      <c r="BX31" s="36" t="s">
        <v>429</v>
      </c>
      <c r="BY31" s="36" t="s">
        <v>1168</v>
      </c>
      <c r="BZ31" s="36" t="s">
        <v>429</v>
      </c>
      <c r="CA31" s="36" t="s">
        <v>1169</v>
      </c>
    </row>
    <row r="32" ht="30" customHeight="1" spans="1:79">
      <c r="A32" s="34" t="s">
        <v>68</v>
      </c>
      <c r="B32" s="34" t="s">
        <v>69</v>
      </c>
      <c r="C32" s="34" t="s">
        <v>14</v>
      </c>
      <c r="D32" s="34" t="s">
        <v>15</v>
      </c>
      <c r="E32" s="34" t="s">
        <v>21</v>
      </c>
      <c r="F32" s="34" t="s">
        <v>429</v>
      </c>
      <c r="G32" s="34" t="s">
        <v>1170</v>
      </c>
      <c r="H32" s="34" t="s">
        <v>429</v>
      </c>
      <c r="I32" s="34" t="s">
        <v>1170</v>
      </c>
      <c r="J32" s="34" t="s">
        <v>429</v>
      </c>
      <c r="K32" s="34" t="s">
        <v>1171</v>
      </c>
      <c r="L32" s="34" t="s">
        <v>429</v>
      </c>
      <c r="M32" s="34" t="s">
        <v>1172</v>
      </c>
      <c r="N32" s="34" t="s">
        <v>429</v>
      </c>
      <c r="O32" s="34" t="s">
        <v>1173</v>
      </c>
      <c r="P32" s="34" t="s">
        <v>429</v>
      </c>
      <c r="Q32" s="34" t="s">
        <v>1174</v>
      </c>
      <c r="R32" s="34" t="s">
        <v>429</v>
      </c>
      <c r="S32" s="34" t="s">
        <v>1175</v>
      </c>
      <c r="T32" s="34" t="s">
        <v>429</v>
      </c>
      <c r="U32" s="34" t="s">
        <v>1176</v>
      </c>
      <c r="V32" s="34" t="s">
        <v>429</v>
      </c>
      <c r="W32" s="34" t="s">
        <v>1177</v>
      </c>
      <c r="X32" s="34" t="s">
        <v>429</v>
      </c>
      <c r="Y32" s="34" t="s">
        <v>1178</v>
      </c>
      <c r="Z32" s="34" t="s">
        <v>429</v>
      </c>
      <c r="AA32" s="34" t="s">
        <v>1179</v>
      </c>
      <c r="AB32" s="34" t="s">
        <v>429</v>
      </c>
      <c r="AC32" s="34" t="s">
        <v>1180</v>
      </c>
      <c r="AD32" s="34" t="s">
        <v>429</v>
      </c>
      <c r="AE32" s="34" t="s">
        <v>484</v>
      </c>
      <c r="AF32" s="34" t="s">
        <v>429</v>
      </c>
      <c r="AG32" s="34" t="s">
        <v>911</v>
      </c>
      <c r="AH32" s="34" t="s">
        <v>429</v>
      </c>
      <c r="AI32" s="34" t="s">
        <v>634</v>
      </c>
      <c r="AJ32" s="34" t="s">
        <v>429</v>
      </c>
      <c r="AK32" s="34" t="s">
        <v>1181</v>
      </c>
      <c r="AL32" s="34" t="s">
        <v>429</v>
      </c>
      <c r="AM32" s="34" t="s">
        <v>1182</v>
      </c>
      <c r="AN32" s="34" t="s">
        <v>429</v>
      </c>
      <c r="AO32" s="34" t="s">
        <v>1159</v>
      </c>
      <c r="AP32" s="34" t="s">
        <v>429</v>
      </c>
      <c r="AQ32" s="34" t="s">
        <v>661</v>
      </c>
      <c r="AR32" s="34" t="s">
        <v>429</v>
      </c>
      <c r="AS32" s="34" t="s">
        <v>1183</v>
      </c>
      <c r="AT32" s="34" t="s">
        <v>429</v>
      </c>
      <c r="AU32" s="34" t="s">
        <v>1184</v>
      </c>
      <c r="AV32" s="34" t="s">
        <v>429</v>
      </c>
      <c r="AW32" s="34" t="s">
        <v>1184</v>
      </c>
      <c r="AX32" s="34" t="s">
        <v>429</v>
      </c>
      <c r="AY32" s="34" t="s">
        <v>1185</v>
      </c>
      <c r="AZ32" s="34" t="s">
        <v>429</v>
      </c>
      <c r="BA32" s="34" t="s">
        <v>1186</v>
      </c>
      <c r="BB32" s="34" t="s">
        <v>429</v>
      </c>
      <c r="BC32" s="34" t="s">
        <v>1187</v>
      </c>
      <c r="BD32" s="34" t="s">
        <v>429</v>
      </c>
      <c r="BE32" s="34" t="s">
        <v>1187</v>
      </c>
      <c r="BF32" s="34" t="s">
        <v>429</v>
      </c>
      <c r="BG32" s="34" t="s">
        <v>1188</v>
      </c>
      <c r="BH32" s="34" t="s">
        <v>429</v>
      </c>
      <c r="BI32" s="34" t="s">
        <v>1189</v>
      </c>
      <c r="BJ32" s="34" t="s">
        <v>429</v>
      </c>
      <c r="BK32" s="34" t="s">
        <v>1190</v>
      </c>
      <c r="BL32" s="34" t="s">
        <v>429</v>
      </c>
      <c r="BM32" s="34" t="s">
        <v>1191</v>
      </c>
      <c r="BN32" s="34" t="s">
        <v>429</v>
      </c>
      <c r="BO32" s="34" t="s">
        <v>1192</v>
      </c>
      <c r="BP32" s="34" t="s">
        <v>429</v>
      </c>
      <c r="BQ32" s="34" t="s">
        <v>1193</v>
      </c>
      <c r="BR32" s="34" t="s">
        <v>429</v>
      </c>
      <c r="BS32" s="34" t="s">
        <v>1193</v>
      </c>
      <c r="BT32" s="34" t="s">
        <v>429</v>
      </c>
      <c r="BU32" s="34" t="s">
        <v>1193</v>
      </c>
      <c r="BV32" s="34" t="s">
        <v>429</v>
      </c>
      <c r="BW32" s="34" t="s">
        <v>1194</v>
      </c>
      <c r="BX32" s="34" t="s">
        <v>429</v>
      </c>
      <c r="BY32" s="34" t="s">
        <v>1195</v>
      </c>
      <c r="BZ32" s="34" t="s">
        <v>429</v>
      </c>
      <c r="CA32" s="34" t="s">
        <v>1196</v>
      </c>
    </row>
    <row r="33" ht="30" customHeight="1" spans="1:79">
      <c r="A33" s="36" t="s">
        <v>70</v>
      </c>
      <c r="B33" s="36" t="s">
        <v>71</v>
      </c>
      <c r="C33" s="36" t="s">
        <v>14</v>
      </c>
      <c r="D33" s="36" t="s">
        <v>15</v>
      </c>
      <c r="E33" s="36" t="s">
        <v>16</v>
      </c>
      <c r="F33" s="36" t="s">
        <v>429</v>
      </c>
      <c r="G33" s="36" t="s">
        <v>797</v>
      </c>
      <c r="H33" s="36" t="s">
        <v>429</v>
      </c>
      <c r="I33" s="36" t="s">
        <v>797</v>
      </c>
      <c r="J33" s="36" t="s">
        <v>429</v>
      </c>
      <c r="K33" s="36" t="s">
        <v>1022</v>
      </c>
      <c r="L33" s="36" t="s">
        <v>429</v>
      </c>
      <c r="M33" s="36" t="s">
        <v>1197</v>
      </c>
      <c r="N33" s="36" t="s">
        <v>429</v>
      </c>
      <c r="O33" s="36" t="s">
        <v>652</v>
      </c>
      <c r="P33" s="36" t="s">
        <v>429</v>
      </c>
      <c r="Q33" s="36" t="s">
        <v>1198</v>
      </c>
      <c r="R33" s="36" t="s">
        <v>429</v>
      </c>
      <c r="S33" s="36" t="s">
        <v>1199</v>
      </c>
      <c r="T33" s="36" t="s">
        <v>429</v>
      </c>
      <c r="U33" s="36" t="s">
        <v>717</v>
      </c>
      <c r="V33" s="36" t="s">
        <v>429</v>
      </c>
      <c r="W33" s="36" t="s">
        <v>1200</v>
      </c>
      <c r="X33" s="36" t="s">
        <v>429</v>
      </c>
      <c r="Y33" s="36" t="s">
        <v>475</v>
      </c>
      <c r="Z33" s="36" t="s">
        <v>429</v>
      </c>
      <c r="AA33" s="36" t="s">
        <v>1201</v>
      </c>
      <c r="AB33" s="36" t="s">
        <v>429</v>
      </c>
      <c r="AC33" s="36" t="s">
        <v>1202</v>
      </c>
      <c r="AD33" s="36" t="s">
        <v>429</v>
      </c>
      <c r="AE33" s="36" t="s">
        <v>1203</v>
      </c>
      <c r="AF33" s="36" t="s">
        <v>429</v>
      </c>
      <c r="AG33" s="36" t="s">
        <v>1202</v>
      </c>
      <c r="AH33" s="36" t="s">
        <v>429</v>
      </c>
      <c r="AI33" s="36" t="s">
        <v>1204</v>
      </c>
      <c r="AJ33" s="36" t="s">
        <v>429</v>
      </c>
      <c r="AK33" s="36" t="s">
        <v>1205</v>
      </c>
      <c r="AL33" s="36" t="s">
        <v>429</v>
      </c>
      <c r="AM33" s="36" t="s">
        <v>1206</v>
      </c>
      <c r="AN33" s="36" t="s">
        <v>429</v>
      </c>
      <c r="AO33" s="36" t="s">
        <v>1207</v>
      </c>
      <c r="AP33" s="36" t="s">
        <v>429</v>
      </c>
      <c r="AQ33" s="36" t="s">
        <v>1208</v>
      </c>
      <c r="AR33" s="36" t="s">
        <v>429</v>
      </c>
      <c r="AS33" s="36" t="s">
        <v>1209</v>
      </c>
      <c r="AT33" s="36" t="s">
        <v>429</v>
      </c>
      <c r="AU33" s="36" t="s">
        <v>1210</v>
      </c>
      <c r="AV33" s="36" t="s">
        <v>429</v>
      </c>
      <c r="AW33" s="36" t="s">
        <v>1211</v>
      </c>
      <c r="AX33" s="36" t="s">
        <v>429</v>
      </c>
      <c r="AY33" s="36" t="s">
        <v>1212</v>
      </c>
      <c r="AZ33" s="36" t="s">
        <v>429</v>
      </c>
      <c r="BA33" s="36" t="s">
        <v>1213</v>
      </c>
      <c r="BB33" s="36" t="s">
        <v>429</v>
      </c>
      <c r="BC33" s="36" t="s">
        <v>1214</v>
      </c>
      <c r="BD33" s="36" t="s">
        <v>429</v>
      </c>
      <c r="BE33" s="36" t="s">
        <v>1215</v>
      </c>
      <c r="BF33" s="36" t="s">
        <v>429</v>
      </c>
      <c r="BG33" s="36" t="s">
        <v>1216</v>
      </c>
      <c r="BH33" s="36" t="s">
        <v>429</v>
      </c>
      <c r="BI33" s="36" t="s">
        <v>1217</v>
      </c>
      <c r="BJ33" s="36" t="s">
        <v>429</v>
      </c>
      <c r="BK33" s="36" t="s">
        <v>1218</v>
      </c>
      <c r="BL33" s="36" t="s">
        <v>429</v>
      </c>
      <c r="BM33" s="36" t="s">
        <v>1219</v>
      </c>
      <c r="BN33" s="36" t="s">
        <v>429</v>
      </c>
      <c r="BO33" s="36" t="s">
        <v>1220</v>
      </c>
      <c r="BP33" s="36" t="s">
        <v>429</v>
      </c>
      <c r="BQ33" s="36" t="s">
        <v>1221</v>
      </c>
      <c r="BR33" s="36" t="s">
        <v>429</v>
      </c>
      <c r="BS33" s="36" t="s">
        <v>1222</v>
      </c>
      <c r="BT33" s="36" t="s">
        <v>429</v>
      </c>
      <c r="BU33" s="36" t="s">
        <v>1223</v>
      </c>
      <c r="BV33" s="36" t="s">
        <v>429</v>
      </c>
      <c r="BW33" s="36" t="s">
        <v>1224</v>
      </c>
      <c r="BX33" s="36" t="s">
        <v>681</v>
      </c>
      <c r="BY33" s="36" t="s">
        <v>682</v>
      </c>
      <c r="BZ33" s="36" t="s">
        <v>681</v>
      </c>
      <c r="CA33" s="36" t="s">
        <v>682</v>
      </c>
    </row>
    <row r="34" ht="30" customHeight="1" spans="1:79">
      <c r="A34" s="34" t="s">
        <v>72</v>
      </c>
      <c r="B34" s="34" t="s">
        <v>73</v>
      </c>
      <c r="C34" s="34" t="s">
        <v>14</v>
      </c>
      <c r="D34" s="34" t="s">
        <v>15</v>
      </c>
      <c r="E34" s="34" t="s">
        <v>16</v>
      </c>
      <c r="F34" s="34" t="s">
        <v>429</v>
      </c>
      <c r="G34" s="34" t="s">
        <v>466</v>
      </c>
      <c r="H34" s="34" t="s">
        <v>429</v>
      </c>
      <c r="I34" s="34" t="s">
        <v>466</v>
      </c>
      <c r="J34" s="34" t="s">
        <v>429</v>
      </c>
      <c r="K34" s="34" t="s">
        <v>959</v>
      </c>
      <c r="L34" s="34" t="s">
        <v>429</v>
      </c>
      <c r="M34" s="34" t="s">
        <v>1225</v>
      </c>
      <c r="N34" s="34" t="s">
        <v>429</v>
      </c>
      <c r="O34" s="34" t="s">
        <v>878</v>
      </c>
      <c r="P34" s="34" t="s">
        <v>429</v>
      </c>
      <c r="Q34" s="34" t="s">
        <v>1226</v>
      </c>
      <c r="R34" s="34" t="s">
        <v>429</v>
      </c>
      <c r="S34" s="34" t="s">
        <v>797</v>
      </c>
      <c r="T34" s="34" t="s">
        <v>429</v>
      </c>
      <c r="U34" s="34" t="s">
        <v>1198</v>
      </c>
      <c r="V34" s="34" t="s">
        <v>429</v>
      </c>
      <c r="W34" s="34" t="s">
        <v>1227</v>
      </c>
      <c r="X34" s="34" t="s">
        <v>429</v>
      </c>
      <c r="Y34" s="34" t="s">
        <v>1228</v>
      </c>
      <c r="Z34" s="34" t="s">
        <v>429</v>
      </c>
      <c r="AA34" s="34" t="s">
        <v>1229</v>
      </c>
      <c r="AB34" s="34" t="s">
        <v>429</v>
      </c>
      <c r="AC34" s="34" t="s">
        <v>1230</v>
      </c>
      <c r="AD34" s="34" t="s">
        <v>429</v>
      </c>
      <c r="AE34" s="34" t="s">
        <v>1231</v>
      </c>
      <c r="AF34" s="34" t="s">
        <v>429</v>
      </c>
      <c r="AG34" s="34" t="s">
        <v>1231</v>
      </c>
      <c r="AH34" s="34" t="s">
        <v>429</v>
      </c>
      <c r="AI34" s="34" t="s">
        <v>1232</v>
      </c>
      <c r="AJ34" s="34" t="s">
        <v>429</v>
      </c>
      <c r="AK34" s="34" t="s">
        <v>1233</v>
      </c>
      <c r="AL34" s="34" t="s">
        <v>429</v>
      </c>
      <c r="AM34" s="34" t="s">
        <v>1234</v>
      </c>
      <c r="AN34" s="34" t="s">
        <v>429</v>
      </c>
      <c r="AO34" s="34" t="s">
        <v>1234</v>
      </c>
      <c r="AP34" s="34" t="s">
        <v>429</v>
      </c>
      <c r="AQ34" s="34" t="s">
        <v>1235</v>
      </c>
      <c r="AR34" s="34" t="s">
        <v>429</v>
      </c>
      <c r="AS34" s="34" t="s">
        <v>1236</v>
      </c>
      <c r="AT34" s="34" t="s">
        <v>429</v>
      </c>
      <c r="AU34" s="34" t="s">
        <v>1237</v>
      </c>
      <c r="AV34" s="34" t="s">
        <v>429</v>
      </c>
      <c r="AW34" s="34" t="s">
        <v>1238</v>
      </c>
      <c r="AX34" s="34" t="s">
        <v>429</v>
      </c>
      <c r="AY34" s="34" t="s">
        <v>1239</v>
      </c>
      <c r="AZ34" s="34" t="s">
        <v>429</v>
      </c>
      <c r="BA34" s="34" t="s">
        <v>1240</v>
      </c>
      <c r="BB34" s="34" t="s">
        <v>429</v>
      </c>
      <c r="BC34" s="34" t="s">
        <v>1064</v>
      </c>
      <c r="BD34" s="34" t="s">
        <v>429</v>
      </c>
      <c r="BE34" s="34" t="s">
        <v>1241</v>
      </c>
      <c r="BF34" s="34" t="s">
        <v>429</v>
      </c>
      <c r="BG34" s="34" t="s">
        <v>1242</v>
      </c>
      <c r="BH34" s="34" t="s">
        <v>429</v>
      </c>
      <c r="BI34" s="34" t="s">
        <v>1243</v>
      </c>
      <c r="BJ34" s="34" t="s">
        <v>429</v>
      </c>
      <c r="BK34" s="34" t="s">
        <v>1244</v>
      </c>
      <c r="BL34" s="34" t="s">
        <v>429</v>
      </c>
      <c r="BM34" s="34" t="s">
        <v>1245</v>
      </c>
      <c r="BN34" s="34" t="s">
        <v>429</v>
      </c>
      <c r="BO34" s="34" t="s">
        <v>1246</v>
      </c>
      <c r="BP34" s="34" t="s">
        <v>429</v>
      </c>
      <c r="BQ34" s="34" t="s">
        <v>1246</v>
      </c>
      <c r="BR34" s="34" t="s">
        <v>429</v>
      </c>
      <c r="BS34" s="34" t="s">
        <v>1247</v>
      </c>
      <c r="BT34" s="34" t="s">
        <v>429</v>
      </c>
      <c r="BU34" s="34" t="s">
        <v>1248</v>
      </c>
      <c r="BV34" s="34" t="s">
        <v>429</v>
      </c>
      <c r="BW34" s="34" t="s">
        <v>1249</v>
      </c>
      <c r="BX34" s="34" t="s">
        <v>429</v>
      </c>
      <c r="BY34" s="34" t="s">
        <v>1250</v>
      </c>
      <c r="BZ34" s="34" t="s">
        <v>429</v>
      </c>
      <c r="CA34" s="34" t="s">
        <v>1251</v>
      </c>
    </row>
    <row r="35" ht="30" customHeight="1" spans="1:79">
      <c r="A35" s="36" t="s">
        <v>74</v>
      </c>
      <c r="B35" s="36" t="s">
        <v>75</v>
      </c>
      <c r="C35" s="36" t="s">
        <v>14</v>
      </c>
      <c r="D35" s="36" t="s">
        <v>15</v>
      </c>
      <c r="E35" s="36" t="s">
        <v>16</v>
      </c>
      <c r="F35" s="36" t="s">
        <v>429</v>
      </c>
      <c r="G35" s="36" t="s">
        <v>466</v>
      </c>
      <c r="H35" s="36" t="s">
        <v>429</v>
      </c>
      <c r="I35" s="36" t="s">
        <v>1252</v>
      </c>
      <c r="J35" s="36" t="s">
        <v>429</v>
      </c>
      <c r="K35" s="36" t="s">
        <v>1253</v>
      </c>
      <c r="L35" s="36" t="s">
        <v>429</v>
      </c>
      <c r="M35" s="36" t="s">
        <v>1254</v>
      </c>
      <c r="N35" s="36" t="s">
        <v>429</v>
      </c>
      <c r="O35" s="36" t="s">
        <v>1255</v>
      </c>
      <c r="P35" s="36" t="s">
        <v>429</v>
      </c>
      <c r="Q35" s="36" t="s">
        <v>1255</v>
      </c>
      <c r="R35" s="36" t="s">
        <v>429</v>
      </c>
      <c r="S35" s="36" t="s">
        <v>1256</v>
      </c>
      <c r="T35" s="36" t="s">
        <v>429</v>
      </c>
      <c r="U35" s="36" t="s">
        <v>1257</v>
      </c>
      <c r="V35" s="36" t="s">
        <v>429</v>
      </c>
      <c r="W35" s="36" t="s">
        <v>1258</v>
      </c>
      <c r="X35" s="36" t="s">
        <v>429</v>
      </c>
      <c r="Y35" s="36" t="s">
        <v>1258</v>
      </c>
      <c r="Z35" s="36" t="s">
        <v>429</v>
      </c>
      <c r="AA35" s="36" t="s">
        <v>1259</v>
      </c>
      <c r="AB35" s="36" t="s">
        <v>429</v>
      </c>
      <c r="AC35" s="36" t="s">
        <v>1260</v>
      </c>
      <c r="AD35" s="36" t="s">
        <v>429</v>
      </c>
      <c r="AE35" s="36" t="s">
        <v>1261</v>
      </c>
      <c r="AF35" s="36" t="s">
        <v>429</v>
      </c>
      <c r="AG35" s="36" t="s">
        <v>1262</v>
      </c>
      <c r="AH35" s="36" t="s">
        <v>429</v>
      </c>
      <c r="AI35" s="36" t="s">
        <v>1263</v>
      </c>
      <c r="AJ35" s="36" t="s">
        <v>429</v>
      </c>
      <c r="AK35" s="36" t="s">
        <v>1264</v>
      </c>
      <c r="AL35" s="36" t="s">
        <v>429</v>
      </c>
      <c r="AM35" s="36" t="s">
        <v>1265</v>
      </c>
      <c r="AN35" s="36" t="s">
        <v>429</v>
      </c>
      <c r="AO35" s="36" t="s">
        <v>1266</v>
      </c>
      <c r="AP35" s="36" t="s">
        <v>429</v>
      </c>
      <c r="AQ35" s="36" t="s">
        <v>1267</v>
      </c>
      <c r="AR35" s="36" t="s">
        <v>429</v>
      </c>
      <c r="AS35" s="36" t="s">
        <v>1268</v>
      </c>
      <c r="AT35" s="36" t="s">
        <v>429</v>
      </c>
      <c r="AU35" s="36" t="s">
        <v>1269</v>
      </c>
      <c r="AV35" s="36" t="s">
        <v>429</v>
      </c>
      <c r="AW35" s="36" t="s">
        <v>1269</v>
      </c>
      <c r="AX35" s="36" t="s">
        <v>429</v>
      </c>
      <c r="AY35" s="36" t="s">
        <v>1270</v>
      </c>
      <c r="AZ35" s="36" t="s">
        <v>429</v>
      </c>
      <c r="BA35" s="36" t="s">
        <v>1271</v>
      </c>
      <c r="BB35" s="36" t="s">
        <v>429</v>
      </c>
      <c r="BC35" s="36" t="s">
        <v>1272</v>
      </c>
      <c r="BD35" s="36" t="s">
        <v>429</v>
      </c>
      <c r="BE35" s="36" t="s">
        <v>1273</v>
      </c>
      <c r="BF35" s="36" t="s">
        <v>429</v>
      </c>
      <c r="BG35" s="36" t="s">
        <v>1274</v>
      </c>
      <c r="BH35" s="36" t="s">
        <v>429</v>
      </c>
      <c r="BI35" s="36" t="s">
        <v>1275</v>
      </c>
      <c r="BJ35" s="36" t="s">
        <v>429</v>
      </c>
      <c r="BK35" s="36" t="s">
        <v>1276</v>
      </c>
      <c r="BL35" s="36" t="s">
        <v>429</v>
      </c>
      <c r="BM35" s="36" t="s">
        <v>1277</v>
      </c>
      <c r="BN35" s="36" t="s">
        <v>429</v>
      </c>
      <c r="BO35" s="36" t="s">
        <v>1278</v>
      </c>
      <c r="BP35" s="36" t="s">
        <v>429</v>
      </c>
      <c r="BQ35" s="36" t="s">
        <v>1278</v>
      </c>
      <c r="BR35" s="36" t="s">
        <v>429</v>
      </c>
      <c r="BS35" s="36" t="s">
        <v>1279</v>
      </c>
      <c r="BT35" s="36" t="s">
        <v>429</v>
      </c>
      <c r="BU35" s="36" t="s">
        <v>1280</v>
      </c>
      <c r="BV35" s="36" t="s">
        <v>429</v>
      </c>
      <c r="BW35" s="36" t="s">
        <v>1281</v>
      </c>
      <c r="BX35" s="36" t="s">
        <v>429</v>
      </c>
      <c r="BY35" s="36" t="s">
        <v>1282</v>
      </c>
      <c r="BZ35" s="36" t="s">
        <v>429</v>
      </c>
      <c r="CA35" s="36" t="s">
        <v>651</v>
      </c>
    </row>
    <row r="36" ht="30" customHeight="1" spans="1:79">
      <c r="A36" s="34" t="s">
        <v>76</v>
      </c>
      <c r="B36" s="34" t="s">
        <v>77</v>
      </c>
      <c r="C36" s="34" t="s">
        <v>14</v>
      </c>
      <c r="D36" s="34" t="s">
        <v>15</v>
      </c>
      <c r="E36" s="34" t="s">
        <v>16</v>
      </c>
      <c r="F36" s="34" t="s">
        <v>429</v>
      </c>
      <c r="G36" s="34" t="s">
        <v>1283</v>
      </c>
      <c r="H36" s="34" t="s">
        <v>429</v>
      </c>
      <c r="I36" s="34" t="s">
        <v>1283</v>
      </c>
      <c r="J36" s="34" t="s">
        <v>429</v>
      </c>
      <c r="K36" s="34" t="s">
        <v>1284</v>
      </c>
      <c r="L36" s="34" t="s">
        <v>429</v>
      </c>
      <c r="M36" s="34" t="s">
        <v>1285</v>
      </c>
      <c r="N36" s="34" t="s">
        <v>429</v>
      </c>
      <c r="O36" s="34" t="s">
        <v>1286</v>
      </c>
      <c r="P36" s="34" t="s">
        <v>429</v>
      </c>
      <c r="Q36" s="34" t="s">
        <v>1101</v>
      </c>
      <c r="R36" s="34" t="s">
        <v>429</v>
      </c>
      <c r="S36" s="34" t="s">
        <v>1287</v>
      </c>
      <c r="T36" s="34" t="s">
        <v>429</v>
      </c>
      <c r="U36" s="34" t="s">
        <v>1288</v>
      </c>
      <c r="V36" s="34" t="s">
        <v>429</v>
      </c>
      <c r="W36" s="34" t="s">
        <v>1289</v>
      </c>
      <c r="X36" s="34" t="s">
        <v>429</v>
      </c>
      <c r="Y36" s="34" t="s">
        <v>1290</v>
      </c>
      <c r="Z36" s="34" t="s">
        <v>429</v>
      </c>
      <c r="AA36" s="34" t="s">
        <v>753</v>
      </c>
      <c r="AB36" s="34" t="s">
        <v>429</v>
      </c>
      <c r="AC36" s="34" t="s">
        <v>1291</v>
      </c>
      <c r="AD36" s="34" t="s">
        <v>429</v>
      </c>
      <c r="AE36" s="34" t="s">
        <v>759</v>
      </c>
      <c r="AF36" s="34" t="s">
        <v>429</v>
      </c>
      <c r="AG36" s="34" t="s">
        <v>1292</v>
      </c>
      <c r="AH36" s="34" t="s">
        <v>429</v>
      </c>
      <c r="AI36" s="34" t="s">
        <v>1293</v>
      </c>
      <c r="AJ36" s="34" t="s">
        <v>429</v>
      </c>
      <c r="AK36" s="34" t="s">
        <v>1292</v>
      </c>
      <c r="AL36" s="34" t="s">
        <v>429</v>
      </c>
      <c r="AM36" s="34" t="s">
        <v>1294</v>
      </c>
      <c r="AN36" s="34" t="s">
        <v>429</v>
      </c>
      <c r="AO36" s="34" t="s">
        <v>1294</v>
      </c>
      <c r="AP36" s="34" t="s">
        <v>429</v>
      </c>
      <c r="AQ36" s="34" t="s">
        <v>1295</v>
      </c>
      <c r="AR36" s="34" t="s">
        <v>429</v>
      </c>
      <c r="AS36" s="34" t="s">
        <v>1296</v>
      </c>
      <c r="AT36" s="34" t="s">
        <v>429</v>
      </c>
      <c r="AU36" s="34" t="s">
        <v>1297</v>
      </c>
      <c r="AV36" s="34" t="s">
        <v>429</v>
      </c>
      <c r="AW36" s="34" t="s">
        <v>1298</v>
      </c>
      <c r="AX36" s="34" t="s">
        <v>429</v>
      </c>
      <c r="AY36" s="34" t="s">
        <v>1299</v>
      </c>
      <c r="AZ36" s="34" t="s">
        <v>429</v>
      </c>
      <c r="BA36" s="34" t="s">
        <v>1300</v>
      </c>
      <c r="BB36" s="34" t="s">
        <v>429</v>
      </c>
      <c r="BC36" s="34" t="s">
        <v>1301</v>
      </c>
      <c r="BD36" s="34" t="s">
        <v>429</v>
      </c>
      <c r="BE36" s="34" t="s">
        <v>1302</v>
      </c>
      <c r="BF36" s="34" t="s">
        <v>429</v>
      </c>
      <c r="BG36" s="34" t="s">
        <v>1303</v>
      </c>
      <c r="BH36" s="34" t="s">
        <v>429</v>
      </c>
      <c r="BI36" s="34" t="s">
        <v>1304</v>
      </c>
      <c r="BJ36" s="34" t="s">
        <v>429</v>
      </c>
      <c r="BK36" s="34" t="s">
        <v>1305</v>
      </c>
      <c r="BL36" s="34" t="s">
        <v>429</v>
      </c>
      <c r="BM36" s="34" t="s">
        <v>1306</v>
      </c>
      <c r="BN36" s="34" t="s">
        <v>429</v>
      </c>
      <c r="BO36" s="34" t="s">
        <v>1307</v>
      </c>
      <c r="BP36" s="34" t="s">
        <v>429</v>
      </c>
      <c r="BQ36" s="34" t="s">
        <v>1307</v>
      </c>
      <c r="BR36" s="34" t="s">
        <v>429</v>
      </c>
      <c r="BS36" s="34" t="s">
        <v>1308</v>
      </c>
      <c r="BT36" s="34" t="s">
        <v>429</v>
      </c>
      <c r="BU36" s="34" t="s">
        <v>1308</v>
      </c>
      <c r="BV36" s="34" t="s">
        <v>429</v>
      </c>
      <c r="BW36" s="34" t="s">
        <v>1309</v>
      </c>
      <c r="BX36" s="34" t="s">
        <v>429</v>
      </c>
      <c r="BY36" s="34" t="s">
        <v>1310</v>
      </c>
      <c r="BZ36" s="34" t="s">
        <v>429</v>
      </c>
      <c r="CA36" s="34" t="s">
        <v>620</v>
      </c>
    </row>
    <row r="37" ht="30" customHeight="1" spans="1:79">
      <c r="A37" s="36" t="s">
        <v>78</v>
      </c>
      <c r="B37" s="36" t="s">
        <v>79</v>
      </c>
      <c r="C37" s="36" t="s">
        <v>14</v>
      </c>
      <c r="D37" s="36" t="s">
        <v>15</v>
      </c>
      <c r="E37" s="36" t="s">
        <v>16</v>
      </c>
      <c r="F37" s="36" t="s">
        <v>429</v>
      </c>
      <c r="G37" s="36" t="s">
        <v>1311</v>
      </c>
      <c r="H37" s="36" t="s">
        <v>429</v>
      </c>
      <c r="I37" s="36" t="s">
        <v>1311</v>
      </c>
      <c r="J37" s="36" t="s">
        <v>429</v>
      </c>
      <c r="K37" s="36" t="s">
        <v>1311</v>
      </c>
      <c r="L37" s="36" t="s">
        <v>429</v>
      </c>
      <c r="M37" s="36" t="s">
        <v>901</v>
      </c>
      <c r="N37" s="36" t="s">
        <v>429</v>
      </c>
      <c r="O37" s="36" t="s">
        <v>901</v>
      </c>
      <c r="P37" s="36" t="s">
        <v>429</v>
      </c>
      <c r="Q37" s="36" t="s">
        <v>1312</v>
      </c>
      <c r="R37" s="36" t="s">
        <v>429</v>
      </c>
      <c r="S37" s="36" t="s">
        <v>1313</v>
      </c>
      <c r="T37" s="36" t="s">
        <v>429</v>
      </c>
      <c r="U37" s="36" t="s">
        <v>1314</v>
      </c>
      <c r="V37" s="36" t="s">
        <v>429</v>
      </c>
      <c r="W37" s="36" t="s">
        <v>1315</v>
      </c>
      <c r="X37" s="36" t="s">
        <v>429</v>
      </c>
      <c r="Y37" s="36" t="s">
        <v>1316</v>
      </c>
      <c r="Z37" s="36" t="s">
        <v>429</v>
      </c>
      <c r="AA37" s="36" t="s">
        <v>1317</v>
      </c>
      <c r="AB37" s="36" t="s">
        <v>429</v>
      </c>
      <c r="AC37" s="36" t="s">
        <v>1318</v>
      </c>
      <c r="AD37" s="36" t="s">
        <v>429</v>
      </c>
      <c r="AE37" s="36" t="s">
        <v>966</v>
      </c>
      <c r="AF37" s="36" t="s">
        <v>429</v>
      </c>
      <c r="AG37" s="36" t="s">
        <v>909</v>
      </c>
      <c r="AH37" s="36" t="s">
        <v>429</v>
      </c>
      <c r="AI37" s="36" t="s">
        <v>626</v>
      </c>
      <c r="AJ37" s="36" t="s">
        <v>429</v>
      </c>
      <c r="AK37" s="36" t="s">
        <v>1319</v>
      </c>
      <c r="AL37" s="36" t="s">
        <v>429</v>
      </c>
      <c r="AM37" s="36" t="s">
        <v>1320</v>
      </c>
      <c r="AN37" s="36" t="s">
        <v>429</v>
      </c>
      <c r="AO37" s="36" t="s">
        <v>483</v>
      </c>
      <c r="AP37" s="36" t="s">
        <v>429</v>
      </c>
      <c r="AQ37" s="36" t="s">
        <v>484</v>
      </c>
      <c r="AR37" s="36" t="s">
        <v>429</v>
      </c>
      <c r="AS37" s="36" t="s">
        <v>485</v>
      </c>
      <c r="AT37" s="36" t="s">
        <v>429</v>
      </c>
      <c r="AU37" s="36" t="s">
        <v>659</v>
      </c>
      <c r="AV37" s="36" t="s">
        <v>429</v>
      </c>
      <c r="AW37" s="36" t="s">
        <v>630</v>
      </c>
      <c r="AX37" s="36" t="s">
        <v>429</v>
      </c>
      <c r="AY37" s="36" t="s">
        <v>911</v>
      </c>
      <c r="AZ37" s="36" t="s">
        <v>429</v>
      </c>
      <c r="BA37" s="36" t="s">
        <v>1321</v>
      </c>
      <c r="BB37" s="36" t="s">
        <v>429</v>
      </c>
      <c r="BC37" s="36" t="s">
        <v>1322</v>
      </c>
      <c r="BD37" s="36" t="s">
        <v>429</v>
      </c>
      <c r="BE37" s="36" t="s">
        <v>660</v>
      </c>
      <c r="BF37" s="36" t="s">
        <v>429</v>
      </c>
      <c r="BG37" s="36" t="s">
        <v>1323</v>
      </c>
      <c r="BH37" s="36" t="s">
        <v>429</v>
      </c>
      <c r="BI37" s="36" t="s">
        <v>1324</v>
      </c>
      <c r="BJ37" s="36" t="s">
        <v>429</v>
      </c>
      <c r="BK37" s="36" t="s">
        <v>637</v>
      </c>
      <c r="BL37" s="36" t="s">
        <v>429</v>
      </c>
      <c r="BM37" s="36" t="s">
        <v>1325</v>
      </c>
      <c r="BN37" s="36" t="s">
        <v>429</v>
      </c>
      <c r="BO37" s="36" t="s">
        <v>1326</v>
      </c>
      <c r="BP37" s="36" t="s">
        <v>429</v>
      </c>
      <c r="BQ37" s="36" t="s">
        <v>1327</v>
      </c>
      <c r="BR37" s="36" t="s">
        <v>429</v>
      </c>
      <c r="BS37" s="36" t="s">
        <v>1328</v>
      </c>
      <c r="BT37" s="36" t="s">
        <v>429</v>
      </c>
      <c r="BU37" s="36" t="s">
        <v>1328</v>
      </c>
      <c r="BV37" s="36" t="s">
        <v>429</v>
      </c>
      <c r="BW37" s="36" t="s">
        <v>639</v>
      </c>
      <c r="BX37" s="36" t="s">
        <v>429</v>
      </c>
      <c r="BY37" s="36" t="s">
        <v>1329</v>
      </c>
      <c r="BZ37" s="36" t="s">
        <v>429</v>
      </c>
      <c r="CA37" s="36" t="s">
        <v>899</v>
      </c>
    </row>
    <row r="38" ht="30" customHeight="1" spans="1:79">
      <c r="A38" s="34" t="s">
        <v>80</v>
      </c>
      <c r="B38" s="34" t="s">
        <v>81</v>
      </c>
      <c r="C38" s="34" t="s">
        <v>14</v>
      </c>
      <c r="D38" s="34" t="s">
        <v>15</v>
      </c>
      <c r="E38" s="34" t="s">
        <v>16</v>
      </c>
      <c r="F38" s="34" t="s">
        <v>429</v>
      </c>
      <c r="G38" s="34" t="s">
        <v>1330</v>
      </c>
      <c r="H38" s="34" t="s">
        <v>429</v>
      </c>
      <c r="I38" s="34" t="s">
        <v>1330</v>
      </c>
      <c r="J38" s="34" t="s">
        <v>429</v>
      </c>
      <c r="K38" s="34" t="s">
        <v>1330</v>
      </c>
      <c r="L38" s="34" t="s">
        <v>429</v>
      </c>
      <c r="M38" s="34" t="s">
        <v>1331</v>
      </c>
      <c r="N38" s="34" t="s">
        <v>429</v>
      </c>
      <c r="O38" s="34" t="s">
        <v>1332</v>
      </c>
      <c r="P38" s="34" t="s">
        <v>429</v>
      </c>
      <c r="Q38" s="34" t="s">
        <v>1332</v>
      </c>
      <c r="R38" s="34" t="s">
        <v>429</v>
      </c>
      <c r="S38" s="34" t="s">
        <v>905</v>
      </c>
      <c r="T38" s="34" t="s">
        <v>429</v>
      </c>
      <c r="U38" s="34" t="s">
        <v>905</v>
      </c>
      <c r="V38" s="34" t="s">
        <v>429</v>
      </c>
      <c r="W38" s="34" t="s">
        <v>1333</v>
      </c>
      <c r="X38" s="34" t="s">
        <v>429</v>
      </c>
      <c r="Y38" s="34" t="s">
        <v>1334</v>
      </c>
      <c r="Z38" s="34" t="s">
        <v>429</v>
      </c>
      <c r="AA38" s="34" t="s">
        <v>1335</v>
      </c>
      <c r="AB38" s="34" t="s">
        <v>429</v>
      </c>
      <c r="AC38" s="34" t="s">
        <v>1336</v>
      </c>
      <c r="AD38" s="34" t="s">
        <v>429</v>
      </c>
      <c r="AE38" s="34" t="s">
        <v>1337</v>
      </c>
      <c r="AF38" s="34" t="s">
        <v>429</v>
      </c>
      <c r="AG38" s="34" t="s">
        <v>1336</v>
      </c>
      <c r="AH38" s="34" t="s">
        <v>429</v>
      </c>
      <c r="AI38" s="34" t="s">
        <v>1338</v>
      </c>
      <c r="AJ38" s="34" t="s">
        <v>429</v>
      </c>
      <c r="AK38" s="34" t="s">
        <v>1339</v>
      </c>
      <c r="AL38" s="34" t="s">
        <v>429</v>
      </c>
      <c r="AM38" s="34" t="s">
        <v>1340</v>
      </c>
      <c r="AN38" s="34" t="s">
        <v>429</v>
      </c>
      <c r="AO38" s="34" t="s">
        <v>1339</v>
      </c>
      <c r="AP38" s="34" t="s">
        <v>429</v>
      </c>
      <c r="AQ38" s="34" t="s">
        <v>1341</v>
      </c>
      <c r="AR38" s="34" t="s">
        <v>429</v>
      </c>
      <c r="AS38" s="34" t="s">
        <v>1342</v>
      </c>
      <c r="AT38" s="34" t="s">
        <v>429</v>
      </c>
      <c r="AU38" s="34" t="s">
        <v>1342</v>
      </c>
      <c r="AV38" s="34" t="s">
        <v>429</v>
      </c>
      <c r="AW38" s="34" t="s">
        <v>1342</v>
      </c>
      <c r="AX38" s="34" t="s">
        <v>429</v>
      </c>
      <c r="AY38" s="34" t="s">
        <v>1343</v>
      </c>
      <c r="AZ38" s="34" t="s">
        <v>429</v>
      </c>
      <c r="BA38" s="34" t="s">
        <v>1344</v>
      </c>
      <c r="BB38" s="34" t="s">
        <v>429</v>
      </c>
      <c r="BC38" s="34" t="s">
        <v>1345</v>
      </c>
      <c r="BD38" s="34" t="s">
        <v>429</v>
      </c>
      <c r="BE38" s="34" t="s">
        <v>1344</v>
      </c>
      <c r="BF38" s="34" t="s">
        <v>429</v>
      </c>
      <c r="BG38" s="34" t="s">
        <v>1346</v>
      </c>
      <c r="BH38" s="34" t="s">
        <v>429</v>
      </c>
      <c r="BI38" s="34" t="s">
        <v>1347</v>
      </c>
      <c r="BJ38" s="34" t="s">
        <v>429</v>
      </c>
      <c r="BK38" s="34" t="s">
        <v>1347</v>
      </c>
      <c r="BL38" s="34" t="s">
        <v>429</v>
      </c>
      <c r="BM38" s="34" t="s">
        <v>1347</v>
      </c>
      <c r="BN38" s="34" t="s">
        <v>429</v>
      </c>
      <c r="BO38" s="34" t="s">
        <v>481</v>
      </c>
      <c r="BP38" s="34" t="s">
        <v>429</v>
      </c>
      <c r="BQ38" s="34" t="s">
        <v>1158</v>
      </c>
      <c r="BR38" s="34" t="s">
        <v>429</v>
      </c>
      <c r="BS38" s="34" t="s">
        <v>732</v>
      </c>
      <c r="BT38" s="34" t="s">
        <v>429</v>
      </c>
      <c r="BU38" s="34" t="s">
        <v>1158</v>
      </c>
      <c r="BV38" s="34" t="s">
        <v>429</v>
      </c>
      <c r="BW38" s="34" t="s">
        <v>1348</v>
      </c>
      <c r="BX38" s="34" t="s">
        <v>429</v>
      </c>
      <c r="BY38" s="34" t="s">
        <v>1349</v>
      </c>
      <c r="BZ38" s="34" t="s">
        <v>429</v>
      </c>
      <c r="CA38" s="34" t="s">
        <v>1350</v>
      </c>
    </row>
    <row r="39" ht="30" customHeight="1" spans="1:79">
      <c r="A39" s="36" t="s">
        <v>82</v>
      </c>
      <c r="B39" s="36" t="s">
        <v>83</v>
      </c>
      <c r="C39" s="36" t="s">
        <v>14</v>
      </c>
      <c r="D39" s="36" t="s">
        <v>15</v>
      </c>
      <c r="E39" s="36" t="s">
        <v>16</v>
      </c>
      <c r="F39" s="36" t="s">
        <v>429</v>
      </c>
      <c r="G39" s="36" t="s">
        <v>1351</v>
      </c>
      <c r="H39" s="36" t="s">
        <v>429</v>
      </c>
      <c r="I39" s="36" t="s">
        <v>878</v>
      </c>
      <c r="J39" s="36" t="s">
        <v>429</v>
      </c>
      <c r="K39" s="36" t="s">
        <v>878</v>
      </c>
      <c r="L39" s="36" t="s">
        <v>429</v>
      </c>
      <c r="M39" s="36" t="s">
        <v>1079</v>
      </c>
      <c r="N39" s="36" t="s">
        <v>429</v>
      </c>
      <c r="O39" s="36" t="s">
        <v>878</v>
      </c>
      <c r="P39" s="36" t="s">
        <v>429</v>
      </c>
      <c r="Q39" s="36" t="s">
        <v>1352</v>
      </c>
      <c r="R39" s="36" t="s">
        <v>429</v>
      </c>
      <c r="S39" s="36" t="s">
        <v>1353</v>
      </c>
      <c r="T39" s="36" t="s">
        <v>429</v>
      </c>
      <c r="U39" s="36" t="s">
        <v>1352</v>
      </c>
      <c r="V39" s="36" t="s">
        <v>429</v>
      </c>
      <c r="W39" s="36" t="s">
        <v>1354</v>
      </c>
      <c r="X39" s="36" t="s">
        <v>429</v>
      </c>
      <c r="Y39" s="36" t="s">
        <v>1352</v>
      </c>
      <c r="Z39" s="36" t="s">
        <v>429</v>
      </c>
      <c r="AA39" s="36" t="s">
        <v>800</v>
      </c>
      <c r="AB39" s="36" t="s">
        <v>429</v>
      </c>
      <c r="AC39" s="36" t="s">
        <v>1352</v>
      </c>
      <c r="AD39" s="36" t="s">
        <v>429</v>
      </c>
      <c r="AE39" s="36" t="s">
        <v>1355</v>
      </c>
      <c r="AF39" s="36" t="s">
        <v>429</v>
      </c>
      <c r="AG39" s="36" t="s">
        <v>1352</v>
      </c>
      <c r="AH39" s="36" t="s">
        <v>429</v>
      </c>
      <c r="AI39" s="36" t="s">
        <v>1356</v>
      </c>
      <c r="AJ39" s="36" t="s">
        <v>429</v>
      </c>
      <c r="AK39" s="36" t="s">
        <v>1352</v>
      </c>
      <c r="AL39" s="36" t="s">
        <v>429</v>
      </c>
      <c r="AM39" s="36" t="s">
        <v>1357</v>
      </c>
      <c r="AN39" s="36" t="s">
        <v>429</v>
      </c>
      <c r="AO39" s="36" t="s">
        <v>1352</v>
      </c>
      <c r="AP39" s="36" t="s">
        <v>429</v>
      </c>
      <c r="AQ39" s="36" t="s">
        <v>1358</v>
      </c>
      <c r="AR39" s="36" t="s">
        <v>429</v>
      </c>
      <c r="AS39" s="36" t="s">
        <v>1359</v>
      </c>
      <c r="AT39" s="36" t="s">
        <v>429</v>
      </c>
      <c r="AU39" s="36" t="s">
        <v>1360</v>
      </c>
      <c r="AV39" s="36" t="s">
        <v>429</v>
      </c>
      <c r="AW39" s="36" t="s">
        <v>1359</v>
      </c>
      <c r="AX39" s="36" t="s">
        <v>429</v>
      </c>
      <c r="AY39" s="36" t="s">
        <v>1361</v>
      </c>
      <c r="AZ39" s="36" t="s">
        <v>429</v>
      </c>
      <c r="BA39" s="36" t="s">
        <v>1359</v>
      </c>
      <c r="BB39" s="36" t="s">
        <v>429</v>
      </c>
      <c r="BC39" s="36" t="s">
        <v>1362</v>
      </c>
      <c r="BD39" s="36" t="s">
        <v>429</v>
      </c>
      <c r="BE39" s="36" t="s">
        <v>1359</v>
      </c>
      <c r="BF39" s="36" t="s">
        <v>429</v>
      </c>
      <c r="BG39" s="36" t="s">
        <v>1363</v>
      </c>
      <c r="BH39" s="36" t="s">
        <v>429</v>
      </c>
      <c r="BI39" s="36" t="s">
        <v>1359</v>
      </c>
      <c r="BJ39" s="36" t="s">
        <v>429</v>
      </c>
      <c r="BK39" s="36" t="s">
        <v>1364</v>
      </c>
      <c r="BL39" s="36" t="s">
        <v>429</v>
      </c>
      <c r="BM39" s="36" t="s">
        <v>1359</v>
      </c>
      <c r="BN39" s="36" t="s">
        <v>429</v>
      </c>
      <c r="BO39" s="36" t="s">
        <v>1365</v>
      </c>
      <c r="BP39" s="36" t="s">
        <v>429</v>
      </c>
      <c r="BQ39" s="36" t="s">
        <v>1359</v>
      </c>
      <c r="BR39" s="36" t="s">
        <v>429</v>
      </c>
      <c r="BS39" s="36" t="s">
        <v>1366</v>
      </c>
      <c r="BT39" s="36" t="s">
        <v>429</v>
      </c>
      <c r="BU39" s="36" t="s">
        <v>1367</v>
      </c>
      <c r="BV39" s="36" t="s">
        <v>429</v>
      </c>
      <c r="BW39" s="36" t="s">
        <v>1368</v>
      </c>
      <c r="BX39" s="36" t="s">
        <v>429</v>
      </c>
      <c r="BY39" s="36" t="s">
        <v>898</v>
      </c>
      <c r="BZ39" s="36" t="s">
        <v>429</v>
      </c>
      <c r="CA39" s="36" t="s">
        <v>1369</v>
      </c>
    </row>
    <row r="40" ht="30" customHeight="1" spans="1:79">
      <c r="A40" s="34" t="s">
        <v>84</v>
      </c>
      <c r="B40" s="34" t="s">
        <v>85</v>
      </c>
      <c r="C40" s="34" t="s">
        <v>14</v>
      </c>
      <c r="D40" s="34" t="s">
        <v>15</v>
      </c>
      <c r="E40" s="34" t="s">
        <v>16</v>
      </c>
      <c r="F40" s="34" t="s">
        <v>429</v>
      </c>
      <c r="G40" s="34" t="s">
        <v>1370</v>
      </c>
      <c r="H40" s="34" t="s">
        <v>429</v>
      </c>
      <c r="I40" s="34" t="s">
        <v>1370</v>
      </c>
      <c r="J40" s="34" t="s">
        <v>429</v>
      </c>
      <c r="K40" s="34" t="s">
        <v>1371</v>
      </c>
      <c r="L40" s="34" t="s">
        <v>429</v>
      </c>
      <c r="M40" s="34" t="s">
        <v>797</v>
      </c>
      <c r="N40" s="34" t="s">
        <v>429</v>
      </c>
      <c r="O40" s="34" t="s">
        <v>1022</v>
      </c>
      <c r="P40" s="34" t="s">
        <v>429</v>
      </c>
      <c r="Q40" s="34" t="s">
        <v>1372</v>
      </c>
      <c r="R40" s="34" t="s">
        <v>429</v>
      </c>
      <c r="S40" s="34" t="s">
        <v>857</v>
      </c>
      <c r="T40" s="34" t="s">
        <v>429</v>
      </c>
      <c r="U40" s="34" t="s">
        <v>1372</v>
      </c>
      <c r="V40" s="34" t="s">
        <v>429</v>
      </c>
      <c r="W40" s="34" t="s">
        <v>1373</v>
      </c>
      <c r="X40" s="34" t="s">
        <v>429</v>
      </c>
      <c r="Y40" s="34" t="s">
        <v>1374</v>
      </c>
      <c r="Z40" s="34" t="s">
        <v>429</v>
      </c>
      <c r="AA40" s="34" t="s">
        <v>1375</v>
      </c>
      <c r="AB40" s="34" t="s">
        <v>429</v>
      </c>
      <c r="AC40" s="34" t="s">
        <v>967</v>
      </c>
      <c r="AD40" s="34" t="s">
        <v>429</v>
      </c>
      <c r="AE40" s="34" t="s">
        <v>476</v>
      </c>
      <c r="AF40" s="34" t="s">
        <v>429</v>
      </c>
      <c r="AG40" s="34" t="s">
        <v>477</v>
      </c>
      <c r="AH40" s="34" t="s">
        <v>429</v>
      </c>
      <c r="AI40" s="34" t="s">
        <v>510</v>
      </c>
      <c r="AJ40" s="34" t="s">
        <v>429</v>
      </c>
      <c r="AK40" s="34" t="s">
        <v>1376</v>
      </c>
      <c r="AL40" s="34" t="s">
        <v>429</v>
      </c>
      <c r="AM40" s="34" t="s">
        <v>1377</v>
      </c>
      <c r="AN40" s="34" t="s">
        <v>429</v>
      </c>
      <c r="AO40" s="34" t="s">
        <v>1378</v>
      </c>
      <c r="AP40" s="34" t="s">
        <v>429</v>
      </c>
      <c r="AQ40" s="34" t="s">
        <v>1379</v>
      </c>
      <c r="AR40" s="34" t="s">
        <v>429</v>
      </c>
      <c r="AS40" s="34" t="s">
        <v>1380</v>
      </c>
      <c r="AT40" s="34" t="s">
        <v>429</v>
      </c>
      <c r="AU40" s="34" t="s">
        <v>1381</v>
      </c>
      <c r="AV40" s="34" t="s">
        <v>429</v>
      </c>
      <c r="AW40" s="34" t="s">
        <v>1158</v>
      </c>
      <c r="AX40" s="34" t="s">
        <v>429</v>
      </c>
      <c r="AY40" s="34" t="s">
        <v>627</v>
      </c>
      <c r="AZ40" s="34" t="s">
        <v>429</v>
      </c>
      <c r="BA40" s="34" t="s">
        <v>1382</v>
      </c>
      <c r="BB40" s="34" t="s">
        <v>429</v>
      </c>
      <c r="BC40" s="34" t="s">
        <v>1383</v>
      </c>
      <c r="BD40" s="34" t="s">
        <v>429</v>
      </c>
      <c r="BE40" s="34" t="s">
        <v>975</v>
      </c>
      <c r="BF40" s="34" t="s">
        <v>429</v>
      </c>
      <c r="BG40" s="34" t="s">
        <v>1384</v>
      </c>
      <c r="BH40" s="34" t="s">
        <v>429</v>
      </c>
      <c r="BI40" s="34" t="s">
        <v>976</v>
      </c>
      <c r="BJ40" s="34" t="s">
        <v>429</v>
      </c>
      <c r="BK40" s="34" t="s">
        <v>1112</v>
      </c>
      <c r="BL40" s="34" t="s">
        <v>429</v>
      </c>
      <c r="BM40" s="34" t="s">
        <v>1112</v>
      </c>
      <c r="BN40" s="34" t="s">
        <v>429</v>
      </c>
      <c r="BO40" s="34" t="s">
        <v>978</v>
      </c>
      <c r="BP40" s="34" t="s">
        <v>429</v>
      </c>
      <c r="BQ40" s="34" t="s">
        <v>978</v>
      </c>
      <c r="BR40" s="34" t="s">
        <v>429</v>
      </c>
      <c r="BS40" s="34" t="s">
        <v>1385</v>
      </c>
      <c r="BT40" s="34" t="s">
        <v>429</v>
      </c>
      <c r="BU40" s="34" t="s">
        <v>669</v>
      </c>
      <c r="BV40" s="34" t="s">
        <v>429</v>
      </c>
      <c r="BW40" s="34" t="s">
        <v>980</v>
      </c>
      <c r="BX40" s="34" t="s">
        <v>429</v>
      </c>
      <c r="BY40" s="34" t="s">
        <v>1386</v>
      </c>
      <c r="BZ40" s="34" t="s">
        <v>429</v>
      </c>
      <c r="CA40" s="34" t="s">
        <v>1387</v>
      </c>
    </row>
    <row r="41" ht="30" customHeight="1" spans="1:79">
      <c r="A41" s="36" t="s">
        <v>86</v>
      </c>
      <c r="B41" s="36" t="s">
        <v>87</v>
      </c>
      <c r="C41" s="36" t="s">
        <v>14</v>
      </c>
      <c r="D41" s="36" t="s">
        <v>15</v>
      </c>
      <c r="E41" s="36" t="s">
        <v>16</v>
      </c>
      <c r="F41" s="36" t="s">
        <v>429</v>
      </c>
      <c r="G41" s="36" t="s">
        <v>465</v>
      </c>
      <c r="H41" s="36" t="s">
        <v>429</v>
      </c>
      <c r="I41" s="36" t="s">
        <v>466</v>
      </c>
      <c r="J41" s="36" t="s">
        <v>429</v>
      </c>
      <c r="K41" s="36" t="s">
        <v>1388</v>
      </c>
      <c r="L41" s="36" t="s">
        <v>429</v>
      </c>
      <c r="M41" s="36" t="s">
        <v>1389</v>
      </c>
      <c r="N41" s="36" t="s">
        <v>429</v>
      </c>
      <c r="O41" s="36" t="s">
        <v>1389</v>
      </c>
      <c r="P41" s="36" t="s">
        <v>429</v>
      </c>
      <c r="Q41" s="36" t="s">
        <v>1390</v>
      </c>
      <c r="R41" s="36" t="s">
        <v>429</v>
      </c>
      <c r="S41" s="36" t="s">
        <v>1312</v>
      </c>
      <c r="T41" s="36" t="s">
        <v>429</v>
      </c>
      <c r="U41" s="36" t="s">
        <v>1391</v>
      </c>
      <c r="V41" s="36" t="s">
        <v>429</v>
      </c>
      <c r="W41" s="36" t="s">
        <v>1371</v>
      </c>
      <c r="X41" s="36" t="s">
        <v>429</v>
      </c>
      <c r="Y41" s="36" t="s">
        <v>1392</v>
      </c>
      <c r="Z41" s="36" t="s">
        <v>429</v>
      </c>
      <c r="AA41" s="36" t="s">
        <v>446</v>
      </c>
      <c r="AB41" s="36" t="s">
        <v>429</v>
      </c>
      <c r="AC41" s="36" t="s">
        <v>447</v>
      </c>
      <c r="AD41" s="36" t="s">
        <v>429</v>
      </c>
      <c r="AE41" s="36" t="s">
        <v>1393</v>
      </c>
      <c r="AF41" s="36" t="s">
        <v>429</v>
      </c>
      <c r="AG41" s="36" t="s">
        <v>1394</v>
      </c>
      <c r="AH41" s="36" t="s">
        <v>429</v>
      </c>
      <c r="AI41" s="36" t="s">
        <v>1395</v>
      </c>
      <c r="AJ41" s="36" t="s">
        <v>429</v>
      </c>
      <c r="AK41" s="36" t="s">
        <v>1396</v>
      </c>
      <c r="AL41" s="36" t="s">
        <v>429</v>
      </c>
      <c r="AM41" s="36" t="s">
        <v>1397</v>
      </c>
      <c r="AN41" s="36" t="s">
        <v>429</v>
      </c>
      <c r="AO41" s="36" t="s">
        <v>870</v>
      </c>
      <c r="AP41" s="36" t="s">
        <v>429</v>
      </c>
      <c r="AQ41" s="36" t="s">
        <v>1398</v>
      </c>
      <c r="AR41" s="36" t="s">
        <v>429</v>
      </c>
      <c r="AS41" s="36" t="s">
        <v>1399</v>
      </c>
      <c r="AT41" s="36" t="s">
        <v>429</v>
      </c>
      <c r="AU41" s="36" t="s">
        <v>1400</v>
      </c>
      <c r="AV41" s="36" t="s">
        <v>429</v>
      </c>
      <c r="AW41" s="36" t="s">
        <v>1400</v>
      </c>
      <c r="AX41" s="36" t="s">
        <v>429</v>
      </c>
      <c r="AY41" s="36" t="s">
        <v>1401</v>
      </c>
      <c r="AZ41" s="36" t="s">
        <v>429</v>
      </c>
      <c r="BA41" s="36" t="s">
        <v>1402</v>
      </c>
      <c r="BB41" s="36" t="s">
        <v>429</v>
      </c>
      <c r="BC41" s="36" t="s">
        <v>1403</v>
      </c>
      <c r="BD41" s="36" t="s">
        <v>429</v>
      </c>
      <c r="BE41" s="36" t="s">
        <v>1404</v>
      </c>
      <c r="BF41" s="36" t="s">
        <v>429</v>
      </c>
      <c r="BG41" s="36" t="s">
        <v>758</v>
      </c>
      <c r="BH41" s="36" t="s">
        <v>429</v>
      </c>
      <c r="BI41" s="36" t="s">
        <v>658</v>
      </c>
      <c r="BJ41" s="36" t="s">
        <v>429</v>
      </c>
      <c r="BK41" s="36" t="s">
        <v>659</v>
      </c>
      <c r="BL41" s="36" t="s">
        <v>429</v>
      </c>
      <c r="BM41" s="36" t="s">
        <v>1086</v>
      </c>
      <c r="BN41" s="36" t="s">
        <v>429</v>
      </c>
      <c r="BO41" s="36" t="s">
        <v>1291</v>
      </c>
      <c r="BP41" s="36" t="s">
        <v>429</v>
      </c>
      <c r="BQ41" s="36" t="s">
        <v>632</v>
      </c>
      <c r="BR41" s="36" t="s">
        <v>429</v>
      </c>
      <c r="BS41" s="36" t="s">
        <v>1321</v>
      </c>
      <c r="BT41" s="36" t="s">
        <v>429</v>
      </c>
      <c r="BU41" s="36" t="s">
        <v>635</v>
      </c>
      <c r="BV41" s="36" t="s">
        <v>429</v>
      </c>
      <c r="BW41" s="36" t="s">
        <v>636</v>
      </c>
      <c r="BX41" s="36" t="s">
        <v>429</v>
      </c>
      <c r="BY41" s="36" t="s">
        <v>853</v>
      </c>
      <c r="BZ41" s="36" t="s">
        <v>429</v>
      </c>
      <c r="CA41" s="36" t="s">
        <v>1405</v>
      </c>
    </row>
    <row r="42" ht="30" customHeight="1" spans="1:79">
      <c r="A42" s="34" t="s">
        <v>88</v>
      </c>
      <c r="B42" s="34" t="s">
        <v>89</v>
      </c>
      <c r="C42" s="34" t="s">
        <v>14</v>
      </c>
      <c r="D42" s="34" t="s">
        <v>15</v>
      </c>
      <c r="E42" s="34" t="s">
        <v>16</v>
      </c>
      <c r="F42" s="34" t="s">
        <v>429</v>
      </c>
      <c r="G42" s="34" t="s">
        <v>1406</v>
      </c>
      <c r="H42" s="34" t="s">
        <v>429</v>
      </c>
      <c r="I42" s="34" t="s">
        <v>1406</v>
      </c>
      <c r="J42" s="34" t="s">
        <v>429</v>
      </c>
      <c r="K42" s="34" t="s">
        <v>1406</v>
      </c>
      <c r="L42" s="34" t="s">
        <v>429</v>
      </c>
      <c r="M42" s="34" t="s">
        <v>1407</v>
      </c>
      <c r="N42" s="34" t="s">
        <v>429</v>
      </c>
      <c r="O42" s="34" t="s">
        <v>1408</v>
      </c>
      <c r="P42" s="34" t="s">
        <v>429</v>
      </c>
      <c r="Q42" s="34" t="s">
        <v>466</v>
      </c>
      <c r="R42" s="34" t="s">
        <v>429</v>
      </c>
      <c r="S42" s="34" t="s">
        <v>1200</v>
      </c>
      <c r="T42" s="34" t="s">
        <v>429</v>
      </c>
      <c r="U42" s="34" t="s">
        <v>826</v>
      </c>
      <c r="V42" s="34" t="s">
        <v>429</v>
      </c>
      <c r="W42" s="34" t="s">
        <v>1409</v>
      </c>
      <c r="X42" s="34" t="s">
        <v>429</v>
      </c>
      <c r="Y42" s="34" t="s">
        <v>880</v>
      </c>
      <c r="Z42" s="34" t="s">
        <v>429</v>
      </c>
      <c r="AA42" s="34" t="s">
        <v>909</v>
      </c>
      <c r="AB42" s="34" t="s">
        <v>429</v>
      </c>
      <c r="AC42" s="34" t="s">
        <v>1410</v>
      </c>
      <c r="AD42" s="34" t="s">
        <v>429</v>
      </c>
      <c r="AE42" s="34" t="s">
        <v>1411</v>
      </c>
      <c r="AF42" s="34" t="s">
        <v>429</v>
      </c>
      <c r="AG42" s="34" t="s">
        <v>1345</v>
      </c>
      <c r="AH42" s="34" t="s">
        <v>429</v>
      </c>
      <c r="AI42" s="34" t="s">
        <v>1412</v>
      </c>
      <c r="AJ42" s="34" t="s">
        <v>429</v>
      </c>
      <c r="AK42" s="34" t="s">
        <v>1413</v>
      </c>
      <c r="AL42" s="34" t="s">
        <v>429</v>
      </c>
      <c r="AM42" s="34" t="s">
        <v>1414</v>
      </c>
      <c r="AN42" s="34" t="s">
        <v>429</v>
      </c>
      <c r="AO42" s="34" t="s">
        <v>1415</v>
      </c>
      <c r="AP42" s="34" t="s">
        <v>429</v>
      </c>
      <c r="AQ42" s="34" t="s">
        <v>1416</v>
      </c>
      <c r="AR42" s="34" t="s">
        <v>429</v>
      </c>
      <c r="AS42" s="34" t="s">
        <v>629</v>
      </c>
      <c r="AT42" s="34" t="s">
        <v>429</v>
      </c>
      <c r="AU42" s="34" t="s">
        <v>1382</v>
      </c>
      <c r="AV42" s="34" t="s">
        <v>429</v>
      </c>
      <c r="AW42" s="34" t="s">
        <v>1417</v>
      </c>
      <c r="AX42" s="34" t="s">
        <v>429</v>
      </c>
      <c r="AY42" s="34" t="s">
        <v>1418</v>
      </c>
      <c r="AZ42" s="34" t="s">
        <v>429</v>
      </c>
      <c r="BA42" s="34" t="s">
        <v>1036</v>
      </c>
      <c r="BB42" s="34" t="s">
        <v>429</v>
      </c>
      <c r="BC42" s="34" t="s">
        <v>1038</v>
      </c>
      <c r="BD42" s="34" t="s">
        <v>429</v>
      </c>
      <c r="BE42" s="34" t="s">
        <v>1419</v>
      </c>
      <c r="BF42" s="34" t="s">
        <v>429</v>
      </c>
      <c r="BG42" s="34" t="s">
        <v>1420</v>
      </c>
      <c r="BH42" s="34" t="s">
        <v>429</v>
      </c>
      <c r="BI42" s="34" t="s">
        <v>1421</v>
      </c>
      <c r="BJ42" s="34" t="s">
        <v>429</v>
      </c>
      <c r="BK42" s="34" t="s">
        <v>1422</v>
      </c>
      <c r="BL42" s="34" t="s">
        <v>429</v>
      </c>
      <c r="BM42" s="34" t="s">
        <v>1423</v>
      </c>
      <c r="BN42" s="34" t="s">
        <v>429</v>
      </c>
      <c r="BO42" s="34" t="s">
        <v>1424</v>
      </c>
      <c r="BP42" s="34" t="s">
        <v>429</v>
      </c>
      <c r="BQ42" s="34" t="s">
        <v>1425</v>
      </c>
      <c r="BR42" s="34" t="s">
        <v>429</v>
      </c>
      <c r="BS42" s="34" t="s">
        <v>1269</v>
      </c>
      <c r="BT42" s="34" t="s">
        <v>429</v>
      </c>
      <c r="BU42" s="34" t="s">
        <v>1426</v>
      </c>
      <c r="BV42" s="34" t="s">
        <v>429</v>
      </c>
      <c r="BW42" s="34" t="s">
        <v>1427</v>
      </c>
      <c r="BX42" s="34" t="s">
        <v>429</v>
      </c>
      <c r="BY42" s="34" t="s">
        <v>898</v>
      </c>
      <c r="BZ42" s="34" t="s">
        <v>681</v>
      </c>
      <c r="CA42" s="34" t="s">
        <v>682</v>
      </c>
    </row>
    <row r="43" ht="30" customHeight="1" spans="1:79">
      <c r="A43" s="36" t="s">
        <v>90</v>
      </c>
      <c r="B43" s="36" t="s">
        <v>91</v>
      </c>
      <c r="C43" s="36" t="s">
        <v>14</v>
      </c>
      <c r="D43" s="36" t="s">
        <v>15</v>
      </c>
      <c r="E43" s="36" t="s">
        <v>16</v>
      </c>
      <c r="F43" s="36" t="s">
        <v>429</v>
      </c>
      <c r="G43" s="36" t="s">
        <v>1428</v>
      </c>
      <c r="H43" s="36" t="s">
        <v>429</v>
      </c>
      <c r="I43" s="36" t="s">
        <v>1428</v>
      </c>
      <c r="J43" s="36" t="s">
        <v>429</v>
      </c>
      <c r="K43" s="36" t="s">
        <v>1428</v>
      </c>
      <c r="L43" s="36" t="s">
        <v>429</v>
      </c>
      <c r="M43" s="36" t="s">
        <v>1429</v>
      </c>
      <c r="N43" s="36" t="s">
        <v>429</v>
      </c>
      <c r="O43" s="36" t="s">
        <v>1430</v>
      </c>
      <c r="P43" s="36" t="s">
        <v>429</v>
      </c>
      <c r="Q43" s="36" t="s">
        <v>1431</v>
      </c>
      <c r="R43" s="36" t="s">
        <v>429</v>
      </c>
      <c r="S43" s="36" t="s">
        <v>1432</v>
      </c>
      <c r="T43" s="36" t="s">
        <v>429</v>
      </c>
      <c r="U43" s="36" t="s">
        <v>1433</v>
      </c>
      <c r="V43" s="36" t="s">
        <v>429</v>
      </c>
      <c r="W43" s="36" t="s">
        <v>1434</v>
      </c>
      <c r="X43" s="36" t="s">
        <v>429</v>
      </c>
      <c r="Y43" s="36" t="s">
        <v>1435</v>
      </c>
      <c r="Z43" s="36" t="s">
        <v>429</v>
      </c>
      <c r="AA43" s="36" t="s">
        <v>1436</v>
      </c>
      <c r="AB43" s="36" t="s">
        <v>429</v>
      </c>
      <c r="AC43" s="36" t="s">
        <v>1437</v>
      </c>
      <c r="AD43" s="36" t="s">
        <v>429</v>
      </c>
      <c r="AE43" s="36" t="s">
        <v>1438</v>
      </c>
      <c r="AF43" s="36" t="s">
        <v>429</v>
      </c>
      <c r="AG43" s="36" t="s">
        <v>1439</v>
      </c>
      <c r="AH43" s="36" t="s">
        <v>429</v>
      </c>
      <c r="AI43" s="36" t="s">
        <v>1440</v>
      </c>
      <c r="AJ43" s="36" t="s">
        <v>429</v>
      </c>
      <c r="AK43" s="36" t="s">
        <v>1441</v>
      </c>
      <c r="AL43" s="36" t="s">
        <v>429</v>
      </c>
      <c r="AM43" s="36" t="s">
        <v>1442</v>
      </c>
      <c r="AN43" s="36" t="s">
        <v>429</v>
      </c>
      <c r="AO43" s="36" t="s">
        <v>1443</v>
      </c>
      <c r="AP43" s="36" t="s">
        <v>429</v>
      </c>
      <c r="AQ43" s="36" t="s">
        <v>1444</v>
      </c>
      <c r="AR43" s="36" t="s">
        <v>429</v>
      </c>
      <c r="AS43" s="36" t="s">
        <v>1445</v>
      </c>
      <c r="AT43" s="36" t="s">
        <v>429</v>
      </c>
      <c r="AU43" s="36" t="s">
        <v>1446</v>
      </c>
      <c r="AV43" s="36" t="s">
        <v>429</v>
      </c>
      <c r="AW43" s="36" t="s">
        <v>1447</v>
      </c>
      <c r="AX43" s="36" t="s">
        <v>429</v>
      </c>
      <c r="AY43" s="36" t="s">
        <v>1448</v>
      </c>
      <c r="AZ43" s="36" t="s">
        <v>429</v>
      </c>
      <c r="BA43" s="36" t="s">
        <v>1449</v>
      </c>
      <c r="BB43" s="36" t="s">
        <v>429</v>
      </c>
      <c r="BC43" s="36" t="s">
        <v>1450</v>
      </c>
      <c r="BD43" s="36" t="s">
        <v>429</v>
      </c>
      <c r="BE43" s="36" t="s">
        <v>1451</v>
      </c>
      <c r="BF43" s="36" t="s">
        <v>429</v>
      </c>
      <c r="BG43" s="36" t="s">
        <v>1452</v>
      </c>
      <c r="BH43" s="36" t="s">
        <v>429</v>
      </c>
      <c r="BI43" s="36" t="s">
        <v>1453</v>
      </c>
      <c r="BJ43" s="36" t="s">
        <v>429</v>
      </c>
      <c r="BK43" s="36" t="s">
        <v>1454</v>
      </c>
      <c r="BL43" s="36" t="s">
        <v>429</v>
      </c>
      <c r="BM43" s="36" t="s">
        <v>1455</v>
      </c>
      <c r="BN43" s="36" t="s">
        <v>429</v>
      </c>
      <c r="BO43" s="36" t="s">
        <v>1456</v>
      </c>
      <c r="BP43" s="36" t="s">
        <v>429</v>
      </c>
      <c r="BQ43" s="36" t="s">
        <v>1457</v>
      </c>
      <c r="BR43" s="36" t="s">
        <v>429</v>
      </c>
      <c r="BS43" s="36" t="s">
        <v>1458</v>
      </c>
      <c r="BT43" s="36" t="s">
        <v>429</v>
      </c>
      <c r="BU43" s="36" t="s">
        <v>1459</v>
      </c>
      <c r="BV43" s="36" t="s">
        <v>429</v>
      </c>
      <c r="BW43" s="36" t="s">
        <v>1460</v>
      </c>
      <c r="BX43" s="36" t="s">
        <v>429</v>
      </c>
      <c r="BY43" s="36" t="s">
        <v>1461</v>
      </c>
      <c r="BZ43" s="36" t="s">
        <v>429</v>
      </c>
      <c r="CA43" s="36" t="s">
        <v>1462</v>
      </c>
    </row>
    <row r="44" ht="30" customHeight="1" spans="1:79">
      <c r="A44" s="34" t="s">
        <v>92</v>
      </c>
      <c r="B44" s="34" t="s">
        <v>93</v>
      </c>
      <c r="C44" s="34" t="s">
        <v>14</v>
      </c>
      <c r="D44" s="34" t="s">
        <v>15</v>
      </c>
      <c r="E44" s="34" t="s">
        <v>16</v>
      </c>
      <c r="F44" s="34" t="s">
        <v>429</v>
      </c>
      <c r="G44" s="34" t="s">
        <v>1311</v>
      </c>
      <c r="H44" s="34" t="s">
        <v>429</v>
      </c>
      <c r="I44" s="34" t="s">
        <v>1311</v>
      </c>
      <c r="J44" s="34" t="s">
        <v>429</v>
      </c>
      <c r="K44" s="34" t="s">
        <v>1074</v>
      </c>
      <c r="L44" s="34" t="s">
        <v>429</v>
      </c>
      <c r="M44" s="34" t="s">
        <v>1045</v>
      </c>
      <c r="N44" s="34" t="s">
        <v>429</v>
      </c>
      <c r="O44" s="34" t="s">
        <v>1463</v>
      </c>
      <c r="P44" s="34" t="s">
        <v>429</v>
      </c>
      <c r="Q44" s="34" t="s">
        <v>904</v>
      </c>
      <c r="R44" s="34" t="s">
        <v>429</v>
      </c>
      <c r="S44" s="34" t="s">
        <v>826</v>
      </c>
      <c r="T44" s="34" t="s">
        <v>429</v>
      </c>
      <c r="U44" s="34" t="s">
        <v>1464</v>
      </c>
      <c r="V44" s="34" t="s">
        <v>429</v>
      </c>
      <c r="W44" s="34" t="s">
        <v>1465</v>
      </c>
      <c r="X44" s="34" t="s">
        <v>429</v>
      </c>
      <c r="Y44" s="34" t="s">
        <v>1314</v>
      </c>
      <c r="Z44" s="34" t="s">
        <v>429</v>
      </c>
      <c r="AA44" s="34" t="s">
        <v>1466</v>
      </c>
      <c r="AB44" s="34" t="s">
        <v>429</v>
      </c>
      <c r="AC44" s="34" t="s">
        <v>1466</v>
      </c>
      <c r="AD44" s="34" t="s">
        <v>429</v>
      </c>
      <c r="AE44" s="34" t="s">
        <v>474</v>
      </c>
      <c r="AF44" s="34" t="s">
        <v>429</v>
      </c>
      <c r="AG44" s="34" t="s">
        <v>909</v>
      </c>
      <c r="AH44" s="34" t="s">
        <v>429</v>
      </c>
      <c r="AI44" s="34" t="s">
        <v>967</v>
      </c>
      <c r="AJ44" s="34" t="s">
        <v>429</v>
      </c>
      <c r="AK44" s="34" t="s">
        <v>967</v>
      </c>
      <c r="AL44" s="34" t="s">
        <v>429</v>
      </c>
      <c r="AM44" s="34" t="s">
        <v>778</v>
      </c>
      <c r="AN44" s="34" t="s">
        <v>429</v>
      </c>
      <c r="AO44" s="34" t="s">
        <v>828</v>
      </c>
      <c r="AP44" s="34" t="s">
        <v>429</v>
      </c>
      <c r="AQ44" s="34" t="s">
        <v>781</v>
      </c>
      <c r="AR44" s="34" t="s">
        <v>429</v>
      </c>
      <c r="AS44" s="34" t="s">
        <v>1082</v>
      </c>
      <c r="AT44" s="34" t="s">
        <v>429</v>
      </c>
      <c r="AU44" s="34" t="s">
        <v>1467</v>
      </c>
      <c r="AV44" s="34" t="s">
        <v>429</v>
      </c>
      <c r="AW44" s="34" t="s">
        <v>1468</v>
      </c>
      <c r="AX44" s="34" t="s">
        <v>429</v>
      </c>
      <c r="AY44" s="34" t="s">
        <v>1469</v>
      </c>
      <c r="AZ44" s="34" t="s">
        <v>429</v>
      </c>
      <c r="BA44" s="34" t="s">
        <v>626</v>
      </c>
      <c r="BB44" s="34" t="s">
        <v>429</v>
      </c>
      <c r="BC44" s="34" t="s">
        <v>1158</v>
      </c>
      <c r="BD44" s="34" t="s">
        <v>429</v>
      </c>
      <c r="BE44" s="34" t="s">
        <v>1348</v>
      </c>
      <c r="BF44" s="34" t="s">
        <v>429</v>
      </c>
      <c r="BG44" s="34" t="s">
        <v>1470</v>
      </c>
      <c r="BH44" s="34" t="s">
        <v>429</v>
      </c>
      <c r="BI44" s="34" t="s">
        <v>809</v>
      </c>
      <c r="BJ44" s="34" t="s">
        <v>429</v>
      </c>
      <c r="BK44" s="34" t="s">
        <v>629</v>
      </c>
      <c r="BL44" s="34" t="s">
        <v>429</v>
      </c>
      <c r="BM44" s="34" t="s">
        <v>872</v>
      </c>
      <c r="BN44" s="34" t="s">
        <v>429</v>
      </c>
      <c r="BO44" s="34" t="s">
        <v>1471</v>
      </c>
      <c r="BP44" s="34" t="s">
        <v>429</v>
      </c>
      <c r="BQ44" s="34" t="s">
        <v>1471</v>
      </c>
      <c r="BR44" s="34" t="s">
        <v>429</v>
      </c>
      <c r="BS44" s="34" t="s">
        <v>1472</v>
      </c>
      <c r="BT44" s="34" t="s">
        <v>429</v>
      </c>
      <c r="BU44" s="34" t="s">
        <v>1473</v>
      </c>
      <c r="BV44" s="34" t="s">
        <v>429</v>
      </c>
      <c r="BW44" s="34" t="s">
        <v>1474</v>
      </c>
      <c r="BX44" s="34" t="s">
        <v>429</v>
      </c>
      <c r="BY44" s="34" t="s">
        <v>853</v>
      </c>
      <c r="BZ44" s="34" t="s">
        <v>429</v>
      </c>
      <c r="CA44" s="34" t="s">
        <v>1475</v>
      </c>
    </row>
    <row r="45" ht="30" customHeight="1" spans="1:79">
      <c r="A45" s="36" t="s">
        <v>94</v>
      </c>
      <c r="B45" s="36" t="s">
        <v>95</v>
      </c>
      <c r="C45" s="36" t="s">
        <v>14</v>
      </c>
      <c r="D45" s="36" t="s">
        <v>15</v>
      </c>
      <c r="E45" s="36" t="s">
        <v>16</v>
      </c>
      <c r="F45" s="36" t="s">
        <v>429</v>
      </c>
      <c r="G45" s="36" t="s">
        <v>465</v>
      </c>
      <c r="H45" s="36" t="s">
        <v>429</v>
      </c>
      <c r="I45" s="36" t="s">
        <v>1283</v>
      </c>
      <c r="J45" s="36" t="s">
        <v>429</v>
      </c>
      <c r="K45" s="36" t="s">
        <v>1283</v>
      </c>
      <c r="L45" s="36" t="s">
        <v>429</v>
      </c>
      <c r="M45" s="36" t="s">
        <v>1285</v>
      </c>
      <c r="N45" s="36" t="s">
        <v>429</v>
      </c>
      <c r="O45" s="36" t="s">
        <v>1285</v>
      </c>
      <c r="P45" s="36" t="s">
        <v>429</v>
      </c>
      <c r="Q45" s="36" t="s">
        <v>1198</v>
      </c>
      <c r="R45" s="36" t="s">
        <v>429</v>
      </c>
      <c r="S45" s="36" t="s">
        <v>1476</v>
      </c>
      <c r="T45" s="36" t="s">
        <v>429</v>
      </c>
      <c r="U45" s="36" t="s">
        <v>1476</v>
      </c>
      <c r="V45" s="36" t="s">
        <v>429</v>
      </c>
      <c r="W45" s="36" t="s">
        <v>1477</v>
      </c>
      <c r="X45" s="36" t="s">
        <v>429</v>
      </c>
      <c r="Y45" s="36" t="s">
        <v>1477</v>
      </c>
      <c r="Z45" s="36" t="s">
        <v>429</v>
      </c>
      <c r="AA45" s="36" t="s">
        <v>603</v>
      </c>
      <c r="AB45" s="36" t="s">
        <v>429</v>
      </c>
      <c r="AC45" s="36" t="s">
        <v>603</v>
      </c>
      <c r="AD45" s="36" t="s">
        <v>429</v>
      </c>
      <c r="AE45" s="36" t="s">
        <v>1478</v>
      </c>
      <c r="AF45" s="36" t="s">
        <v>429</v>
      </c>
      <c r="AG45" s="36" t="s">
        <v>978</v>
      </c>
      <c r="AH45" s="36" t="s">
        <v>429</v>
      </c>
      <c r="AI45" s="36" t="s">
        <v>981</v>
      </c>
      <c r="AJ45" s="36" t="s">
        <v>429</v>
      </c>
      <c r="AK45" s="36" t="s">
        <v>981</v>
      </c>
      <c r="AL45" s="36" t="s">
        <v>429</v>
      </c>
      <c r="AM45" s="36" t="s">
        <v>1161</v>
      </c>
      <c r="AN45" s="36" t="s">
        <v>429</v>
      </c>
      <c r="AO45" s="36" t="s">
        <v>1162</v>
      </c>
      <c r="AP45" s="36" t="s">
        <v>429</v>
      </c>
      <c r="AQ45" s="36" t="s">
        <v>671</v>
      </c>
      <c r="AR45" s="36" t="s">
        <v>429</v>
      </c>
      <c r="AS45" s="36" t="s">
        <v>1479</v>
      </c>
      <c r="AT45" s="36" t="s">
        <v>429</v>
      </c>
      <c r="AU45" s="36" t="s">
        <v>1480</v>
      </c>
      <c r="AV45" s="36" t="s">
        <v>429</v>
      </c>
      <c r="AW45" s="36" t="s">
        <v>1481</v>
      </c>
      <c r="AX45" s="36" t="s">
        <v>429</v>
      </c>
      <c r="AY45" s="36" t="s">
        <v>1482</v>
      </c>
      <c r="AZ45" s="36" t="s">
        <v>429</v>
      </c>
      <c r="BA45" s="36" t="s">
        <v>1483</v>
      </c>
      <c r="BB45" s="36" t="s">
        <v>429</v>
      </c>
      <c r="BC45" s="36" t="s">
        <v>1484</v>
      </c>
      <c r="BD45" s="36" t="s">
        <v>429</v>
      </c>
      <c r="BE45" s="36" t="s">
        <v>1485</v>
      </c>
      <c r="BF45" s="36" t="s">
        <v>429</v>
      </c>
      <c r="BG45" s="36" t="s">
        <v>1486</v>
      </c>
      <c r="BH45" s="36" t="s">
        <v>429</v>
      </c>
      <c r="BI45" s="36" t="s">
        <v>1486</v>
      </c>
      <c r="BJ45" s="36" t="s">
        <v>429</v>
      </c>
      <c r="BK45" s="36" t="s">
        <v>1487</v>
      </c>
      <c r="BL45" s="36" t="s">
        <v>429</v>
      </c>
      <c r="BM45" s="36" t="s">
        <v>932</v>
      </c>
      <c r="BN45" s="36" t="s">
        <v>429</v>
      </c>
      <c r="BO45" s="36" t="s">
        <v>1488</v>
      </c>
      <c r="BP45" s="36" t="s">
        <v>429</v>
      </c>
      <c r="BQ45" s="36" t="s">
        <v>1488</v>
      </c>
      <c r="BR45" s="36" t="s">
        <v>429</v>
      </c>
      <c r="BS45" s="36" t="s">
        <v>1042</v>
      </c>
      <c r="BT45" s="36" t="s">
        <v>429</v>
      </c>
      <c r="BU45" s="36" t="s">
        <v>1042</v>
      </c>
      <c r="BV45" s="36" t="s">
        <v>429</v>
      </c>
      <c r="BW45" s="36" t="s">
        <v>937</v>
      </c>
      <c r="BX45" s="36" t="s">
        <v>429</v>
      </c>
      <c r="BY45" s="36" t="s">
        <v>1489</v>
      </c>
      <c r="BZ45" s="36" t="s">
        <v>429</v>
      </c>
      <c r="CA45" s="36" t="s">
        <v>1490</v>
      </c>
    </row>
    <row r="46" ht="30" customHeight="1" spans="1:79">
      <c r="A46" s="34" t="s">
        <v>96</v>
      </c>
      <c r="B46" s="34" t="s">
        <v>97</v>
      </c>
      <c r="C46" s="34" t="s">
        <v>14</v>
      </c>
      <c r="D46" s="34" t="s">
        <v>15</v>
      </c>
      <c r="E46" s="34" t="s">
        <v>16</v>
      </c>
      <c r="F46" s="34" t="s">
        <v>429</v>
      </c>
      <c r="G46" s="34" t="s">
        <v>1491</v>
      </c>
      <c r="H46" s="34" t="s">
        <v>429</v>
      </c>
      <c r="I46" s="34" t="s">
        <v>1491</v>
      </c>
      <c r="J46" s="34" t="s">
        <v>429</v>
      </c>
      <c r="K46" s="34" t="s">
        <v>1491</v>
      </c>
      <c r="L46" s="34" t="s">
        <v>429</v>
      </c>
      <c r="M46" s="34" t="s">
        <v>1492</v>
      </c>
      <c r="N46" s="34" t="s">
        <v>429</v>
      </c>
      <c r="O46" s="34" t="s">
        <v>1493</v>
      </c>
      <c r="P46" s="34" t="s">
        <v>429</v>
      </c>
      <c r="Q46" s="34" t="s">
        <v>1494</v>
      </c>
      <c r="R46" s="34" t="s">
        <v>429</v>
      </c>
      <c r="S46" s="34" t="s">
        <v>1495</v>
      </c>
      <c r="T46" s="34" t="s">
        <v>429</v>
      </c>
      <c r="U46" s="34" t="s">
        <v>1496</v>
      </c>
      <c r="V46" s="34" t="s">
        <v>429</v>
      </c>
      <c r="W46" s="34" t="s">
        <v>1497</v>
      </c>
      <c r="X46" s="34" t="s">
        <v>429</v>
      </c>
      <c r="Y46" s="34" t="s">
        <v>1498</v>
      </c>
      <c r="Z46" s="34" t="s">
        <v>429</v>
      </c>
      <c r="AA46" s="34" t="s">
        <v>1499</v>
      </c>
      <c r="AB46" s="34" t="s">
        <v>429</v>
      </c>
      <c r="AC46" s="34" t="s">
        <v>1500</v>
      </c>
      <c r="AD46" s="34" t="s">
        <v>429</v>
      </c>
      <c r="AE46" s="34" t="s">
        <v>1501</v>
      </c>
      <c r="AF46" s="34" t="s">
        <v>429</v>
      </c>
      <c r="AG46" s="34" t="s">
        <v>1501</v>
      </c>
      <c r="AH46" s="34" t="s">
        <v>429</v>
      </c>
      <c r="AI46" s="34" t="s">
        <v>1502</v>
      </c>
      <c r="AJ46" s="34" t="s">
        <v>429</v>
      </c>
      <c r="AK46" s="34" t="s">
        <v>1503</v>
      </c>
      <c r="AL46" s="34" t="s">
        <v>429</v>
      </c>
      <c r="AM46" s="34" t="s">
        <v>1504</v>
      </c>
      <c r="AN46" s="34" t="s">
        <v>429</v>
      </c>
      <c r="AO46" s="34" t="s">
        <v>1504</v>
      </c>
      <c r="AP46" s="34" t="s">
        <v>429</v>
      </c>
      <c r="AQ46" s="34" t="s">
        <v>1505</v>
      </c>
      <c r="AR46" s="34" t="s">
        <v>429</v>
      </c>
      <c r="AS46" s="34" t="s">
        <v>1506</v>
      </c>
      <c r="AT46" s="34" t="s">
        <v>429</v>
      </c>
      <c r="AU46" s="34" t="s">
        <v>1507</v>
      </c>
      <c r="AV46" s="34" t="s">
        <v>429</v>
      </c>
      <c r="AW46" s="34" t="s">
        <v>1508</v>
      </c>
      <c r="AX46" s="34" t="s">
        <v>429</v>
      </c>
      <c r="AY46" s="34" t="s">
        <v>1509</v>
      </c>
      <c r="AZ46" s="34" t="s">
        <v>429</v>
      </c>
      <c r="BA46" s="34" t="s">
        <v>1510</v>
      </c>
      <c r="BB46" s="34" t="s">
        <v>429</v>
      </c>
      <c r="BC46" s="34" t="s">
        <v>1511</v>
      </c>
      <c r="BD46" s="34" t="s">
        <v>429</v>
      </c>
      <c r="BE46" s="34" t="s">
        <v>1512</v>
      </c>
      <c r="BF46" s="34" t="s">
        <v>429</v>
      </c>
      <c r="BG46" s="34" t="s">
        <v>1513</v>
      </c>
      <c r="BH46" s="34" t="s">
        <v>429</v>
      </c>
      <c r="BI46" s="34" t="s">
        <v>1514</v>
      </c>
      <c r="BJ46" s="34" t="s">
        <v>429</v>
      </c>
      <c r="BK46" s="34" t="s">
        <v>1515</v>
      </c>
      <c r="BL46" s="34" t="s">
        <v>429</v>
      </c>
      <c r="BM46" s="34" t="s">
        <v>1516</v>
      </c>
      <c r="BN46" s="34" t="s">
        <v>429</v>
      </c>
      <c r="BO46" s="34" t="s">
        <v>1517</v>
      </c>
      <c r="BP46" s="34" t="s">
        <v>429</v>
      </c>
      <c r="BQ46" s="34" t="s">
        <v>1518</v>
      </c>
      <c r="BR46" s="34" t="s">
        <v>429</v>
      </c>
      <c r="BS46" s="34" t="s">
        <v>1519</v>
      </c>
      <c r="BT46" s="34" t="s">
        <v>429</v>
      </c>
      <c r="BU46" s="34" t="s">
        <v>1520</v>
      </c>
      <c r="BV46" s="34" t="s">
        <v>429</v>
      </c>
      <c r="BW46" s="34" t="s">
        <v>1521</v>
      </c>
      <c r="BX46" s="34" t="s">
        <v>429</v>
      </c>
      <c r="BY46" s="34" t="s">
        <v>1522</v>
      </c>
      <c r="BZ46" s="34" t="s">
        <v>429</v>
      </c>
      <c r="CA46" s="34" t="s">
        <v>529</v>
      </c>
    </row>
    <row r="47" ht="30" customHeight="1" spans="1:79">
      <c r="A47" s="36" t="s">
        <v>98</v>
      </c>
      <c r="B47" s="36" t="s">
        <v>99</v>
      </c>
      <c r="C47" s="36" t="s">
        <v>14</v>
      </c>
      <c r="D47" s="36" t="s">
        <v>15</v>
      </c>
      <c r="E47" s="36" t="s">
        <v>16</v>
      </c>
      <c r="F47" s="36" t="s">
        <v>429</v>
      </c>
      <c r="G47" s="36" t="s">
        <v>1523</v>
      </c>
      <c r="H47" s="36" t="s">
        <v>429</v>
      </c>
      <c r="I47" s="36" t="s">
        <v>1523</v>
      </c>
      <c r="J47" s="36" t="s">
        <v>429</v>
      </c>
      <c r="K47" s="36" t="s">
        <v>1524</v>
      </c>
      <c r="L47" s="36" t="s">
        <v>429</v>
      </c>
      <c r="M47" s="36" t="s">
        <v>1525</v>
      </c>
      <c r="N47" s="36" t="s">
        <v>429</v>
      </c>
      <c r="O47" s="36" t="s">
        <v>1526</v>
      </c>
      <c r="P47" s="36" t="s">
        <v>429</v>
      </c>
      <c r="Q47" s="36" t="s">
        <v>1526</v>
      </c>
      <c r="R47" s="36" t="s">
        <v>429</v>
      </c>
      <c r="S47" s="36" t="s">
        <v>1527</v>
      </c>
      <c r="T47" s="36" t="s">
        <v>429</v>
      </c>
      <c r="U47" s="36" t="s">
        <v>1528</v>
      </c>
      <c r="V47" s="36" t="s">
        <v>429</v>
      </c>
      <c r="W47" s="36" t="s">
        <v>1529</v>
      </c>
      <c r="X47" s="36" t="s">
        <v>429</v>
      </c>
      <c r="Y47" s="36" t="s">
        <v>1529</v>
      </c>
      <c r="Z47" s="36" t="s">
        <v>429</v>
      </c>
      <c r="AA47" s="36" t="s">
        <v>658</v>
      </c>
      <c r="AB47" s="36" t="s">
        <v>429</v>
      </c>
      <c r="AC47" s="36" t="s">
        <v>1530</v>
      </c>
      <c r="AD47" s="36" t="s">
        <v>429</v>
      </c>
      <c r="AE47" s="36" t="s">
        <v>1531</v>
      </c>
      <c r="AF47" s="36" t="s">
        <v>429</v>
      </c>
      <c r="AG47" s="36" t="s">
        <v>1532</v>
      </c>
      <c r="AH47" s="36" t="s">
        <v>429</v>
      </c>
      <c r="AI47" s="36" t="s">
        <v>1533</v>
      </c>
      <c r="AJ47" s="36" t="s">
        <v>429</v>
      </c>
      <c r="AK47" s="36" t="s">
        <v>1534</v>
      </c>
      <c r="AL47" s="36" t="s">
        <v>429</v>
      </c>
      <c r="AM47" s="36" t="s">
        <v>1535</v>
      </c>
      <c r="AN47" s="36" t="s">
        <v>429</v>
      </c>
      <c r="AO47" s="36" t="s">
        <v>1536</v>
      </c>
      <c r="AP47" s="36" t="s">
        <v>429</v>
      </c>
      <c r="AQ47" s="36" t="s">
        <v>1537</v>
      </c>
      <c r="AR47" s="36" t="s">
        <v>429</v>
      </c>
      <c r="AS47" s="36" t="s">
        <v>1538</v>
      </c>
      <c r="AT47" s="36" t="s">
        <v>429</v>
      </c>
      <c r="AU47" s="36" t="s">
        <v>1539</v>
      </c>
      <c r="AV47" s="36" t="s">
        <v>429</v>
      </c>
      <c r="AW47" s="36" t="s">
        <v>1540</v>
      </c>
      <c r="AX47" s="36" t="s">
        <v>429</v>
      </c>
      <c r="AY47" s="36" t="s">
        <v>1541</v>
      </c>
      <c r="AZ47" s="36" t="s">
        <v>429</v>
      </c>
      <c r="BA47" s="36" t="s">
        <v>1541</v>
      </c>
      <c r="BB47" s="36" t="s">
        <v>429</v>
      </c>
      <c r="BC47" s="36" t="s">
        <v>1542</v>
      </c>
      <c r="BD47" s="36" t="s">
        <v>429</v>
      </c>
      <c r="BE47" s="36" t="s">
        <v>1543</v>
      </c>
      <c r="BF47" s="36" t="s">
        <v>429</v>
      </c>
      <c r="BG47" s="36" t="s">
        <v>1544</v>
      </c>
      <c r="BH47" s="36" t="s">
        <v>429</v>
      </c>
      <c r="BI47" s="36" t="s">
        <v>1545</v>
      </c>
      <c r="BJ47" s="36" t="s">
        <v>429</v>
      </c>
      <c r="BK47" s="36" t="s">
        <v>1546</v>
      </c>
      <c r="BL47" s="36" t="s">
        <v>429</v>
      </c>
      <c r="BM47" s="36" t="s">
        <v>1547</v>
      </c>
      <c r="BN47" s="36" t="s">
        <v>429</v>
      </c>
      <c r="BO47" s="36" t="s">
        <v>1548</v>
      </c>
      <c r="BP47" s="36" t="s">
        <v>429</v>
      </c>
      <c r="BQ47" s="36" t="s">
        <v>1549</v>
      </c>
      <c r="BR47" s="36" t="s">
        <v>429</v>
      </c>
      <c r="BS47" s="36" t="s">
        <v>1550</v>
      </c>
      <c r="BT47" s="36" t="s">
        <v>429</v>
      </c>
      <c r="BU47" s="36" t="s">
        <v>1551</v>
      </c>
      <c r="BV47" s="36" t="s">
        <v>429</v>
      </c>
      <c r="BW47" s="36" t="s">
        <v>1552</v>
      </c>
      <c r="BX47" s="36" t="s">
        <v>429</v>
      </c>
      <c r="BY47" s="36" t="s">
        <v>1553</v>
      </c>
      <c r="BZ47" s="36" t="s">
        <v>429</v>
      </c>
      <c r="CA47" s="36" t="s">
        <v>1196</v>
      </c>
    </row>
    <row r="48" ht="30" customHeight="1" spans="1:79">
      <c r="A48" s="34" t="s">
        <v>100</v>
      </c>
      <c r="B48" s="34" t="s">
        <v>101</v>
      </c>
      <c r="C48" s="34" t="s">
        <v>14</v>
      </c>
      <c r="D48" s="34" t="s">
        <v>15</v>
      </c>
      <c r="E48" s="34" t="s">
        <v>16</v>
      </c>
      <c r="F48" s="34" t="s">
        <v>429</v>
      </c>
      <c r="G48" s="34" t="s">
        <v>1283</v>
      </c>
      <c r="H48" s="34" t="s">
        <v>429</v>
      </c>
      <c r="I48" s="34" t="s">
        <v>1019</v>
      </c>
      <c r="J48" s="34" t="s">
        <v>429</v>
      </c>
      <c r="K48" s="34" t="s">
        <v>466</v>
      </c>
      <c r="L48" s="34" t="s">
        <v>429</v>
      </c>
      <c r="M48" s="34" t="s">
        <v>776</v>
      </c>
      <c r="N48" s="34" t="s">
        <v>429</v>
      </c>
      <c r="O48" s="34" t="s">
        <v>1554</v>
      </c>
      <c r="P48" s="34" t="s">
        <v>429</v>
      </c>
      <c r="Q48" s="34" t="s">
        <v>1371</v>
      </c>
      <c r="R48" s="34" t="s">
        <v>429</v>
      </c>
      <c r="S48" s="34" t="s">
        <v>1407</v>
      </c>
      <c r="T48" s="34" t="s">
        <v>429</v>
      </c>
      <c r="U48" s="34" t="s">
        <v>1408</v>
      </c>
      <c r="V48" s="34" t="s">
        <v>429</v>
      </c>
      <c r="W48" s="34" t="s">
        <v>1555</v>
      </c>
      <c r="X48" s="34" t="s">
        <v>429</v>
      </c>
      <c r="Y48" s="34" t="s">
        <v>1200</v>
      </c>
      <c r="Z48" s="34" t="s">
        <v>429</v>
      </c>
      <c r="AA48" s="34" t="s">
        <v>1556</v>
      </c>
      <c r="AB48" s="34" t="s">
        <v>429</v>
      </c>
      <c r="AC48" s="34" t="s">
        <v>1557</v>
      </c>
      <c r="AD48" s="34" t="s">
        <v>429</v>
      </c>
      <c r="AE48" s="34" t="s">
        <v>1558</v>
      </c>
      <c r="AF48" s="34" t="s">
        <v>429</v>
      </c>
      <c r="AG48" s="34" t="s">
        <v>1559</v>
      </c>
      <c r="AH48" s="34" t="s">
        <v>429</v>
      </c>
      <c r="AI48" s="34" t="s">
        <v>1066</v>
      </c>
      <c r="AJ48" s="34" t="s">
        <v>429</v>
      </c>
      <c r="AK48" s="34" t="s">
        <v>1560</v>
      </c>
      <c r="AL48" s="34" t="s">
        <v>429</v>
      </c>
      <c r="AM48" s="34" t="s">
        <v>1561</v>
      </c>
      <c r="AN48" s="34" t="s">
        <v>429</v>
      </c>
      <c r="AO48" s="34" t="s">
        <v>1562</v>
      </c>
      <c r="AP48" s="34" t="s">
        <v>429</v>
      </c>
      <c r="AQ48" s="34" t="s">
        <v>1563</v>
      </c>
      <c r="AR48" s="34" t="s">
        <v>429</v>
      </c>
      <c r="AS48" s="34" t="s">
        <v>1564</v>
      </c>
      <c r="AT48" s="34" t="s">
        <v>429</v>
      </c>
      <c r="AU48" s="34" t="s">
        <v>630</v>
      </c>
      <c r="AV48" s="34" t="s">
        <v>429</v>
      </c>
      <c r="AW48" s="34" t="s">
        <v>489</v>
      </c>
      <c r="AX48" s="34" t="s">
        <v>429</v>
      </c>
      <c r="AY48" s="34" t="s">
        <v>1565</v>
      </c>
      <c r="AZ48" s="34" t="s">
        <v>429</v>
      </c>
      <c r="BA48" s="34" t="s">
        <v>885</v>
      </c>
      <c r="BB48" s="34" t="s">
        <v>429</v>
      </c>
      <c r="BC48" s="34" t="s">
        <v>1566</v>
      </c>
      <c r="BD48" s="34" t="s">
        <v>429</v>
      </c>
      <c r="BE48" s="34" t="s">
        <v>1034</v>
      </c>
      <c r="BF48" s="34" t="s">
        <v>429</v>
      </c>
      <c r="BG48" s="34" t="s">
        <v>1567</v>
      </c>
      <c r="BH48" s="34" t="s">
        <v>429</v>
      </c>
      <c r="BI48" s="34" t="s">
        <v>1568</v>
      </c>
      <c r="BJ48" s="34" t="s">
        <v>429</v>
      </c>
      <c r="BK48" s="34" t="s">
        <v>1569</v>
      </c>
      <c r="BL48" s="34" t="s">
        <v>429</v>
      </c>
      <c r="BM48" s="34" t="s">
        <v>735</v>
      </c>
      <c r="BN48" s="34" t="s">
        <v>429</v>
      </c>
      <c r="BO48" s="34" t="s">
        <v>1570</v>
      </c>
      <c r="BP48" s="34" t="s">
        <v>429</v>
      </c>
      <c r="BQ48" s="34" t="s">
        <v>1571</v>
      </c>
      <c r="BR48" s="34" t="s">
        <v>429</v>
      </c>
      <c r="BS48" s="34" t="s">
        <v>672</v>
      </c>
      <c r="BT48" s="34" t="s">
        <v>429</v>
      </c>
      <c r="BU48" s="34" t="s">
        <v>492</v>
      </c>
      <c r="BV48" s="34" t="s">
        <v>429</v>
      </c>
      <c r="BW48" s="34" t="s">
        <v>1481</v>
      </c>
      <c r="BX48" s="34" t="s">
        <v>429</v>
      </c>
      <c r="BY48" s="34" t="s">
        <v>1043</v>
      </c>
      <c r="BZ48" s="34" t="s">
        <v>429</v>
      </c>
      <c r="CA48" s="34" t="s">
        <v>464</v>
      </c>
    </row>
    <row r="49" ht="30" customHeight="1" spans="1:79">
      <c r="A49" s="36" t="s">
        <v>102</v>
      </c>
      <c r="B49" s="36" t="s">
        <v>103</v>
      </c>
      <c r="C49" s="36" t="s">
        <v>14</v>
      </c>
      <c r="D49" s="36" t="s">
        <v>15</v>
      </c>
      <c r="E49" s="36" t="s">
        <v>16</v>
      </c>
      <c r="F49" s="36" t="s">
        <v>429</v>
      </c>
      <c r="G49" s="36" t="s">
        <v>796</v>
      </c>
      <c r="H49" s="36" t="s">
        <v>429</v>
      </c>
      <c r="I49" s="36" t="s">
        <v>1572</v>
      </c>
      <c r="J49" s="36" t="s">
        <v>429</v>
      </c>
      <c r="K49" s="36" t="s">
        <v>1572</v>
      </c>
      <c r="L49" s="36" t="s">
        <v>429</v>
      </c>
      <c r="M49" s="36" t="s">
        <v>1573</v>
      </c>
      <c r="N49" s="36" t="s">
        <v>429</v>
      </c>
      <c r="O49" s="36" t="s">
        <v>1574</v>
      </c>
      <c r="P49" s="36" t="s">
        <v>429</v>
      </c>
      <c r="Q49" s="36" t="s">
        <v>1575</v>
      </c>
      <c r="R49" s="36" t="s">
        <v>429</v>
      </c>
      <c r="S49" s="36" t="s">
        <v>1576</v>
      </c>
      <c r="T49" s="36" t="s">
        <v>429</v>
      </c>
      <c r="U49" s="36" t="s">
        <v>1577</v>
      </c>
      <c r="V49" s="36" t="s">
        <v>429</v>
      </c>
      <c r="W49" s="36" t="s">
        <v>1578</v>
      </c>
      <c r="X49" s="36" t="s">
        <v>429</v>
      </c>
      <c r="Y49" s="36" t="s">
        <v>1579</v>
      </c>
      <c r="Z49" s="36" t="s">
        <v>429</v>
      </c>
      <c r="AA49" s="36" t="s">
        <v>1580</v>
      </c>
      <c r="AB49" s="36" t="s">
        <v>429</v>
      </c>
      <c r="AC49" s="36" t="s">
        <v>1581</v>
      </c>
      <c r="AD49" s="36" t="s">
        <v>429</v>
      </c>
      <c r="AE49" s="36" t="s">
        <v>1582</v>
      </c>
      <c r="AF49" s="36" t="s">
        <v>429</v>
      </c>
      <c r="AG49" s="36" t="s">
        <v>1582</v>
      </c>
      <c r="AH49" s="36" t="s">
        <v>429</v>
      </c>
      <c r="AI49" s="36" t="s">
        <v>1583</v>
      </c>
      <c r="AJ49" s="36" t="s">
        <v>429</v>
      </c>
      <c r="AK49" s="36" t="s">
        <v>1584</v>
      </c>
      <c r="AL49" s="36" t="s">
        <v>429</v>
      </c>
      <c r="AM49" s="36" t="s">
        <v>1585</v>
      </c>
      <c r="AN49" s="36" t="s">
        <v>429</v>
      </c>
      <c r="AO49" s="36" t="s">
        <v>1586</v>
      </c>
      <c r="AP49" s="36" t="s">
        <v>429</v>
      </c>
      <c r="AQ49" s="36" t="s">
        <v>1587</v>
      </c>
      <c r="AR49" s="36" t="s">
        <v>429</v>
      </c>
      <c r="AS49" s="36" t="s">
        <v>1588</v>
      </c>
      <c r="AT49" s="36" t="s">
        <v>429</v>
      </c>
      <c r="AU49" s="36" t="s">
        <v>1589</v>
      </c>
      <c r="AV49" s="36" t="s">
        <v>429</v>
      </c>
      <c r="AW49" s="36" t="s">
        <v>1590</v>
      </c>
      <c r="AX49" s="36" t="s">
        <v>429</v>
      </c>
      <c r="AY49" s="36" t="s">
        <v>1591</v>
      </c>
      <c r="AZ49" s="36" t="s">
        <v>429</v>
      </c>
      <c r="BA49" s="36" t="s">
        <v>1592</v>
      </c>
      <c r="BB49" s="36" t="s">
        <v>429</v>
      </c>
      <c r="BC49" s="36" t="s">
        <v>1593</v>
      </c>
      <c r="BD49" s="36" t="s">
        <v>429</v>
      </c>
      <c r="BE49" s="36" t="s">
        <v>1594</v>
      </c>
      <c r="BF49" s="36" t="s">
        <v>429</v>
      </c>
      <c r="BG49" s="36" t="s">
        <v>1595</v>
      </c>
      <c r="BH49" s="36" t="s">
        <v>429</v>
      </c>
      <c r="BI49" s="36" t="s">
        <v>1596</v>
      </c>
      <c r="BJ49" s="36" t="s">
        <v>429</v>
      </c>
      <c r="BK49" s="36" t="s">
        <v>1597</v>
      </c>
      <c r="BL49" s="36" t="s">
        <v>429</v>
      </c>
      <c r="BM49" s="36" t="s">
        <v>1598</v>
      </c>
      <c r="BN49" s="36" t="s">
        <v>429</v>
      </c>
      <c r="BO49" s="36" t="s">
        <v>1599</v>
      </c>
      <c r="BP49" s="36" t="s">
        <v>429</v>
      </c>
      <c r="BQ49" s="36" t="s">
        <v>1600</v>
      </c>
      <c r="BR49" s="36" t="s">
        <v>429</v>
      </c>
      <c r="BS49" s="36" t="s">
        <v>1601</v>
      </c>
      <c r="BT49" s="36" t="s">
        <v>429</v>
      </c>
      <c r="BU49" s="36" t="s">
        <v>1602</v>
      </c>
      <c r="BV49" s="36" t="s">
        <v>429</v>
      </c>
      <c r="BW49" s="36" t="s">
        <v>1603</v>
      </c>
      <c r="BX49" s="36" t="s">
        <v>429</v>
      </c>
      <c r="BY49" s="36" t="s">
        <v>1604</v>
      </c>
      <c r="BZ49" s="36" t="s">
        <v>429</v>
      </c>
      <c r="CA49" s="36" t="s">
        <v>1605</v>
      </c>
    </row>
    <row r="50" ht="30" customHeight="1" spans="1:79">
      <c r="A50" s="34" t="s">
        <v>104</v>
      </c>
      <c r="B50" s="34" t="s">
        <v>105</v>
      </c>
      <c r="C50" s="34" t="s">
        <v>14</v>
      </c>
      <c r="D50" s="34" t="s">
        <v>15</v>
      </c>
      <c r="E50" s="34" t="s">
        <v>16</v>
      </c>
      <c r="F50" s="34" t="s">
        <v>429</v>
      </c>
      <c r="G50" s="34" t="s">
        <v>1469</v>
      </c>
      <c r="H50" s="34" t="s">
        <v>429</v>
      </c>
      <c r="I50" s="34" t="s">
        <v>1469</v>
      </c>
      <c r="J50" s="34" t="s">
        <v>429</v>
      </c>
      <c r="K50" s="34" t="s">
        <v>1469</v>
      </c>
      <c r="L50" s="34" t="s">
        <v>429</v>
      </c>
      <c r="M50" s="34" t="s">
        <v>807</v>
      </c>
      <c r="N50" s="34" t="s">
        <v>429</v>
      </c>
      <c r="O50" s="34" t="s">
        <v>1319</v>
      </c>
      <c r="P50" s="34" t="s">
        <v>429</v>
      </c>
      <c r="Q50" s="34" t="s">
        <v>1606</v>
      </c>
      <c r="R50" s="34" t="s">
        <v>429</v>
      </c>
      <c r="S50" s="34" t="s">
        <v>1158</v>
      </c>
      <c r="T50" s="34" t="s">
        <v>429</v>
      </c>
      <c r="U50" s="34" t="s">
        <v>1320</v>
      </c>
      <c r="V50" s="34" t="s">
        <v>429</v>
      </c>
      <c r="W50" s="34" t="s">
        <v>1348</v>
      </c>
      <c r="X50" s="34" t="s">
        <v>429</v>
      </c>
      <c r="Y50" s="34" t="s">
        <v>1348</v>
      </c>
      <c r="Z50" s="34" t="s">
        <v>429</v>
      </c>
      <c r="AA50" s="34" t="s">
        <v>486</v>
      </c>
      <c r="AB50" s="34" t="s">
        <v>429</v>
      </c>
      <c r="AC50" s="34" t="s">
        <v>1086</v>
      </c>
      <c r="AD50" s="34" t="s">
        <v>429</v>
      </c>
      <c r="AE50" s="34" t="s">
        <v>753</v>
      </c>
      <c r="AF50" s="34" t="s">
        <v>429</v>
      </c>
      <c r="AG50" s="34" t="s">
        <v>1382</v>
      </c>
      <c r="AH50" s="34" t="s">
        <v>429</v>
      </c>
      <c r="AI50" s="34" t="s">
        <v>911</v>
      </c>
      <c r="AJ50" s="34" t="s">
        <v>429</v>
      </c>
      <c r="AK50" s="34" t="s">
        <v>631</v>
      </c>
      <c r="AL50" s="34" t="s">
        <v>429</v>
      </c>
      <c r="AM50" s="34" t="s">
        <v>1607</v>
      </c>
      <c r="AN50" s="34" t="s">
        <v>429</v>
      </c>
      <c r="AO50" s="34" t="s">
        <v>912</v>
      </c>
      <c r="AP50" s="34" t="s">
        <v>429</v>
      </c>
      <c r="AQ50" s="34" t="s">
        <v>1181</v>
      </c>
      <c r="AR50" s="34" t="s">
        <v>429</v>
      </c>
      <c r="AS50" s="34" t="s">
        <v>1322</v>
      </c>
      <c r="AT50" s="34" t="s">
        <v>429</v>
      </c>
      <c r="AU50" s="34" t="s">
        <v>1087</v>
      </c>
      <c r="AV50" s="34" t="s">
        <v>429</v>
      </c>
      <c r="AW50" s="34" t="s">
        <v>1608</v>
      </c>
      <c r="AX50" s="34" t="s">
        <v>429</v>
      </c>
      <c r="AY50" s="34" t="s">
        <v>1609</v>
      </c>
      <c r="AZ50" s="34" t="s">
        <v>429</v>
      </c>
      <c r="BA50" s="34" t="s">
        <v>1610</v>
      </c>
      <c r="BB50" s="34" t="s">
        <v>429</v>
      </c>
      <c r="BC50" s="34" t="s">
        <v>1611</v>
      </c>
      <c r="BD50" s="34" t="s">
        <v>429</v>
      </c>
      <c r="BE50" s="34" t="s">
        <v>1611</v>
      </c>
      <c r="BF50" s="34" t="s">
        <v>429</v>
      </c>
      <c r="BG50" s="34" t="s">
        <v>1612</v>
      </c>
      <c r="BH50" s="34" t="s">
        <v>429</v>
      </c>
      <c r="BI50" s="34" t="s">
        <v>1612</v>
      </c>
      <c r="BJ50" s="34" t="s">
        <v>429</v>
      </c>
      <c r="BK50" s="34" t="s">
        <v>1613</v>
      </c>
      <c r="BL50" s="34" t="s">
        <v>429</v>
      </c>
      <c r="BM50" s="34" t="s">
        <v>1614</v>
      </c>
      <c r="BN50" s="34" t="s">
        <v>429</v>
      </c>
      <c r="BO50" s="34" t="s">
        <v>1615</v>
      </c>
      <c r="BP50" s="34" t="s">
        <v>429</v>
      </c>
      <c r="BQ50" s="34" t="s">
        <v>1615</v>
      </c>
      <c r="BR50" s="34" t="s">
        <v>429</v>
      </c>
      <c r="BS50" s="34" t="s">
        <v>1616</v>
      </c>
      <c r="BT50" s="34" t="s">
        <v>429</v>
      </c>
      <c r="BU50" s="34" t="s">
        <v>1617</v>
      </c>
      <c r="BV50" s="34" t="s">
        <v>429</v>
      </c>
      <c r="BW50" s="34" t="s">
        <v>1618</v>
      </c>
      <c r="BX50" s="34" t="s">
        <v>681</v>
      </c>
      <c r="BY50" s="34" t="s">
        <v>682</v>
      </c>
      <c r="BZ50" s="34" t="s">
        <v>681</v>
      </c>
      <c r="CA50" s="34" t="s">
        <v>682</v>
      </c>
    </row>
    <row r="51" ht="30" customHeight="1" spans="1:79">
      <c r="A51" s="36" t="s">
        <v>106</v>
      </c>
      <c r="B51" s="36" t="s">
        <v>107</v>
      </c>
      <c r="C51" s="36" t="s">
        <v>14</v>
      </c>
      <c r="D51" s="36" t="s">
        <v>15</v>
      </c>
      <c r="E51" s="36" t="s">
        <v>16</v>
      </c>
      <c r="F51" s="36" t="s">
        <v>429</v>
      </c>
      <c r="G51" s="36" t="s">
        <v>1619</v>
      </c>
      <c r="H51" s="36" t="s">
        <v>429</v>
      </c>
      <c r="I51" s="36" t="s">
        <v>1619</v>
      </c>
      <c r="J51" s="36" t="s">
        <v>429</v>
      </c>
      <c r="K51" s="36" t="s">
        <v>596</v>
      </c>
      <c r="L51" s="36" t="s">
        <v>429</v>
      </c>
      <c r="M51" s="36" t="s">
        <v>1620</v>
      </c>
      <c r="N51" s="36" t="s">
        <v>429</v>
      </c>
      <c r="O51" s="36" t="s">
        <v>600</v>
      </c>
      <c r="P51" s="36" t="s">
        <v>429</v>
      </c>
      <c r="Q51" s="36" t="s">
        <v>1621</v>
      </c>
      <c r="R51" s="36" t="s">
        <v>429</v>
      </c>
      <c r="S51" s="36" t="s">
        <v>1622</v>
      </c>
      <c r="T51" s="36" t="s">
        <v>429</v>
      </c>
      <c r="U51" s="36" t="s">
        <v>1623</v>
      </c>
      <c r="V51" s="36" t="s">
        <v>429</v>
      </c>
      <c r="W51" s="36" t="s">
        <v>1624</v>
      </c>
      <c r="X51" s="36" t="s">
        <v>429</v>
      </c>
      <c r="Y51" s="36" t="s">
        <v>1625</v>
      </c>
      <c r="Z51" s="36" t="s">
        <v>429</v>
      </c>
      <c r="AA51" s="36" t="s">
        <v>1626</v>
      </c>
      <c r="AB51" s="36" t="s">
        <v>429</v>
      </c>
      <c r="AC51" s="36" t="s">
        <v>1627</v>
      </c>
      <c r="AD51" s="36" t="s">
        <v>429</v>
      </c>
      <c r="AE51" s="36" t="s">
        <v>1628</v>
      </c>
      <c r="AF51" s="36" t="s">
        <v>429</v>
      </c>
      <c r="AG51" s="36" t="s">
        <v>1629</v>
      </c>
      <c r="AH51" s="36" t="s">
        <v>429</v>
      </c>
      <c r="AI51" s="36" t="s">
        <v>1630</v>
      </c>
      <c r="AJ51" s="36" t="s">
        <v>429</v>
      </c>
      <c r="AK51" s="36" t="s">
        <v>1631</v>
      </c>
      <c r="AL51" s="36" t="s">
        <v>429</v>
      </c>
      <c r="AM51" s="36" t="s">
        <v>1632</v>
      </c>
      <c r="AN51" s="36" t="s">
        <v>429</v>
      </c>
      <c r="AO51" s="36" t="s">
        <v>1633</v>
      </c>
      <c r="AP51" s="36" t="s">
        <v>429</v>
      </c>
      <c r="AQ51" s="36" t="s">
        <v>1634</v>
      </c>
      <c r="AR51" s="36" t="s">
        <v>429</v>
      </c>
      <c r="AS51" s="36" t="s">
        <v>1635</v>
      </c>
      <c r="AT51" s="36" t="s">
        <v>429</v>
      </c>
      <c r="AU51" s="36" t="s">
        <v>1636</v>
      </c>
      <c r="AV51" s="36" t="s">
        <v>429</v>
      </c>
      <c r="AW51" s="36" t="s">
        <v>1637</v>
      </c>
      <c r="AX51" s="36" t="s">
        <v>429</v>
      </c>
      <c r="AY51" s="36" t="s">
        <v>1404</v>
      </c>
      <c r="AZ51" s="36" t="s">
        <v>429</v>
      </c>
      <c r="BA51" s="36" t="s">
        <v>1638</v>
      </c>
      <c r="BB51" s="36" t="s">
        <v>429</v>
      </c>
      <c r="BC51" s="36" t="s">
        <v>1639</v>
      </c>
      <c r="BD51" s="36" t="s">
        <v>429</v>
      </c>
      <c r="BE51" s="36" t="s">
        <v>1640</v>
      </c>
      <c r="BF51" s="36" t="s">
        <v>681</v>
      </c>
      <c r="BG51" s="36" t="s">
        <v>682</v>
      </c>
      <c r="BH51" s="36" t="s">
        <v>429</v>
      </c>
      <c r="BI51" s="36" t="s">
        <v>1641</v>
      </c>
      <c r="BJ51" s="36" t="s">
        <v>429</v>
      </c>
      <c r="BK51" s="36" t="s">
        <v>1642</v>
      </c>
      <c r="BL51" s="36" t="s">
        <v>429</v>
      </c>
      <c r="BM51" s="36" t="s">
        <v>1643</v>
      </c>
      <c r="BN51" s="36" t="s">
        <v>429</v>
      </c>
      <c r="BO51" s="36" t="s">
        <v>1644</v>
      </c>
      <c r="BP51" s="36" t="s">
        <v>429</v>
      </c>
      <c r="BQ51" s="36" t="s">
        <v>1645</v>
      </c>
      <c r="BR51" s="36" t="s">
        <v>429</v>
      </c>
      <c r="BS51" s="36" t="s">
        <v>1646</v>
      </c>
      <c r="BT51" s="36" t="s">
        <v>429</v>
      </c>
      <c r="BU51" s="36" t="s">
        <v>1647</v>
      </c>
      <c r="BV51" s="36" t="s">
        <v>429</v>
      </c>
      <c r="BW51" s="36" t="s">
        <v>1648</v>
      </c>
      <c r="BX51" s="36" t="s">
        <v>429</v>
      </c>
      <c r="BY51" s="36" t="s">
        <v>1043</v>
      </c>
      <c r="BZ51" s="36" t="s">
        <v>681</v>
      </c>
      <c r="CA51" s="36" t="s">
        <v>682</v>
      </c>
    </row>
    <row r="52" ht="30" customHeight="1" spans="1:79">
      <c r="A52" s="34" t="s">
        <v>108</v>
      </c>
      <c r="B52" s="34" t="s">
        <v>109</v>
      </c>
      <c r="C52" s="34" t="s">
        <v>14</v>
      </c>
      <c r="D52" s="34" t="s">
        <v>15</v>
      </c>
      <c r="E52" s="34" t="s">
        <v>16</v>
      </c>
      <c r="F52" s="34" t="s">
        <v>429</v>
      </c>
      <c r="G52" s="34" t="s">
        <v>466</v>
      </c>
      <c r="H52" s="34" t="s">
        <v>429</v>
      </c>
      <c r="I52" s="34" t="s">
        <v>1649</v>
      </c>
      <c r="J52" s="34" t="s">
        <v>429</v>
      </c>
      <c r="K52" s="34" t="s">
        <v>1650</v>
      </c>
      <c r="L52" s="34" t="s">
        <v>429</v>
      </c>
      <c r="M52" s="34" t="s">
        <v>539</v>
      </c>
      <c r="N52" s="34" t="s">
        <v>429</v>
      </c>
      <c r="O52" s="34" t="s">
        <v>1651</v>
      </c>
      <c r="P52" s="34" t="s">
        <v>429</v>
      </c>
      <c r="Q52" s="34" t="s">
        <v>1652</v>
      </c>
      <c r="R52" s="34" t="s">
        <v>429</v>
      </c>
      <c r="S52" s="34" t="s">
        <v>1653</v>
      </c>
      <c r="T52" s="34" t="s">
        <v>429</v>
      </c>
      <c r="U52" s="34" t="s">
        <v>1413</v>
      </c>
      <c r="V52" s="34" t="s">
        <v>429</v>
      </c>
      <c r="W52" s="34" t="s">
        <v>1654</v>
      </c>
      <c r="X52" s="34" t="s">
        <v>429</v>
      </c>
      <c r="Y52" s="34" t="s">
        <v>484</v>
      </c>
      <c r="Z52" s="34" t="s">
        <v>429</v>
      </c>
      <c r="AA52" s="34" t="s">
        <v>1655</v>
      </c>
      <c r="AB52" s="34" t="s">
        <v>429</v>
      </c>
      <c r="AC52" s="34" t="s">
        <v>787</v>
      </c>
      <c r="AD52" s="34" t="s">
        <v>429</v>
      </c>
      <c r="AE52" s="34" t="s">
        <v>1656</v>
      </c>
      <c r="AF52" s="34" t="s">
        <v>429</v>
      </c>
      <c r="AG52" s="34" t="s">
        <v>1657</v>
      </c>
      <c r="AH52" s="34" t="s">
        <v>429</v>
      </c>
      <c r="AI52" s="34" t="s">
        <v>1658</v>
      </c>
      <c r="AJ52" s="34" t="s">
        <v>429</v>
      </c>
      <c r="AK52" s="34" t="s">
        <v>1658</v>
      </c>
      <c r="AL52" s="34" t="s">
        <v>429</v>
      </c>
      <c r="AM52" s="34" t="s">
        <v>1659</v>
      </c>
      <c r="AN52" s="34" t="s">
        <v>429</v>
      </c>
      <c r="AO52" s="34" t="s">
        <v>1660</v>
      </c>
      <c r="AP52" s="34" t="s">
        <v>429</v>
      </c>
      <c r="AQ52" s="34" t="s">
        <v>1661</v>
      </c>
      <c r="AR52" s="34" t="s">
        <v>429</v>
      </c>
      <c r="AS52" s="34" t="s">
        <v>1662</v>
      </c>
      <c r="AT52" s="34" t="s">
        <v>429</v>
      </c>
      <c r="AU52" s="34" t="s">
        <v>1663</v>
      </c>
      <c r="AV52" s="34" t="s">
        <v>429</v>
      </c>
      <c r="AW52" s="34" t="s">
        <v>1664</v>
      </c>
      <c r="AX52" s="34" t="s">
        <v>429</v>
      </c>
      <c r="AY52" s="34" t="s">
        <v>1665</v>
      </c>
      <c r="AZ52" s="34" t="s">
        <v>429</v>
      </c>
      <c r="BA52" s="34" t="s">
        <v>1666</v>
      </c>
      <c r="BB52" s="34" t="s">
        <v>429</v>
      </c>
      <c r="BC52" s="34" t="s">
        <v>1667</v>
      </c>
      <c r="BD52" s="34" t="s">
        <v>429</v>
      </c>
      <c r="BE52" s="34" t="s">
        <v>1668</v>
      </c>
      <c r="BF52" s="34" t="s">
        <v>429</v>
      </c>
      <c r="BG52" s="34" t="s">
        <v>1669</v>
      </c>
      <c r="BH52" s="34" t="s">
        <v>429</v>
      </c>
      <c r="BI52" s="34" t="s">
        <v>1670</v>
      </c>
      <c r="BJ52" s="34" t="s">
        <v>429</v>
      </c>
      <c r="BK52" s="34" t="s">
        <v>1671</v>
      </c>
      <c r="BL52" s="34" t="s">
        <v>429</v>
      </c>
      <c r="BM52" s="34" t="s">
        <v>1672</v>
      </c>
      <c r="BN52" s="34" t="s">
        <v>429</v>
      </c>
      <c r="BO52" s="34" t="s">
        <v>1673</v>
      </c>
      <c r="BP52" s="34" t="s">
        <v>429</v>
      </c>
      <c r="BQ52" s="34" t="s">
        <v>1673</v>
      </c>
      <c r="BR52" s="34" t="s">
        <v>429</v>
      </c>
      <c r="BS52" s="34" t="s">
        <v>1674</v>
      </c>
      <c r="BT52" s="34" t="s">
        <v>429</v>
      </c>
      <c r="BU52" s="34" t="s">
        <v>1675</v>
      </c>
      <c r="BV52" s="34" t="s">
        <v>429</v>
      </c>
      <c r="BW52" s="34" t="s">
        <v>1676</v>
      </c>
      <c r="BX52" s="34" t="s">
        <v>429</v>
      </c>
      <c r="BY52" s="34" t="s">
        <v>1677</v>
      </c>
      <c r="BZ52" s="34" t="s">
        <v>429</v>
      </c>
      <c r="CA52" s="34" t="s">
        <v>1678</v>
      </c>
    </row>
    <row r="53" ht="30" customHeight="1" spans="1:79">
      <c r="A53" s="36" t="s">
        <v>110</v>
      </c>
      <c r="B53" s="36" t="s">
        <v>111</v>
      </c>
      <c r="C53" s="36" t="s">
        <v>14</v>
      </c>
      <c r="D53" s="36" t="s">
        <v>15</v>
      </c>
      <c r="E53" s="36" t="s">
        <v>16</v>
      </c>
      <c r="F53" s="36" t="s">
        <v>429</v>
      </c>
      <c r="G53" s="36" t="s">
        <v>1554</v>
      </c>
      <c r="H53" s="36" t="s">
        <v>429</v>
      </c>
      <c r="I53" s="36" t="s">
        <v>1554</v>
      </c>
      <c r="J53" s="36" t="s">
        <v>429</v>
      </c>
      <c r="K53" s="36" t="s">
        <v>1554</v>
      </c>
      <c r="L53" s="36" t="s">
        <v>429</v>
      </c>
      <c r="M53" s="36" t="s">
        <v>1023</v>
      </c>
      <c r="N53" s="36" t="s">
        <v>429</v>
      </c>
      <c r="O53" s="36" t="s">
        <v>1023</v>
      </c>
      <c r="P53" s="36" t="s">
        <v>429</v>
      </c>
      <c r="Q53" s="36" t="s">
        <v>1679</v>
      </c>
      <c r="R53" s="36" t="s">
        <v>429</v>
      </c>
      <c r="S53" s="36" t="s">
        <v>1680</v>
      </c>
      <c r="T53" s="36" t="s">
        <v>429</v>
      </c>
      <c r="U53" s="36" t="s">
        <v>1681</v>
      </c>
      <c r="V53" s="36" t="s">
        <v>429</v>
      </c>
      <c r="W53" s="36" t="s">
        <v>1682</v>
      </c>
      <c r="X53" s="36" t="s">
        <v>429</v>
      </c>
      <c r="Y53" s="36" t="s">
        <v>1683</v>
      </c>
      <c r="Z53" s="36" t="s">
        <v>429</v>
      </c>
      <c r="AA53" s="36" t="s">
        <v>1684</v>
      </c>
      <c r="AB53" s="36" t="s">
        <v>429</v>
      </c>
      <c r="AC53" s="36" t="s">
        <v>1685</v>
      </c>
      <c r="AD53" s="36" t="s">
        <v>429</v>
      </c>
      <c r="AE53" s="36" t="s">
        <v>1686</v>
      </c>
      <c r="AF53" s="36" t="s">
        <v>429</v>
      </c>
      <c r="AG53" s="36" t="s">
        <v>1686</v>
      </c>
      <c r="AH53" s="36" t="s">
        <v>429</v>
      </c>
      <c r="AI53" s="36" t="s">
        <v>1687</v>
      </c>
      <c r="AJ53" s="36" t="s">
        <v>429</v>
      </c>
      <c r="AK53" s="36" t="s">
        <v>1687</v>
      </c>
      <c r="AL53" s="36" t="s">
        <v>429</v>
      </c>
      <c r="AM53" s="36" t="s">
        <v>1688</v>
      </c>
      <c r="AN53" s="36" t="s">
        <v>429</v>
      </c>
      <c r="AO53" s="36" t="s">
        <v>1689</v>
      </c>
      <c r="AP53" s="36" t="s">
        <v>429</v>
      </c>
      <c r="AQ53" s="36" t="s">
        <v>1690</v>
      </c>
      <c r="AR53" s="36" t="s">
        <v>429</v>
      </c>
      <c r="AS53" s="36" t="s">
        <v>1690</v>
      </c>
      <c r="AT53" s="36" t="s">
        <v>429</v>
      </c>
      <c r="AU53" s="36" t="s">
        <v>1691</v>
      </c>
      <c r="AV53" s="36" t="s">
        <v>429</v>
      </c>
      <c r="AW53" s="36" t="s">
        <v>1692</v>
      </c>
      <c r="AX53" s="36" t="s">
        <v>429</v>
      </c>
      <c r="AY53" s="36" t="s">
        <v>1693</v>
      </c>
      <c r="AZ53" s="36" t="s">
        <v>429</v>
      </c>
      <c r="BA53" s="36" t="s">
        <v>1694</v>
      </c>
      <c r="BB53" s="36" t="s">
        <v>429</v>
      </c>
      <c r="BC53" s="36" t="s">
        <v>1695</v>
      </c>
      <c r="BD53" s="36" t="s">
        <v>429</v>
      </c>
      <c r="BE53" s="36" t="s">
        <v>1696</v>
      </c>
      <c r="BF53" s="36" t="s">
        <v>429</v>
      </c>
      <c r="BG53" s="36" t="s">
        <v>1697</v>
      </c>
      <c r="BH53" s="36" t="s">
        <v>429</v>
      </c>
      <c r="BI53" s="36" t="s">
        <v>1697</v>
      </c>
      <c r="BJ53" s="36" t="s">
        <v>429</v>
      </c>
      <c r="BK53" s="36" t="s">
        <v>1698</v>
      </c>
      <c r="BL53" s="36" t="s">
        <v>429</v>
      </c>
      <c r="BM53" s="36" t="s">
        <v>1699</v>
      </c>
      <c r="BN53" s="36" t="s">
        <v>429</v>
      </c>
      <c r="BO53" s="36" t="s">
        <v>1700</v>
      </c>
      <c r="BP53" s="36" t="s">
        <v>429</v>
      </c>
      <c r="BQ53" s="36" t="s">
        <v>1701</v>
      </c>
      <c r="BR53" s="36" t="s">
        <v>429</v>
      </c>
      <c r="BS53" s="36" t="s">
        <v>1702</v>
      </c>
      <c r="BT53" s="36" t="s">
        <v>429</v>
      </c>
      <c r="BU53" s="36" t="s">
        <v>1702</v>
      </c>
      <c r="BV53" s="36" t="s">
        <v>429</v>
      </c>
      <c r="BW53" s="36" t="s">
        <v>1703</v>
      </c>
      <c r="BX53" s="36" t="s">
        <v>429</v>
      </c>
      <c r="BY53" s="36" t="s">
        <v>1168</v>
      </c>
      <c r="BZ53" s="36" t="s">
        <v>429</v>
      </c>
      <c r="CA53" s="36" t="s">
        <v>1704</v>
      </c>
    </row>
    <row r="54" ht="30" customHeight="1" spans="1:79">
      <c r="A54" s="34" t="s">
        <v>112</v>
      </c>
      <c r="B54" s="34" t="s">
        <v>113</v>
      </c>
      <c r="C54" s="34" t="s">
        <v>14</v>
      </c>
      <c r="D54" s="34" t="s">
        <v>15</v>
      </c>
      <c r="E54" s="34" t="s">
        <v>16</v>
      </c>
      <c r="F54" s="34" t="s">
        <v>429</v>
      </c>
      <c r="G54" s="34" t="s">
        <v>1705</v>
      </c>
      <c r="H54" s="34" t="s">
        <v>429</v>
      </c>
      <c r="I54" s="34" t="s">
        <v>1705</v>
      </c>
      <c r="J54" s="34" t="s">
        <v>429</v>
      </c>
      <c r="K54" s="34" t="s">
        <v>1705</v>
      </c>
      <c r="L54" s="34" t="s">
        <v>429</v>
      </c>
      <c r="M54" s="34" t="s">
        <v>968</v>
      </c>
      <c r="N54" s="34" t="s">
        <v>429</v>
      </c>
      <c r="O54" s="34" t="s">
        <v>1706</v>
      </c>
      <c r="P54" s="34" t="s">
        <v>429</v>
      </c>
      <c r="Q54" s="34" t="s">
        <v>968</v>
      </c>
      <c r="R54" s="34" t="s">
        <v>429</v>
      </c>
      <c r="S54" s="34" t="s">
        <v>970</v>
      </c>
      <c r="T54" s="34" t="s">
        <v>429</v>
      </c>
      <c r="U54" s="34" t="s">
        <v>970</v>
      </c>
      <c r="V54" s="34" t="s">
        <v>429</v>
      </c>
      <c r="W54" s="34" t="s">
        <v>1707</v>
      </c>
      <c r="X54" s="34" t="s">
        <v>429</v>
      </c>
      <c r="Y54" s="34" t="s">
        <v>1156</v>
      </c>
      <c r="Z54" s="34" t="s">
        <v>429</v>
      </c>
      <c r="AA54" s="34" t="s">
        <v>1708</v>
      </c>
      <c r="AB54" s="34" t="s">
        <v>429</v>
      </c>
      <c r="AC54" s="34" t="s">
        <v>1709</v>
      </c>
      <c r="AD54" s="34" t="s">
        <v>429</v>
      </c>
      <c r="AE54" s="34" t="s">
        <v>807</v>
      </c>
      <c r="AF54" s="34" t="s">
        <v>429</v>
      </c>
      <c r="AG54" s="34" t="s">
        <v>1606</v>
      </c>
      <c r="AH54" s="34" t="s">
        <v>429</v>
      </c>
      <c r="AI54" s="34" t="s">
        <v>1158</v>
      </c>
      <c r="AJ54" s="34" t="s">
        <v>429</v>
      </c>
      <c r="AK54" s="34" t="s">
        <v>1320</v>
      </c>
      <c r="AL54" s="34" t="s">
        <v>429</v>
      </c>
      <c r="AM54" s="34" t="s">
        <v>734</v>
      </c>
      <c r="AN54" s="34" t="s">
        <v>429</v>
      </c>
      <c r="AO54" s="34" t="s">
        <v>808</v>
      </c>
      <c r="AP54" s="34" t="s">
        <v>429</v>
      </c>
      <c r="AQ54" s="34" t="s">
        <v>736</v>
      </c>
      <c r="AR54" s="34" t="s">
        <v>429</v>
      </c>
      <c r="AS54" s="34" t="s">
        <v>1710</v>
      </c>
      <c r="AT54" s="34" t="s">
        <v>429</v>
      </c>
      <c r="AU54" s="34" t="s">
        <v>1711</v>
      </c>
      <c r="AV54" s="34" t="s">
        <v>429</v>
      </c>
      <c r="AW54" s="34" t="s">
        <v>1712</v>
      </c>
      <c r="AX54" s="34" t="s">
        <v>429</v>
      </c>
      <c r="AY54" s="34" t="s">
        <v>1713</v>
      </c>
      <c r="AZ54" s="34" t="s">
        <v>429</v>
      </c>
      <c r="BA54" s="34" t="s">
        <v>1714</v>
      </c>
      <c r="BB54" s="34" t="s">
        <v>429</v>
      </c>
      <c r="BC54" s="34" t="s">
        <v>578</v>
      </c>
      <c r="BD54" s="34" t="s">
        <v>429</v>
      </c>
      <c r="BE54" s="34" t="s">
        <v>1715</v>
      </c>
      <c r="BF54" s="34" t="s">
        <v>429</v>
      </c>
      <c r="BG54" s="34" t="s">
        <v>1716</v>
      </c>
      <c r="BH54" s="34" t="s">
        <v>429</v>
      </c>
      <c r="BI54" s="34" t="s">
        <v>1717</v>
      </c>
      <c r="BJ54" s="34" t="s">
        <v>429</v>
      </c>
      <c r="BK54" s="34" t="s">
        <v>579</v>
      </c>
      <c r="BL54" s="34" t="s">
        <v>429</v>
      </c>
      <c r="BM54" s="34" t="s">
        <v>1718</v>
      </c>
      <c r="BN54" s="34" t="s">
        <v>429</v>
      </c>
      <c r="BO54" s="34" t="s">
        <v>1719</v>
      </c>
      <c r="BP54" s="34" t="s">
        <v>429</v>
      </c>
      <c r="BQ54" s="34" t="s">
        <v>1720</v>
      </c>
      <c r="BR54" s="34" t="s">
        <v>429</v>
      </c>
      <c r="BS54" s="34" t="s">
        <v>1721</v>
      </c>
      <c r="BT54" s="34" t="s">
        <v>429</v>
      </c>
      <c r="BU54" s="34" t="s">
        <v>1721</v>
      </c>
      <c r="BV54" s="34" t="s">
        <v>429</v>
      </c>
      <c r="BW54" s="34" t="s">
        <v>1722</v>
      </c>
      <c r="BX54" s="34" t="s">
        <v>429</v>
      </c>
      <c r="BY54" s="34" t="s">
        <v>1168</v>
      </c>
      <c r="BZ54" s="34" t="s">
        <v>429</v>
      </c>
      <c r="CA54" s="34" t="s">
        <v>565</v>
      </c>
    </row>
    <row r="55" ht="30" customHeight="1" spans="1:79">
      <c r="A55" s="36" t="s">
        <v>114</v>
      </c>
      <c r="B55" s="36" t="s">
        <v>115</v>
      </c>
      <c r="C55" s="36" t="s">
        <v>14</v>
      </c>
      <c r="D55" s="36" t="s">
        <v>15</v>
      </c>
      <c r="E55" s="36" t="s">
        <v>16</v>
      </c>
      <c r="F55" s="36" t="s">
        <v>429</v>
      </c>
      <c r="G55" s="36" t="s">
        <v>825</v>
      </c>
      <c r="H55" s="36" t="s">
        <v>429</v>
      </c>
      <c r="I55" s="36" t="s">
        <v>1723</v>
      </c>
      <c r="J55" s="36" t="s">
        <v>429</v>
      </c>
      <c r="K55" s="36" t="s">
        <v>1723</v>
      </c>
      <c r="L55" s="36" t="s">
        <v>429</v>
      </c>
      <c r="M55" s="36" t="s">
        <v>1724</v>
      </c>
      <c r="N55" s="36" t="s">
        <v>429</v>
      </c>
      <c r="O55" s="36" t="s">
        <v>1725</v>
      </c>
      <c r="P55" s="36" t="s">
        <v>429</v>
      </c>
      <c r="Q55" s="36" t="s">
        <v>1726</v>
      </c>
      <c r="R55" s="36" t="s">
        <v>429</v>
      </c>
      <c r="S55" s="36" t="s">
        <v>1727</v>
      </c>
      <c r="T55" s="36" t="s">
        <v>429</v>
      </c>
      <c r="U55" s="36" t="s">
        <v>1728</v>
      </c>
      <c r="V55" s="36" t="s">
        <v>429</v>
      </c>
      <c r="W55" s="36" t="s">
        <v>1729</v>
      </c>
      <c r="X55" s="36" t="s">
        <v>429</v>
      </c>
      <c r="Y55" s="36" t="s">
        <v>665</v>
      </c>
      <c r="Z55" s="36" t="s">
        <v>429</v>
      </c>
      <c r="AA55" s="36" t="s">
        <v>1730</v>
      </c>
      <c r="AB55" s="36" t="s">
        <v>429</v>
      </c>
      <c r="AC55" s="36" t="s">
        <v>666</v>
      </c>
      <c r="AD55" s="36" t="s">
        <v>429</v>
      </c>
      <c r="AE55" s="36" t="s">
        <v>1731</v>
      </c>
      <c r="AF55" s="36" t="s">
        <v>429</v>
      </c>
      <c r="AG55" s="36" t="s">
        <v>1732</v>
      </c>
      <c r="AH55" s="36" t="s">
        <v>429</v>
      </c>
      <c r="AI55" s="36" t="s">
        <v>1733</v>
      </c>
      <c r="AJ55" s="36" t="s">
        <v>429</v>
      </c>
      <c r="AK55" s="36" t="s">
        <v>648</v>
      </c>
      <c r="AL55" s="36" t="s">
        <v>429</v>
      </c>
      <c r="AM55" s="36" t="s">
        <v>1734</v>
      </c>
      <c r="AN55" s="36" t="s">
        <v>429</v>
      </c>
      <c r="AO55" s="36" t="s">
        <v>1735</v>
      </c>
      <c r="AP55" s="36" t="s">
        <v>429</v>
      </c>
      <c r="AQ55" s="36" t="s">
        <v>1736</v>
      </c>
      <c r="AR55" s="36" t="s">
        <v>429</v>
      </c>
      <c r="AS55" s="36" t="s">
        <v>1737</v>
      </c>
      <c r="AT55" s="36" t="s">
        <v>429</v>
      </c>
      <c r="AU55" s="36" t="s">
        <v>1738</v>
      </c>
      <c r="AV55" s="36" t="s">
        <v>429</v>
      </c>
      <c r="AW55" s="36" t="s">
        <v>1739</v>
      </c>
      <c r="AX55" s="36" t="s">
        <v>429</v>
      </c>
      <c r="AY55" s="36" t="s">
        <v>1740</v>
      </c>
      <c r="AZ55" s="36" t="s">
        <v>429</v>
      </c>
      <c r="BA55" s="36" t="s">
        <v>1741</v>
      </c>
      <c r="BB55" s="36" t="s">
        <v>429</v>
      </c>
      <c r="BC55" s="36" t="s">
        <v>1742</v>
      </c>
      <c r="BD55" s="36" t="s">
        <v>429</v>
      </c>
      <c r="BE55" s="36" t="s">
        <v>1743</v>
      </c>
      <c r="BF55" s="36" t="s">
        <v>429</v>
      </c>
      <c r="BG55" s="36" t="s">
        <v>1744</v>
      </c>
      <c r="BH55" s="36" t="s">
        <v>429</v>
      </c>
      <c r="BI55" s="36" t="s">
        <v>1745</v>
      </c>
      <c r="BJ55" s="36" t="s">
        <v>429</v>
      </c>
      <c r="BK55" s="36" t="s">
        <v>1746</v>
      </c>
      <c r="BL55" s="36" t="s">
        <v>429</v>
      </c>
      <c r="BM55" s="36" t="s">
        <v>1747</v>
      </c>
      <c r="BN55" s="36" t="s">
        <v>429</v>
      </c>
      <c r="BO55" s="36" t="s">
        <v>1748</v>
      </c>
      <c r="BP55" s="36" t="s">
        <v>429</v>
      </c>
      <c r="BQ55" s="36" t="s">
        <v>1749</v>
      </c>
      <c r="BR55" s="36" t="s">
        <v>429</v>
      </c>
      <c r="BS55" s="36" t="s">
        <v>1750</v>
      </c>
      <c r="BT55" s="36" t="s">
        <v>429</v>
      </c>
      <c r="BU55" s="36" t="s">
        <v>1750</v>
      </c>
      <c r="BV55" s="36" t="s">
        <v>429</v>
      </c>
      <c r="BW55" s="36" t="s">
        <v>1751</v>
      </c>
      <c r="BX55" s="36" t="s">
        <v>429</v>
      </c>
      <c r="BY55" s="36" t="s">
        <v>1752</v>
      </c>
      <c r="BZ55" s="36" t="s">
        <v>429</v>
      </c>
      <c r="CA55" s="36" t="s">
        <v>529</v>
      </c>
    </row>
  </sheetData>
  <mergeCells count="66">
    <mergeCell ref="A1:CA1"/>
    <mergeCell ref="A2:CA2"/>
    <mergeCell ref="F3:G3"/>
    <mergeCell ref="H3:I3"/>
    <mergeCell ref="J3:K3"/>
    <mergeCell ref="L3:M3"/>
    <mergeCell ref="N3:O3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  <mergeCell ref="BD3:BG3"/>
    <mergeCell ref="BH3:BK3"/>
    <mergeCell ref="BL3:BO3"/>
    <mergeCell ref="BP3:BS3"/>
    <mergeCell ref="BT3:BW3"/>
    <mergeCell ref="BX3:BY3"/>
    <mergeCell ref="BZ3:CA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A3:A5"/>
    <mergeCell ref="B3:B5"/>
    <mergeCell ref="C3:C5"/>
    <mergeCell ref="D3:D5"/>
    <mergeCell ref="E3:E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5"/>
  <sheetViews>
    <sheetView workbookViewId="0">
      <pane xSplit="1" ySplit="5" topLeftCell="BF7" activePane="bottomRight" state="frozen"/>
      <selection/>
      <selection pane="topRight"/>
      <selection pane="bottomLeft"/>
      <selection pane="bottomRight" activeCell="A2" sqref="A2:BQ52"/>
    </sheetView>
  </sheetViews>
  <sheetFormatPr defaultColWidth="8.88888888888889" defaultRowHeight="14.4"/>
  <cols>
    <col min="1" max="1" width="11" customWidth="1"/>
    <col min="2" max="2" width="13" customWidth="1"/>
    <col min="3" max="3" width="33" customWidth="1"/>
    <col min="4" max="4" width="19" customWidth="1"/>
    <col min="5" max="5" width="11" customWidth="1"/>
    <col min="6" max="7" width="19" customWidth="1"/>
    <col min="8" max="8" width="13" customWidth="1"/>
    <col min="9" max="9" width="12" customWidth="1"/>
    <col min="10" max="11" width="19" customWidth="1"/>
    <col min="12" max="13" width="12" customWidth="1"/>
    <col min="14" max="15" width="19" customWidth="1"/>
    <col min="16" max="17" width="12" customWidth="1"/>
    <col min="18" max="19" width="19" customWidth="1"/>
    <col min="20" max="20" width="12" customWidth="1"/>
    <col min="21" max="21" width="13" customWidth="1"/>
    <col min="22" max="23" width="19" customWidth="1"/>
    <col min="24" max="25" width="11" customWidth="1"/>
    <col min="26" max="27" width="19" customWidth="1"/>
    <col min="28" max="29" width="11" customWidth="1"/>
    <col min="30" max="31" width="19" customWidth="1"/>
    <col min="32" max="33" width="11" customWidth="1"/>
    <col min="34" max="35" width="19" customWidth="1"/>
    <col min="36" max="37" width="11" customWidth="1"/>
    <col min="38" max="39" width="19" customWidth="1"/>
    <col min="40" max="41" width="11" customWidth="1"/>
    <col min="42" max="43" width="19" customWidth="1"/>
    <col min="44" max="45" width="11" customWidth="1"/>
    <col min="46" max="47" width="19" customWidth="1"/>
    <col min="48" max="49" width="11" customWidth="1"/>
    <col min="50" max="51" width="19" customWidth="1"/>
    <col min="52" max="53" width="11" customWidth="1"/>
    <col min="54" max="55" width="19" customWidth="1"/>
    <col min="56" max="57" width="11" customWidth="1"/>
    <col min="58" max="59" width="19" customWidth="1"/>
    <col min="60" max="61" width="11" customWidth="1"/>
    <col min="62" max="63" width="19" customWidth="1"/>
    <col min="64" max="65" width="11" customWidth="1"/>
    <col min="66" max="67" width="19" customWidth="1"/>
    <col min="68" max="69" width="11" customWidth="1"/>
    <col min="70" max="70" width="17.5740740740741" customWidth="1"/>
  </cols>
  <sheetData>
    <row r="1" ht="30" customHeight="1" spans="1:69">
      <c r="A1" s="31" t="s">
        <v>1753</v>
      </c>
    </row>
    <row r="2" ht="30" customHeight="1" spans="1:69">
      <c r="A2" s="32" t="s">
        <v>1</v>
      </c>
    </row>
    <row r="3" ht="15.6" spans="1:69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371</v>
      </c>
      <c r="G3" s="33"/>
      <c r="H3" s="33"/>
      <c r="I3" s="33"/>
      <c r="J3" s="33" t="s">
        <v>373</v>
      </c>
      <c r="K3" s="33"/>
      <c r="L3" s="33"/>
      <c r="M3" s="33"/>
      <c r="N3" s="33" t="s">
        <v>374</v>
      </c>
      <c r="O3" s="33"/>
      <c r="P3" s="33"/>
      <c r="Q3" s="33"/>
      <c r="R3" s="33" t="s">
        <v>375</v>
      </c>
      <c r="S3" s="33"/>
      <c r="T3" s="33"/>
      <c r="U3" s="33"/>
      <c r="V3" s="33" t="s">
        <v>376</v>
      </c>
      <c r="W3" s="33"/>
      <c r="X3" s="33"/>
      <c r="Y3" s="33"/>
      <c r="Z3" s="33" t="s">
        <v>377</v>
      </c>
      <c r="AA3" s="33"/>
      <c r="AB3" s="33"/>
      <c r="AC3" s="33"/>
      <c r="AD3" s="33" t="s">
        <v>378</v>
      </c>
      <c r="AE3" s="33"/>
      <c r="AF3" s="33"/>
      <c r="AG3" s="33"/>
      <c r="AH3" s="33" t="s">
        <v>379</v>
      </c>
      <c r="AI3" s="33"/>
      <c r="AJ3" s="33"/>
      <c r="AK3" s="33"/>
      <c r="AL3" s="33" t="s">
        <v>380</v>
      </c>
      <c r="AM3" s="33"/>
      <c r="AN3" s="33"/>
      <c r="AO3" s="33"/>
      <c r="AP3" s="33" t="s">
        <v>381</v>
      </c>
      <c r="AQ3" s="33"/>
      <c r="AR3" s="33"/>
      <c r="AS3" s="33"/>
      <c r="AT3" s="33" t="s">
        <v>382</v>
      </c>
      <c r="AU3" s="33"/>
      <c r="AV3" s="33"/>
      <c r="AW3" s="33"/>
      <c r="AX3" s="33" t="s">
        <v>383</v>
      </c>
      <c r="AY3" s="33"/>
      <c r="AZ3" s="33"/>
      <c r="BA3" s="33"/>
      <c r="BB3" s="33" t="s">
        <v>384</v>
      </c>
      <c r="BC3" s="33"/>
      <c r="BD3" s="33"/>
      <c r="BE3" s="33"/>
      <c r="BF3" s="33" t="s">
        <v>385</v>
      </c>
      <c r="BG3" s="33"/>
      <c r="BH3" s="33"/>
      <c r="BI3" s="33"/>
      <c r="BJ3" s="33" t="s">
        <v>386</v>
      </c>
      <c r="BK3" s="33"/>
      <c r="BL3" s="33"/>
      <c r="BM3" s="33"/>
      <c r="BN3" s="33" t="s">
        <v>387</v>
      </c>
      <c r="BO3" s="33"/>
      <c r="BP3" s="33"/>
      <c r="BQ3" s="33"/>
    </row>
    <row r="4" ht="15.6" spans="1:69">
      <c r="A4" s="33"/>
      <c r="B4" s="33"/>
      <c r="C4" s="33"/>
      <c r="D4" s="33"/>
      <c r="E4" s="33"/>
      <c r="F4" s="33" t="s">
        <v>1754</v>
      </c>
      <c r="G4" s="33"/>
      <c r="H4" s="33"/>
      <c r="I4" s="33"/>
      <c r="J4" s="33" t="s">
        <v>1755</v>
      </c>
      <c r="K4" s="33"/>
      <c r="L4" s="33"/>
      <c r="M4" s="33"/>
      <c r="N4" s="33" t="s">
        <v>1756</v>
      </c>
      <c r="O4" s="33"/>
      <c r="P4" s="33"/>
      <c r="Q4" s="33"/>
      <c r="R4" s="33" t="s">
        <v>1757</v>
      </c>
      <c r="S4" s="33"/>
      <c r="T4" s="33"/>
      <c r="U4" s="33"/>
      <c r="V4" s="33" t="s">
        <v>1758</v>
      </c>
      <c r="W4" s="33"/>
      <c r="X4" s="33"/>
      <c r="Y4" s="33"/>
      <c r="Z4" s="33" t="s">
        <v>1759</v>
      </c>
      <c r="AA4" s="33"/>
      <c r="AB4" s="33"/>
      <c r="AC4" s="33"/>
      <c r="AD4" s="33" t="s">
        <v>1760</v>
      </c>
      <c r="AE4" s="33"/>
      <c r="AF4" s="33"/>
      <c r="AG4" s="33"/>
      <c r="AH4" s="33" t="s">
        <v>1761</v>
      </c>
      <c r="AI4" s="33"/>
      <c r="AJ4" s="33"/>
      <c r="AK4" s="33"/>
      <c r="AL4" s="33" t="s">
        <v>1762</v>
      </c>
      <c r="AM4" s="33"/>
      <c r="AN4" s="33"/>
      <c r="AO4" s="33"/>
      <c r="AP4" s="33" t="s">
        <v>1763</v>
      </c>
      <c r="AQ4" s="33"/>
      <c r="AR4" s="33"/>
      <c r="AS4" s="33"/>
      <c r="AT4" s="33" t="s">
        <v>1764</v>
      </c>
      <c r="AU4" s="33"/>
      <c r="AV4" s="33"/>
      <c r="AW4" s="33"/>
      <c r="AX4" s="33" t="s">
        <v>1765</v>
      </c>
      <c r="AY4" s="33"/>
      <c r="AZ4" s="33"/>
      <c r="BA4" s="33"/>
      <c r="BB4" s="33" t="s">
        <v>1766</v>
      </c>
      <c r="BC4" s="33"/>
      <c r="BD4" s="33"/>
      <c r="BE4" s="33"/>
      <c r="BF4" s="33" t="s">
        <v>1767</v>
      </c>
      <c r="BG4" s="33"/>
      <c r="BH4" s="33"/>
      <c r="BI4" s="33"/>
      <c r="BJ4" s="33" t="s">
        <v>1768</v>
      </c>
      <c r="BK4" s="33"/>
      <c r="BL4" s="33"/>
      <c r="BM4" s="33"/>
      <c r="BN4" s="33" t="s">
        <v>1769</v>
      </c>
      <c r="BO4" s="33"/>
      <c r="BP4" s="33"/>
      <c r="BQ4" s="33"/>
    </row>
    <row r="5" ht="15.6" spans="1:69">
      <c r="A5" s="33"/>
      <c r="B5" s="33"/>
      <c r="C5" s="33"/>
      <c r="D5" s="33"/>
      <c r="E5" s="33"/>
      <c r="F5" s="33" t="s">
        <v>1770</v>
      </c>
      <c r="G5" s="33" t="s">
        <v>1771</v>
      </c>
      <c r="H5" s="33" t="s">
        <v>1772</v>
      </c>
      <c r="I5" s="33" t="s">
        <v>1773</v>
      </c>
      <c r="J5" s="33" t="s">
        <v>1770</v>
      </c>
      <c r="K5" s="33" t="s">
        <v>1771</v>
      </c>
      <c r="L5" s="33" t="s">
        <v>1772</v>
      </c>
      <c r="M5" s="33" t="s">
        <v>1773</v>
      </c>
      <c r="N5" s="33" t="s">
        <v>1770</v>
      </c>
      <c r="O5" s="33" t="s">
        <v>1771</v>
      </c>
      <c r="P5" s="33" t="s">
        <v>1772</v>
      </c>
      <c r="Q5" s="33" t="s">
        <v>1773</v>
      </c>
      <c r="R5" s="33" t="s">
        <v>1770</v>
      </c>
      <c r="S5" s="33" t="s">
        <v>1771</v>
      </c>
      <c r="T5" s="33" t="s">
        <v>1772</v>
      </c>
      <c r="U5" s="33" t="s">
        <v>1773</v>
      </c>
      <c r="V5" s="33" t="s">
        <v>1770</v>
      </c>
      <c r="W5" s="33" t="s">
        <v>1771</v>
      </c>
      <c r="X5" s="33" t="s">
        <v>1772</v>
      </c>
      <c r="Y5" s="33" t="s">
        <v>1773</v>
      </c>
      <c r="Z5" s="33" t="s">
        <v>1770</v>
      </c>
      <c r="AA5" s="33" t="s">
        <v>1771</v>
      </c>
      <c r="AB5" s="33" t="s">
        <v>1772</v>
      </c>
      <c r="AC5" s="33" t="s">
        <v>1773</v>
      </c>
      <c r="AD5" s="33" t="s">
        <v>1770</v>
      </c>
      <c r="AE5" s="33" t="s">
        <v>1771</v>
      </c>
      <c r="AF5" s="33" t="s">
        <v>1772</v>
      </c>
      <c r="AG5" s="33" t="s">
        <v>1773</v>
      </c>
      <c r="AH5" s="33" t="s">
        <v>1770</v>
      </c>
      <c r="AI5" s="33" t="s">
        <v>1771</v>
      </c>
      <c r="AJ5" s="33" t="s">
        <v>1772</v>
      </c>
      <c r="AK5" s="33" t="s">
        <v>1773</v>
      </c>
      <c r="AL5" s="33" t="s">
        <v>1770</v>
      </c>
      <c r="AM5" s="33" t="s">
        <v>1771</v>
      </c>
      <c r="AN5" s="33" t="s">
        <v>1772</v>
      </c>
      <c r="AO5" s="33" t="s">
        <v>1773</v>
      </c>
      <c r="AP5" s="33" t="s">
        <v>1770</v>
      </c>
      <c r="AQ5" s="33" t="s">
        <v>1771</v>
      </c>
      <c r="AR5" s="33" t="s">
        <v>1772</v>
      </c>
      <c r="AS5" s="33" t="s">
        <v>1773</v>
      </c>
      <c r="AT5" s="33" t="s">
        <v>1770</v>
      </c>
      <c r="AU5" s="33" t="s">
        <v>1771</v>
      </c>
      <c r="AV5" s="33" t="s">
        <v>1772</v>
      </c>
      <c r="AW5" s="33" t="s">
        <v>1773</v>
      </c>
      <c r="AX5" s="33" t="s">
        <v>1770</v>
      </c>
      <c r="AY5" s="33" t="s">
        <v>1771</v>
      </c>
      <c r="AZ5" s="33" t="s">
        <v>1772</v>
      </c>
      <c r="BA5" s="33" t="s">
        <v>1773</v>
      </c>
      <c r="BB5" s="33" t="s">
        <v>1770</v>
      </c>
      <c r="BC5" s="33" t="s">
        <v>1771</v>
      </c>
      <c r="BD5" s="33" t="s">
        <v>1772</v>
      </c>
      <c r="BE5" s="33" t="s">
        <v>1773</v>
      </c>
      <c r="BF5" s="33" t="s">
        <v>1770</v>
      </c>
      <c r="BG5" s="33" t="s">
        <v>1771</v>
      </c>
      <c r="BH5" s="33" t="s">
        <v>1772</v>
      </c>
      <c r="BI5" s="33" t="s">
        <v>1773</v>
      </c>
      <c r="BJ5" s="33" t="s">
        <v>1770</v>
      </c>
      <c r="BK5" s="33" t="s">
        <v>1771</v>
      </c>
      <c r="BL5" s="33" t="s">
        <v>1772</v>
      </c>
      <c r="BM5" s="33" t="s">
        <v>1773</v>
      </c>
      <c r="BN5" s="33" t="s">
        <v>1770</v>
      </c>
      <c r="BO5" s="33" t="s">
        <v>1771</v>
      </c>
      <c r="BP5" s="33" t="s">
        <v>1772</v>
      </c>
      <c r="BQ5" s="33" t="s">
        <v>1773</v>
      </c>
    </row>
    <row r="6" ht="30" customHeight="1" spans="1:69">
      <c r="A6" s="34" t="s">
        <v>12</v>
      </c>
      <c r="B6" s="34" t="s">
        <v>13</v>
      </c>
      <c r="C6" s="34" t="s">
        <v>14</v>
      </c>
      <c r="D6" s="34" t="s">
        <v>15</v>
      </c>
      <c r="E6" s="34" t="s">
        <v>16</v>
      </c>
      <c r="F6" s="34" t="s">
        <v>1774</v>
      </c>
      <c r="G6" s="34" t="s">
        <v>1775</v>
      </c>
      <c r="H6" s="43">
        <v>1.6001</v>
      </c>
      <c r="I6" s="34" t="s">
        <v>1776</v>
      </c>
      <c r="J6" s="34" t="s">
        <v>1777</v>
      </c>
      <c r="K6" s="34" t="s">
        <v>435</v>
      </c>
      <c r="L6" s="43">
        <v>1.0018</v>
      </c>
      <c r="M6" s="34" t="s">
        <v>1778</v>
      </c>
      <c r="N6" s="34" t="s">
        <v>1779</v>
      </c>
      <c r="O6" s="34" t="s">
        <v>1780</v>
      </c>
      <c r="P6" s="43">
        <v>1.0004</v>
      </c>
      <c r="Q6" s="34" t="s">
        <v>1781</v>
      </c>
      <c r="R6" s="34" t="s">
        <v>1619</v>
      </c>
      <c r="S6" s="34" t="s">
        <v>1782</v>
      </c>
      <c r="T6" s="43">
        <v>0.9989</v>
      </c>
      <c r="U6" s="34" t="s">
        <v>1783</v>
      </c>
      <c r="V6" s="34" t="s">
        <v>1654</v>
      </c>
      <c r="W6" s="34" t="s">
        <v>1784</v>
      </c>
      <c r="X6" s="43">
        <v>0.9978</v>
      </c>
      <c r="Y6" s="34" t="s">
        <v>1785</v>
      </c>
      <c r="Z6" s="34" t="s">
        <v>573</v>
      </c>
      <c r="AA6" s="34" t="s">
        <v>1786</v>
      </c>
      <c r="AB6" s="43">
        <v>0.9986</v>
      </c>
      <c r="AC6" s="34" t="s">
        <v>1778</v>
      </c>
      <c r="AD6" s="34" t="s">
        <v>1787</v>
      </c>
      <c r="AE6" s="34" t="s">
        <v>445</v>
      </c>
      <c r="AF6" s="43">
        <v>0.9995</v>
      </c>
      <c r="AG6" s="34" t="s">
        <v>1788</v>
      </c>
      <c r="AH6" s="34" t="s">
        <v>1789</v>
      </c>
      <c r="AI6" s="34" t="s">
        <v>1790</v>
      </c>
      <c r="AJ6" s="43">
        <v>0.9973</v>
      </c>
      <c r="AK6" s="34" t="s">
        <v>1791</v>
      </c>
      <c r="AL6" s="34" t="s">
        <v>1792</v>
      </c>
      <c r="AM6" s="34" t="s">
        <v>1793</v>
      </c>
      <c r="AN6" s="43">
        <v>0.9985</v>
      </c>
      <c r="AO6" s="34" t="s">
        <v>1794</v>
      </c>
      <c r="AP6" s="34" t="s">
        <v>1795</v>
      </c>
      <c r="AQ6" s="34" t="s">
        <v>451</v>
      </c>
      <c r="AR6" s="43">
        <v>0.8721</v>
      </c>
      <c r="AS6" s="34" t="s">
        <v>1788</v>
      </c>
      <c r="AT6" s="34" t="s">
        <v>1796</v>
      </c>
      <c r="AU6" s="34" t="s">
        <v>1797</v>
      </c>
      <c r="AV6" s="43">
        <v>0.9994</v>
      </c>
      <c r="AW6" s="34" t="s">
        <v>1798</v>
      </c>
      <c r="AX6" s="34" t="s">
        <v>1799</v>
      </c>
      <c r="AY6" s="34" t="s">
        <v>1800</v>
      </c>
      <c r="AZ6" s="43">
        <v>1.0012</v>
      </c>
      <c r="BA6" s="34" t="s">
        <v>1801</v>
      </c>
      <c r="BB6" s="34" t="s">
        <v>1802</v>
      </c>
      <c r="BC6" s="34" t="s">
        <v>1803</v>
      </c>
      <c r="BD6" s="43">
        <v>0.9981</v>
      </c>
      <c r="BE6" s="34" t="s">
        <v>1804</v>
      </c>
      <c r="BF6" s="34" t="s">
        <v>1805</v>
      </c>
      <c r="BG6" s="34" t="s">
        <v>459</v>
      </c>
      <c r="BH6" s="43">
        <v>1.2865</v>
      </c>
      <c r="BI6" s="34" t="s">
        <v>1801</v>
      </c>
      <c r="BJ6" s="34" t="s">
        <v>1806</v>
      </c>
      <c r="BK6" s="34" t="s">
        <v>461</v>
      </c>
      <c r="BL6" s="43">
        <v>1.2368</v>
      </c>
      <c r="BM6" s="34" t="s">
        <v>1807</v>
      </c>
      <c r="BN6" s="34" t="s">
        <v>1808</v>
      </c>
      <c r="BO6" s="34" t="s">
        <v>463</v>
      </c>
      <c r="BP6" s="43">
        <v>1.0066</v>
      </c>
      <c r="BQ6" s="34" t="s">
        <v>1809</v>
      </c>
    </row>
    <row r="7" ht="30" customHeight="1" spans="1:69">
      <c r="A7" s="36" t="s">
        <v>17</v>
      </c>
      <c r="B7" s="36" t="s">
        <v>18</v>
      </c>
      <c r="C7" s="36" t="s">
        <v>14</v>
      </c>
      <c r="D7" s="36" t="s">
        <v>15</v>
      </c>
      <c r="E7" s="36" t="s">
        <v>16</v>
      </c>
      <c r="F7" s="36" t="s">
        <v>1810</v>
      </c>
      <c r="G7" s="36" t="s">
        <v>1811</v>
      </c>
      <c r="H7" s="44">
        <v>1.2089</v>
      </c>
      <c r="I7" s="36" t="s">
        <v>1812</v>
      </c>
      <c r="J7" s="36" t="s">
        <v>1813</v>
      </c>
      <c r="K7" s="36" t="s">
        <v>1814</v>
      </c>
      <c r="L7" s="44">
        <v>1.1622</v>
      </c>
      <c r="M7" s="36" t="s">
        <v>1815</v>
      </c>
      <c r="N7" s="36" t="s">
        <v>1816</v>
      </c>
      <c r="O7" s="36" t="s">
        <v>1817</v>
      </c>
      <c r="P7" s="44">
        <v>2.0329</v>
      </c>
      <c r="Q7" s="36" t="s">
        <v>1818</v>
      </c>
      <c r="R7" s="36" t="s">
        <v>471</v>
      </c>
      <c r="S7" s="36" t="s">
        <v>1819</v>
      </c>
      <c r="T7" s="44">
        <v>0.9131</v>
      </c>
      <c r="U7" s="36" t="s">
        <v>1820</v>
      </c>
      <c r="V7" s="36" t="s">
        <v>1821</v>
      </c>
      <c r="W7" s="36" t="s">
        <v>909</v>
      </c>
      <c r="X7" s="44">
        <v>2.4338</v>
      </c>
      <c r="Y7" s="36" t="s">
        <v>1822</v>
      </c>
      <c r="Z7" s="36" t="s">
        <v>656</v>
      </c>
      <c r="AA7" s="36" t="s">
        <v>778</v>
      </c>
      <c r="AB7" s="44">
        <v>1.0002</v>
      </c>
      <c r="AC7" s="36" t="s">
        <v>1778</v>
      </c>
      <c r="AD7" s="36" t="s">
        <v>779</v>
      </c>
      <c r="AE7" s="36" t="s">
        <v>780</v>
      </c>
      <c r="AF7" s="44">
        <v>1.1253</v>
      </c>
      <c r="AG7" s="36" t="s">
        <v>1781</v>
      </c>
      <c r="AH7" s="36" t="s">
        <v>828</v>
      </c>
      <c r="AI7" s="36" t="s">
        <v>503</v>
      </c>
      <c r="AJ7" s="44">
        <v>1.0008</v>
      </c>
      <c r="AK7" s="36" t="s">
        <v>1791</v>
      </c>
      <c r="AL7" s="36" t="s">
        <v>481</v>
      </c>
      <c r="AM7" s="36" t="s">
        <v>732</v>
      </c>
      <c r="AN7" s="44">
        <v>0.9238</v>
      </c>
      <c r="AO7" s="36" t="s">
        <v>1807</v>
      </c>
      <c r="AP7" s="36" t="s">
        <v>1348</v>
      </c>
      <c r="AQ7" s="36" t="s">
        <v>809</v>
      </c>
      <c r="AR7" s="44">
        <v>0.8926</v>
      </c>
      <c r="AS7" s="36" t="s">
        <v>1823</v>
      </c>
      <c r="AT7" s="36" t="s">
        <v>736</v>
      </c>
      <c r="AU7" s="36" t="s">
        <v>659</v>
      </c>
      <c r="AV7" s="44">
        <v>0.8001</v>
      </c>
      <c r="AW7" s="36" t="s">
        <v>1794</v>
      </c>
      <c r="AX7" s="36" t="s">
        <v>1571</v>
      </c>
      <c r="AY7" s="36" t="s">
        <v>491</v>
      </c>
      <c r="AZ7" s="44">
        <v>1.0022</v>
      </c>
      <c r="BA7" s="36" t="s">
        <v>1801</v>
      </c>
      <c r="BB7" s="36" t="s">
        <v>671</v>
      </c>
      <c r="BC7" s="36" t="s">
        <v>884</v>
      </c>
      <c r="BD7" s="44">
        <v>0.971</v>
      </c>
      <c r="BE7" s="36" t="s">
        <v>1824</v>
      </c>
      <c r="BF7" s="36" t="s">
        <v>672</v>
      </c>
      <c r="BG7" s="36" t="s">
        <v>1825</v>
      </c>
      <c r="BH7" s="44">
        <v>1.1726</v>
      </c>
      <c r="BI7" s="36" t="s">
        <v>1826</v>
      </c>
      <c r="BJ7" s="36" t="s">
        <v>1827</v>
      </c>
      <c r="BK7" s="36" t="s">
        <v>586</v>
      </c>
      <c r="BL7" s="44">
        <v>1.0006</v>
      </c>
      <c r="BM7" s="36" t="s">
        <v>1828</v>
      </c>
      <c r="BN7" s="36" t="s">
        <v>1482</v>
      </c>
      <c r="BO7" s="36" t="s">
        <v>588</v>
      </c>
      <c r="BP7" s="44">
        <v>0.9544</v>
      </c>
      <c r="BQ7" s="36" t="s">
        <v>1828</v>
      </c>
    </row>
    <row r="8" ht="30" customHeight="1" spans="1:69">
      <c r="A8" s="34" t="s">
        <v>19</v>
      </c>
      <c r="B8" s="34" t="s">
        <v>20</v>
      </c>
      <c r="C8" s="34" t="s">
        <v>14</v>
      </c>
      <c r="D8" s="34" t="s">
        <v>15</v>
      </c>
      <c r="E8" s="34" t="s">
        <v>21</v>
      </c>
      <c r="F8" s="34" t="s">
        <v>1026</v>
      </c>
      <c r="G8" s="34" t="s">
        <v>1829</v>
      </c>
      <c r="H8" s="43">
        <v>0.6543</v>
      </c>
      <c r="I8" s="34" t="s">
        <v>1830</v>
      </c>
      <c r="J8" s="34" t="s">
        <v>547</v>
      </c>
      <c r="K8" s="34" t="s">
        <v>1831</v>
      </c>
      <c r="L8" s="43">
        <v>0.6652</v>
      </c>
      <c r="M8" s="34" t="s">
        <v>1826</v>
      </c>
      <c r="N8" s="34" t="s">
        <v>1154</v>
      </c>
      <c r="O8" s="34" t="s">
        <v>548</v>
      </c>
      <c r="P8" s="43">
        <v>0.6803</v>
      </c>
      <c r="Q8" s="34" t="s">
        <v>1832</v>
      </c>
      <c r="R8" s="34" t="s">
        <v>1833</v>
      </c>
      <c r="S8" s="34" t="s">
        <v>1834</v>
      </c>
      <c r="T8" s="43">
        <v>1.0849</v>
      </c>
      <c r="U8" s="34" t="s">
        <v>1835</v>
      </c>
      <c r="V8" s="34" t="s">
        <v>1836</v>
      </c>
      <c r="W8" s="34" t="s">
        <v>1837</v>
      </c>
      <c r="X8" s="43">
        <v>0.9977</v>
      </c>
      <c r="Y8" s="34" t="s">
        <v>1785</v>
      </c>
      <c r="Z8" s="34" t="s">
        <v>1838</v>
      </c>
      <c r="AA8" s="34" t="s">
        <v>1839</v>
      </c>
      <c r="AB8" s="43">
        <v>1.0006</v>
      </c>
      <c r="AC8" s="34" t="s">
        <v>1778</v>
      </c>
      <c r="AD8" s="34" t="s">
        <v>1840</v>
      </c>
      <c r="AE8" s="34" t="s">
        <v>1841</v>
      </c>
      <c r="AF8" s="43">
        <v>1.0049</v>
      </c>
      <c r="AG8" s="34" t="s">
        <v>1788</v>
      </c>
      <c r="AH8" s="34" t="s">
        <v>1842</v>
      </c>
      <c r="AI8" s="34" t="s">
        <v>1843</v>
      </c>
      <c r="AJ8" s="43">
        <v>0.999</v>
      </c>
      <c r="AK8" s="34" t="s">
        <v>1791</v>
      </c>
      <c r="AL8" s="34" t="s">
        <v>1844</v>
      </c>
      <c r="AM8" s="34" t="s">
        <v>1845</v>
      </c>
      <c r="AN8" s="43">
        <v>0.9989</v>
      </c>
      <c r="AO8" s="34" t="s">
        <v>1794</v>
      </c>
      <c r="AP8" s="34" t="s">
        <v>1846</v>
      </c>
      <c r="AQ8" s="34" t="s">
        <v>1847</v>
      </c>
      <c r="AR8" s="43">
        <v>1.0004</v>
      </c>
      <c r="AS8" s="34" t="s">
        <v>1848</v>
      </c>
      <c r="AT8" s="34" t="s">
        <v>1849</v>
      </c>
      <c r="AU8" s="34" t="s">
        <v>1850</v>
      </c>
      <c r="AV8" s="43">
        <v>0.5056</v>
      </c>
      <c r="AW8" s="34" t="s">
        <v>1851</v>
      </c>
      <c r="AX8" s="34" t="s">
        <v>1571</v>
      </c>
      <c r="AY8" s="34" t="s">
        <v>491</v>
      </c>
      <c r="AZ8" s="43">
        <v>1.002</v>
      </c>
      <c r="BA8" s="34" t="s">
        <v>1801</v>
      </c>
      <c r="BB8" s="34" t="s">
        <v>522</v>
      </c>
      <c r="BC8" s="34" t="s">
        <v>1852</v>
      </c>
      <c r="BD8" s="43">
        <v>0.5031</v>
      </c>
      <c r="BE8" s="34" t="s">
        <v>1853</v>
      </c>
      <c r="BF8" s="34" t="s">
        <v>524</v>
      </c>
      <c r="BG8" s="34" t="s">
        <v>525</v>
      </c>
      <c r="BH8" s="43">
        <v>0.5062</v>
      </c>
      <c r="BI8" s="34" t="s">
        <v>1854</v>
      </c>
      <c r="BJ8" s="34" t="s">
        <v>1855</v>
      </c>
      <c r="BK8" s="34" t="s">
        <v>527</v>
      </c>
      <c r="BL8" s="43">
        <v>0.5003</v>
      </c>
      <c r="BM8" s="34" t="s">
        <v>1856</v>
      </c>
      <c r="BN8" s="34" t="s">
        <v>1857</v>
      </c>
      <c r="BO8" s="34" t="s">
        <v>1858</v>
      </c>
      <c r="BP8" s="43">
        <v>0.4994</v>
      </c>
      <c r="BQ8" s="34" t="s">
        <v>1859</v>
      </c>
    </row>
    <row r="9" ht="30" customHeight="1" spans="1:69">
      <c r="A9" s="36" t="s">
        <v>22</v>
      </c>
      <c r="B9" s="36" t="s">
        <v>23</v>
      </c>
      <c r="C9" s="36" t="s">
        <v>14</v>
      </c>
      <c r="D9" s="36" t="s">
        <v>15</v>
      </c>
      <c r="E9" s="36" t="s">
        <v>21</v>
      </c>
      <c r="F9" s="36" t="s">
        <v>1860</v>
      </c>
      <c r="G9" s="36" t="s">
        <v>533</v>
      </c>
      <c r="H9" s="44">
        <v>0.9569</v>
      </c>
      <c r="I9" s="36" t="s">
        <v>1861</v>
      </c>
      <c r="J9" s="36" t="s">
        <v>1862</v>
      </c>
      <c r="K9" s="36" t="s">
        <v>1863</v>
      </c>
      <c r="L9" s="44">
        <v>0.9584</v>
      </c>
      <c r="M9" s="36" t="s">
        <v>1864</v>
      </c>
      <c r="N9" s="36" t="s">
        <v>1865</v>
      </c>
      <c r="O9" s="36" t="s">
        <v>1866</v>
      </c>
      <c r="P9" s="44">
        <v>0.6195</v>
      </c>
      <c r="Q9" s="36" t="s">
        <v>1804</v>
      </c>
      <c r="R9" s="36" t="s">
        <v>1867</v>
      </c>
      <c r="S9" s="36" t="s">
        <v>1868</v>
      </c>
      <c r="T9" s="44">
        <v>0.5812</v>
      </c>
      <c r="U9" s="36" t="s">
        <v>1869</v>
      </c>
      <c r="V9" s="36" t="s">
        <v>1870</v>
      </c>
      <c r="W9" s="36" t="s">
        <v>1871</v>
      </c>
      <c r="X9" s="44">
        <v>0.6742</v>
      </c>
      <c r="Y9" s="36" t="s">
        <v>1872</v>
      </c>
      <c r="Z9" s="36" t="s">
        <v>1873</v>
      </c>
      <c r="AA9" s="36" t="s">
        <v>1874</v>
      </c>
      <c r="AB9" s="44">
        <v>0.4999</v>
      </c>
      <c r="AC9" s="36" t="s">
        <v>1875</v>
      </c>
      <c r="AD9" s="36" t="s">
        <v>544</v>
      </c>
      <c r="AE9" s="36" t="s">
        <v>1876</v>
      </c>
      <c r="AF9" s="44">
        <v>1.2306</v>
      </c>
      <c r="AG9" s="36" t="s">
        <v>1877</v>
      </c>
      <c r="AH9" s="36" t="s">
        <v>1878</v>
      </c>
      <c r="AI9" s="36" t="s">
        <v>1879</v>
      </c>
      <c r="AJ9" s="44">
        <v>0.9986</v>
      </c>
      <c r="AK9" s="36" t="s">
        <v>1791</v>
      </c>
      <c r="AL9" s="36" t="s">
        <v>1880</v>
      </c>
      <c r="AM9" s="36" t="s">
        <v>1881</v>
      </c>
      <c r="AN9" s="44">
        <v>1.0012</v>
      </c>
      <c r="AO9" s="36" t="s">
        <v>1794</v>
      </c>
      <c r="AP9" s="36" t="s">
        <v>1882</v>
      </c>
      <c r="AQ9" s="36" t="s">
        <v>1883</v>
      </c>
      <c r="AR9" s="44">
        <v>0.9998</v>
      </c>
      <c r="AS9" s="36" t="s">
        <v>1848</v>
      </c>
      <c r="AT9" s="36" t="s">
        <v>1884</v>
      </c>
      <c r="AU9" s="36" t="s">
        <v>554</v>
      </c>
      <c r="AV9" s="44">
        <v>1.004</v>
      </c>
      <c r="AW9" s="36" t="s">
        <v>1885</v>
      </c>
      <c r="AX9" s="36" t="s">
        <v>1886</v>
      </c>
      <c r="AY9" s="36" t="s">
        <v>1887</v>
      </c>
      <c r="AZ9" s="44">
        <v>1.1705</v>
      </c>
      <c r="BA9" s="36" t="s">
        <v>1794</v>
      </c>
      <c r="BB9" s="36" t="s">
        <v>1888</v>
      </c>
      <c r="BC9" s="36" t="s">
        <v>1708</v>
      </c>
      <c r="BD9" s="44">
        <v>1.1942</v>
      </c>
      <c r="BE9" s="36" t="s">
        <v>1785</v>
      </c>
      <c r="BF9" s="36" t="s">
        <v>1889</v>
      </c>
      <c r="BG9" s="36" t="s">
        <v>1890</v>
      </c>
      <c r="BH9" s="44">
        <v>1.173</v>
      </c>
      <c r="BI9" s="36" t="s">
        <v>1826</v>
      </c>
      <c r="BJ9" s="36" t="s">
        <v>1891</v>
      </c>
      <c r="BK9" s="36" t="s">
        <v>1892</v>
      </c>
      <c r="BL9" s="44">
        <v>1.26</v>
      </c>
      <c r="BM9" s="36" t="s">
        <v>1893</v>
      </c>
      <c r="BN9" s="36" t="s">
        <v>1894</v>
      </c>
      <c r="BO9" s="36" t="s">
        <v>1895</v>
      </c>
      <c r="BP9" s="44">
        <v>1.1291</v>
      </c>
      <c r="BQ9" s="36" t="s">
        <v>1791</v>
      </c>
    </row>
    <row r="10" ht="30" customHeight="1" spans="1:69">
      <c r="A10" s="34" t="s">
        <v>24</v>
      </c>
      <c r="B10" s="34" t="s">
        <v>25</v>
      </c>
      <c r="C10" s="34" t="s">
        <v>14</v>
      </c>
      <c r="D10" s="34" t="s">
        <v>15</v>
      </c>
      <c r="E10" s="34" t="s">
        <v>21</v>
      </c>
      <c r="F10" s="34" t="s">
        <v>1896</v>
      </c>
      <c r="G10" s="34" t="s">
        <v>1897</v>
      </c>
      <c r="H10" s="43">
        <v>0.7556</v>
      </c>
      <c r="I10" s="34" t="s">
        <v>1898</v>
      </c>
      <c r="J10" s="34" t="s">
        <v>1899</v>
      </c>
      <c r="K10" s="34" t="s">
        <v>1226</v>
      </c>
      <c r="L10" s="43">
        <v>1.826</v>
      </c>
      <c r="M10" s="34" t="s">
        <v>1900</v>
      </c>
      <c r="N10" s="34" t="s">
        <v>1901</v>
      </c>
      <c r="O10" s="34" t="s">
        <v>1902</v>
      </c>
      <c r="P10" s="43">
        <v>2.1501</v>
      </c>
      <c r="Q10" s="34" t="s">
        <v>1903</v>
      </c>
      <c r="R10" s="34" t="s">
        <v>1904</v>
      </c>
      <c r="S10" s="34" t="s">
        <v>1416</v>
      </c>
      <c r="T10" s="43">
        <v>1.7721</v>
      </c>
      <c r="U10" s="34" t="s">
        <v>1905</v>
      </c>
      <c r="V10" s="34" t="s">
        <v>1906</v>
      </c>
      <c r="W10" s="34" t="s">
        <v>444</v>
      </c>
      <c r="X10" s="43">
        <v>0.534</v>
      </c>
      <c r="Y10" s="34" t="s">
        <v>1907</v>
      </c>
      <c r="Z10" s="34" t="s">
        <v>1908</v>
      </c>
      <c r="AA10" s="34" t="s">
        <v>1909</v>
      </c>
      <c r="AB10" s="43">
        <v>0.7934</v>
      </c>
      <c r="AC10" s="34" t="s">
        <v>1807</v>
      </c>
      <c r="AD10" s="34" t="s">
        <v>578</v>
      </c>
      <c r="AE10" s="34" t="s">
        <v>1718</v>
      </c>
      <c r="AF10" s="43">
        <v>1.3992</v>
      </c>
      <c r="AG10" s="34" t="s">
        <v>1815</v>
      </c>
      <c r="AH10" s="34" t="s">
        <v>1910</v>
      </c>
      <c r="AI10" s="34" t="s">
        <v>1911</v>
      </c>
      <c r="AJ10" s="43">
        <v>0.9978</v>
      </c>
      <c r="AK10" s="34" t="s">
        <v>1791</v>
      </c>
      <c r="AL10" s="34" t="s">
        <v>1912</v>
      </c>
      <c r="AM10" s="34" t="s">
        <v>1913</v>
      </c>
      <c r="AN10" s="43">
        <v>0.7901</v>
      </c>
      <c r="AO10" s="34" t="s">
        <v>1809</v>
      </c>
      <c r="AP10" s="34" t="s">
        <v>1913</v>
      </c>
      <c r="AQ10" s="34" t="s">
        <v>584</v>
      </c>
      <c r="AR10" s="43">
        <v>0.7373</v>
      </c>
      <c r="AS10" s="34" t="s">
        <v>1785</v>
      </c>
      <c r="AT10" s="34" t="s">
        <v>1914</v>
      </c>
      <c r="AU10" s="34" t="s">
        <v>672</v>
      </c>
      <c r="AV10" s="43">
        <v>1.171</v>
      </c>
      <c r="AW10" s="34" t="s">
        <v>1915</v>
      </c>
      <c r="AX10" s="34" t="s">
        <v>492</v>
      </c>
      <c r="AY10" s="34" t="s">
        <v>586</v>
      </c>
      <c r="AZ10" s="43">
        <v>1.3643</v>
      </c>
      <c r="BA10" s="34" t="s">
        <v>1916</v>
      </c>
      <c r="BB10" s="34" t="s">
        <v>495</v>
      </c>
      <c r="BC10" s="34" t="s">
        <v>1917</v>
      </c>
      <c r="BD10" s="43">
        <v>1.0148</v>
      </c>
      <c r="BE10" s="34" t="s">
        <v>1804</v>
      </c>
      <c r="BF10" s="34" t="s">
        <v>1917</v>
      </c>
      <c r="BG10" s="34" t="s">
        <v>589</v>
      </c>
      <c r="BH10" s="43">
        <v>1.0175</v>
      </c>
      <c r="BI10" s="34" t="s">
        <v>1804</v>
      </c>
      <c r="BJ10" s="34" t="s">
        <v>1918</v>
      </c>
      <c r="BK10" s="34" t="s">
        <v>591</v>
      </c>
      <c r="BL10" s="43">
        <v>1.0159</v>
      </c>
      <c r="BM10" s="34" t="s">
        <v>1826</v>
      </c>
      <c r="BN10" s="34" t="s">
        <v>1065</v>
      </c>
      <c r="BO10" s="34" t="s">
        <v>1919</v>
      </c>
      <c r="BP10" s="43">
        <v>1.0158</v>
      </c>
      <c r="BQ10" s="34" t="s">
        <v>1785</v>
      </c>
    </row>
    <row r="11" ht="30" customHeight="1" spans="1:69">
      <c r="A11" s="36" t="s">
        <v>26</v>
      </c>
      <c r="B11" s="36" t="s">
        <v>27</v>
      </c>
      <c r="C11" s="36" t="s">
        <v>14</v>
      </c>
      <c r="D11" s="36" t="s">
        <v>15</v>
      </c>
      <c r="E11" s="36" t="s">
        <v>21</v>
      </c>
      <c r="F11" s="36" t="s">
        <v>959</v>
      </c>
      <c r="G11" s="36" t="s">
        <v>1920</v>
      </c>
      <c r="H11" s="44">
        <v>0.5114</v>
      </c>
      <c r="I11" s="36" t="s">
        <v>1921</v>
      </c>
      <c r="J11" s="36" t="s">
        <v>1287</v>
      </c>
      <c r="K11" s="36" t="s">
        <v>597</v>
      </c>
      <c r="L11" s="44">
        <v>0.5121</v>
      </c>
      <c r="M11" s="36" t="s">
        <v>1922</v>
      </c>
      <c r="N11" s="36" t="s">
        <v>1653</v>
      </c>
      <c r="O11" s="36" t="s">
        <v>1923</v>
      </c>
      <c r="P11" s="44">
        <v>0.5343</v>
      </c>
      <c r="Q11" s="36" t="s">
        <v>1875</v>
      </c>
      <c r="R11" s="36" t="s">
        <v>1923</v>
      </c>
      <c r="S11" s="36" t="s">
        <v>1476</v>
      </c>
      <c r="T11" s="44">
        <v>1.1015</v>
      </c>
      <c r="U11" s="36" t="s">
        <v>1924</v>
      </c>
      <c r="V11" s="36" t="s">
        <v>439</v>
      </c>
      <c r="W11" s="36" t="s">
        <v>1654</v>
      </c>
      <c r="X11" s="44">
        <v>0.5393</v>
      </c>
      <c r="Y11" s="36" t="s">
        <v>1907</v>
      </c>
      <c r="Z11" s="36" t="s">
        <v>1414</v>
      </c>
      <c r="AA11" s="36" t="s">
        <v>1784</v>
      </c>
      <c r="AB11" s="44">
        <v>0.5267</v>
      </c>
      <c r="AC11" s="36" t="s">
        <v>1830</v>
      </c>
      <c r="AD11" s="36" t="s">
        <v>1415</v>
      </c>
      <c r="AE11" s="36" t="s">
        <v>441</v>
      </c>
      <c r="AF11" s="44">
        <v>0.8889</v>
      </c>
      <c r="AG11" s="36" t="s">
        <v>1925</v>
      </c>
      <c r="AH11" s="36" t="s">
        <v>573</v>
      </c>
      <c r="AI11" s="36" t="s">
        <v>1926</v>
      </c>
      <c r="AJ11" s="44">
        <v>0.6234</v>
      </c>
      <c r="AK11" s="36" t="s">
        <v>1927</v>
      </c>
      <c r="AL11" s="36" t="s">
        <v>1928</v>
      </c>
      <c r="AM11" s="36" t="s">
        <v>1929</v>
      </c>
      <c r="AN11" s="44">
        <v>0.8053</v>
      </c>
      <c r="AO11" s="36" t="s">
        <v>1785</v>
      </c>
      <c r="AP11" s="36" t="s">
        <v>1930</v>
      </c>
      <c r="AQ11" s="36" t="s">
        <v>1931</v>
      </c>
      <c r="AR11" s="44">
        <v>0.9994</v>
      </c>
      <c r="AS11" s="36" t="s">
        <v>1848</v>
      </c>
      <c r="AT11" s="36" t="s">
        <v>1932</v>
      </c>
      <c r="AU11" s="36" t="s">
        <v>1933</v>
      </c>
      <c r="AV11" s="44">
        <v>1.1517</v>
      </c>
      <c r="AW11" s="36" t="s">
        <v>1934</v>
      </c>
      <c r="AX11" s="36" t="s">
        <v>1935</v>
      </c>
      <c r="AY11" s="36" t="s">
        <v>1936</v>
      </c>
      <c r="AZ11" s="44">
        <v>1.0015</v>
      </c>
      <c r="BA11" s="36" t="s">
        <v>1801</v>
      </c>
      <c r="BB11" s="36" t="s">
        <v>1937</v>
      </c>
      <c r="BC11" s="36" t="s">
        <v>1938</v>
      </c>
      <c r="BD11" s="44">
        <v>0.9979</v>
      </c>
      <c r="BE11" s="36" t="s">
        <v>1804</v>
      </c>
      <c r="BF11" s="36" t="s">
        <v>1939</v>
      </c>
      <c r="BG11" s="36" t="s">
        <v>1940</v>
      </c>
      <c r="BH11" s="44">
        <v>1.2314</v>
      </c>
      <c r="BI11" s="36" t="s">
        <v>1785</v>
      </c>
      <c r="BJ11" s="36" t="s">
        <v>1941</v>
      </c>
      <c r="BK11" s="36" t="s">
        <v>617</v>
      </c>
      <c r="BL11" s="44">
        <v>0.9371</v>
      </c>
      <c r="BM11" s="36" t="s">
        <v>1898</v>
      </c>
      <c r="BN11" s="36" t="s">
        <v>1942</v>
      </c>
      <c r="BO11" s="36" t="s">
        <v>1943</v>
      </c>
      <c r="BP11" s="44">
        <v>1.2381</v>
      </c>
      <c r="BQ11" s="36" t="s">
        <v>1823</v>
      </c>
    </row>
    <row r="12" ht="30" customHeight="1" spans="1:69">
      <c r="A12" s="34" t="s">
        <v>28</v>
      </c>
      <c r="B12" s="34" t="s">
        <v>29</v>
      </c>
      <c r="C12" s="34" t="s">
        <v>14</v>
      </c>
      <c r="D12" s="34" t="s">
        <v>15</v>
      </c>
      <c r="E12" s="34" t="s">
        <v>21</v>
      </c>
      <c r="F12" s="34" t="s">
        <v>1920</v>
      </c>
      <c r="G12" s="34" t="s">
        <v>1944</v>
      </c>
      <c r="H12" s="43">
        <v>1.832</v>
      </c>
      <c r="I12" s="34" t="s">
        <v>1945</v>
      </c>
      <c r="J12" s="34" t="s">
        <v>1946</v>
      </c>
      <c r="K12" s="34" t="s">
        <v>1947</v>
      </c>
      <c r="L12" s="43">
        <v>0.69</v>
      </c>
      <c r="M12" s="34" t="s">
        <v>1785</v>
      </c>
      <c r="N12" s="34" t="s">
        <v>1948</v>
      </c>
      <c r="O12" s="34" t="s">
        <v>481</v>
      </c>
      <c r="P12" s="43">
        <v>1.1793</v>
      </c>
      <c r="Q12" s="34" t="s">
        <v>1885</v>
      </c>
      <c r="R12" s="34" t="s">
        <v>1319</v>
      </c>
      <c r="S12" s="34" t="s">
        <v>483</v>
      </c>
      <c r="T12" s="43">
        <v>0.8264</v>
      </c>
      <c r="U12" s="34" t="s">
        <v>1949</v>
      </c>
      <c r="V12" s="34" t="s">
        <v>658</v>
      </c>
      <c r="W12" s="34" t="s">
        <v>629</v>
      </c>
      <c r="X12" s="43">
        <v>0.5011</v>
      </c>
      <c r="Y12" s="34" t="s">
        <v>1950</v>
      </c>
      <c r="Z12" s="34" t="s">
        <v>659</v>
      </c>
      <c r="AA12" s="34" t="s">
        <v>753</v>
      </c>
      <c r="AB12" s="43">
        <v>0.5009</v>
      </c>
      <c r="AC12" s="34" t="s">
        <v>1875</v>
      </c>
      <c r="AD12" s="34" t="s">
        <v>1291</v>
      </c>
      <c r="AE12" s="34" t="s">
        <v>911</v>
      </c>
      <c r="AF12" s="43">
        <v>0.5024</v>
      </c>
      <c r="AG12" s="34" t="s">
        <v>1921</v>
      </c>
      <c r="AH12" s="34" t="s">
        <v>1321</v>
      </c>
      <c r="AI12" s="34" t="s">
        <v>1607</v>
      </c>
      <c r="AJ12" s="43">
        <v>0.5023</v>
      </c>
      <c r="AK12" s="34" t="s">
        <v>1951</v>
      </c>
      <c r="AL12" s="34" t="s">
        <v>1181</v>
      </c>
      <c r="AM12" s="34" t="s">
        <v>660</v>
      </c>
      <c r="AN12" s="43">
        <v>0.499</v>
      </c>
      <c r="AO12" s="34" t="s">
        <v>1952</v>
      </c>
      <c r="AP12" s="34" t="s">
        <v>1953</v>
      </c>
      <c r="AQ12" s="34" t="s">
        <v>1325</v>
      </c>
      <c r="AR12" s="43">
        <v>0.5012</v>
      </c>
      <c r="AS12" s="34" t="s">
        <v>1927</v>
      </c>
      <c r="AT12" s="34" t="s">
        <v>1954</v>
      </c>
      <c r="AU12" s="34" t="s">
        <v>640</v>
      </c>
      <c r="AV12" s="43">
        <v>0.5839</v>
      </c>
      <c r="AW12" s="34" t="s">
        <v>1832</v>
      </c>
      <c r="AX12" s="34" t="s">
        <v>1955</v>
      </c>
      <c r="AY12" s="34" t="s">
        <v>1956</v>
      </c>
      <c r="AZ12" s="43">
        <v>0.9166</v>
      </c>
      <c r="BA12" s="34" t="s">
        <v>1826</v>
      </c>
      <c r="BB12" s="34" t="s">
        <v>1957</v>
      </c>
      <c r="BC12" s="34" t="s">
        <v>663</v>
      </c>
      <c r="BD12" s="43">
        <v>0.5016</v>
      </c>
      <c r="BE12" s="34" t="s">
        <v>1853</v>
      </c>
      <c r="BF12" s="34" t="s">
        <v>1958</v>
      </c>
      <c r="BG12" s="34" t="s">
        <v>646</v>
      </c>
      <c r="BH12" s="43">
        <v>0.4996</v>
      </c>
      <c r="BI12" s="34" t="s">
        <v>1854</v>
      </c>
      <c r="BJ12" s="34" t="s">
        <v>1733</v>
      </c>
      <c r="BK12" s="34" t="s">
        <v>648</v>
      </c>
      <c r="BL12" s="43">
        <v>0.5001</v>
      </c>
      <c r="BM12" s="34" t="s">
        <v>1856</v>
      </c>
      <c r="BN12" s="34" t="s">
        <v>1959</v>
      </c>
      <c r="BO12" s="34" t="s">
        <v>1734</v>
      </c>
      <c r="BP12" s="43">
        <v>0.4992</v>
      </c>
      <c r="BQ12" s="34" t="s">
        <v>1859</v>
      </c>
    </row>
    <row r="13" ht="30" customHeight="1" spans="1:69">
      <c r="A13" s="36" t="s">
        <v>30</v>
      </c>
      <c r="B13" s="36" t="s">
        <v>31</v>
      </c>
      <c r="C13" s="36" t="s">
        <v>14</v>
      </c>
      <c r="D13" s="36" t="s">
        <v>15</v>
      </c>
      <c r="E13" s="36" t="s">
        <v>21</v>
      </c>
      <c r="F13" s="36" t="s">
        <v>501</v>
      </c>
      <c r="G13" s="36" t="s">
        <v>1388</v>
      </c>
      <c r="H13" s="44">
        <v>1.2812</v>
      </c>
      <c r="I13" s="36" t="s">
        <v>1877</v>
      </c>
      <c r="J13" s="36" t="s">
        <v>965</v>
      </c>
      <c r="K13" s="36" t="s">
        <v>475</v>
      </c>
      <c r="L13" s="44">
        <v>1.1089</v>
      </c>
      <c r="M13" s="36" t="s">
        <v>1869</v>
      </c>
      <c r="N13" s="36" t="s">
        <v>1153</v>
      </c>
      <c r="O13" s="36" t="s">
        <v>477</v>
      </c>
      <c r="P13" s="44">
        <v>1.1105</v>
      </c>
      <c r="Q13" s="36" t="s">
        <v>1877</v>
      </c>
      <c r="R13" s="36" t="s">
        <v>481</v>
      </c>
      <c r="S13" s="36" t="s">
        <v>1348</v>
      </c>
      <c r="T13" s="44">
        <v>1.3631</v>
      </c>
      <c r="U13" s="36" t="s">
        <v>1960</v>
      </c>
      <c r="V13" s="36" t="s">
        <v>628</v>
      </c>
      <c r="W13" s="36" t="s">
        <v>1086</v>
      </c>
      <c r="X13" s="44">
        <v>1.1097</v>
      </c>
      <c r="Y13" s="36" t="s">
        <v>1791</v>
      </c>
      <c r="Z13" s="36" t="s">
        <v>1182</v>
      </c>
      <c r="AA13" s="36" t="s">
        <v>637</v>
      </c>
      <c r="AB13" s="44">
        <v>1.1132</v>
      </c>
      <c r="AC13" s="36" t="s">
        <v>1961</v>
      </c>
      <c r="AD13" s="36" t="s">
        <v>1962</v>
      </c>
      <c r="AE13" s="36" t="s">
        <v>1954</v>
      </c>
      <c r="AF13" s="44">
        <v>1.1111</v>
      </c>
      <c r="AG13" s="36" t="s">
        <v>1781</v>
      </c>
      <c r="AH13" s="36" t="s">
        <v>1729</v>
      </c>
      <c r="AI13" s="36" t="s">
        <v>1963</v>
      </c>
      <c r="AJ13" s="44">
        <v>1.1005</v>
      </c>
      <c r="AK13" s="36" t="s">
        <v>1788</v>
      </c>
      <c r="AL13" s="36" t="s">
        <v>1964</v>
      </c>
      <c r="AM13" s="36" t="s">
        <v>1965</v>
      </c>
      <c r="AN13" s="44">
        <v>1.1096</v>
      </c>
      <c r="AO13" s="36" t="s">
        <v>1864</v>
      </c>
      <c r="AP13" s="36" t="s">
        <v>1966</v>
      </c>
      <c r="AQ13" s="36" t="s">
        <v>1967</v>
      </c>
      <c r="AR13" s="44">
        <v>1.1098</v>
      </c>
      <c r="AS13" s="36" t="s">
        <v>1968</v>
      </c>
      <c r="AT13" s="36" t="s">
        <v>1969</v>
      </c>
      <c r="AU13" s="36" t="s">
        <v>982</v>
      </c>
      <c r="AV13" s="44">
        <v>1.1101</v>
      </c>
      <c r="AW13" s="36" t="s">
        <v>1970</v>
      </c>
      <c r="AX13" s="36" t="s">
        <v>1971</v>
      </c>
      <c r="AY13" s="36" t="s">
        <v>585</v>
      </c>
      <c r="AZ13" s="44">
        <v>1.1127</v>
      </c>
      <c r="BA13" s="36" t="s">
        <v>1893</v>
      </c>
      <c r="BB13" s="36" t="s">
        <v>1972</v>
      </c>
      <c r="BC13" s="36" t="s">
        <v>1029</v>
      </c>
      <c r="BD13" s="44">
        <v>1.1098</v>
      </c>
      <c r="BE13" s="36" t="s">
        <v>1828</v>
      </c>
      <c r="BF13" s="36" t="s">
        <v>1973</v>
      </c>
      <c r="BG13" s="36" t="s">
        <v>1974</v>
      </c>
      <c r="BH13" s="44">
        <v>1.1132</v>
      </c>
      <c r="BI13" s="36" t="s">
        <v>1832</v>
      </c>
      <c r="BJ13" s="36" t="s">
        <v>1975</v>
      </c>
      <c r="BK13" s="36" t="s">
        <v>1976</v>
      </c>
      <c r="BL13" s="44">
        <v>1.1103</v>
      </c>
      <c r="BM13" s="36" t="s">
        <v>1977</v>
      </c>
      <c r="BN13" s="36" t="s">
        <v>1978</v>
      </c>
      <c r="BO13" s="36" t="s">
        <v>495</v>
      </c>
      <c r="BP13" s="44">
        <v>1.3562</v>
      </c>
      <c r="BQ13" s="36" t="s">
        <v>1979</v>
      </c>
    </row>
    <row r="14" ht="30" customHeight="1" spans="1:69">
      <c r="A14" s="34" t="s">
        <v>32</v>
      </c>
      <c r="B14" s="34" t="s">
        <v>33</v>
      </c>
      <c r="C14" s="34" t="s">
        <v>14</v>
      </c>
      <c r="D14" s="34" t="s">
        <v>15</v>
      </c>
      <c r="E14" s="34" t="s">
        <v>21</v>
      </c>
      <c r="F14" s="34" t="s">
        <v>1980</v>
      </c>
      <c r="G14" s="34" t="s">
        <v>1981</v>
      </c>
      <c r="H14" s="43">
        <v>0.4857</v>
      </c>
      <c r="I14" s="34" t="s">
        <v>1982</v>
      </c>
      <c r="J14" s="34" t="s">
        <v>1981</v>
      </c>
      <c r="K14" s="34" t="s">
        <v>687</v>
      </c>
      <c r="L14" s="43">
        <v>0.5407</v>
      </c>
      <c r="M14" s="34" t="s">
        <v>1851</v>
      </c>
      <c r="N14" s="34" t="s">
        <v>1983</v>
      </c>
      <c r="O14" s="34" t="s">
        <v>1984</v>
      </c>
      <c r="P14" s="43">
        <v>0.5354</v>
      </c>
      <c r="Q14" s="34" t="s">
        <v>1875</v>
      </c>
      <c r="R14" s="34" t="s">
        <v>1985</v>
      </c>
      <c r="S14" s="34" t="s">
        <v>691</v>
      </c>
      <c r="T14" s="43">
        <v>0.8286</v>
      </c>
      <c r="U14" s="34" t="s">
        <v>1949</v>
      </c>
      <c r="V14" s="34" t="s">
        <v>1986</v>
      </c>
      <c r="W14" s="34" t="s">
        <v>693</v>
      </c>
      <c r="X14" s="43">
        <v>0.5332</v>
      </c>
      <c r="Y14" s="34" t="s">
        <v>1907</v>
      </c>
      <c r="Z14" s="34" t="s">
        <v>1987</v>
      </c>
      <c r="AA14" s="34" t="s">
        <v>1988</v>
      </c>
      <c r="AB14" s="43">
        <v>0.5253</v>
      </c>
      <c r="AC14" s="34" t="s">
        <v>1830</v>
      </c>
      <c r="AD14" s="34" t="s">
        <v>1988</v>
      </c>
      <c r="AE14" s="34" t="s">
        <v>1989</v>
      </c>
      <c r="AF14" s="43">
        <v>0.5285</v>
      </c>
      <c r="AG14" s="34" t="s">
        <v>1952</v>
      </c>
      <c r="AH14" s="34" t="s">
        <v>1989</v>
      </c>
      <c r="AI14" s="34" t="s">
        <v>697</v>
      </c>
      <c r="AJ14" s="43">
        <v>0.5049</v>
      </c>
      <c r="AK14" s="34" t="s">
        <v>1951</v>
      </c>
      <c r="AL14" s="34" t="s">
        <v>1990</v>
      </c>
      <c r="AM14" s="34" t="s">
        <v>1991</v>
      </c>
      <c r="AN14" s="43">
        <v>0.5363</v>
      </c>
      <c r="AO14" s="34" t="s">
        <v>1872</v>
      </c>
      <c r="AP14" s="34" t="s">
        <v>1991</v>
      </c>
      <c r="AQ14" s="34" t="s">
        <v>1992</v>
      </c>
      <c r="AR14" s="43">
        <v>0.532</v>
      </c>
      <c r="AS14" s="34" t="s">
        <v>1875</v>
      </c>
      <c r="AT14" s="34" t="s">
        <v>1993</v>
      </c>
      <c r="AU14" s="34" t="s">
        <v>701</v>
      </c>
      <c r="AV14" s="43">
        <v>0.5344</v>
      </c>
      <c r="AW14" s="34" t="s">
        <v>1804</v>
      </c>
      <c r="AX14" s="34" t="s">
        <v>1994</v>
      </c>
      <c r="AY14" s="34" t="s">
        <v>1995</v>
      </c>
      <c r="AZ14" s="43">
        <v>0.5353</v>
      </c>
      <c r="BA14" s="34" t="s">
        <v>1982</v>
      </c>
      <c r="BB14" s="34" t="s">
        <v>1995</v>
      </c>
      <c r="BC14" s="34" t="s">
        <v>1996</v>
      </c>
      <c r="BD14" s="43">
        <v>0.8215</v>
      </c>
      <c r="BE14" s="34" t="s">
        <v>1927</v>
      </c>
      <c r="BF14" s="34" t="s">
        <v>1997</v>
      </c>
      <c r="BG14" s="34" t="s">
        <v>706</v>
      </c>
      <c r="BH14" s="43">
        <v>0.6886</v>
      </c>
      <c r="BI14" s="34" t="s">
        <v>1951</v>
      </c>
      <c r="BJ14" s="34" t="s">
        <v>1998</v>
      </c>
      <c r="BK14" s="34" t="s">
        <v>708</v>
      </c>
      <c r="BL14" s="43">
        <v>0.519</v>
      </c>
      <c r="BM14" s="34" t="s">
        <v>1859</v>
      </c>
      <c r="BN14" s="34" t="s">
        <v>1999</v>
      </c>
      <c r="BO14" s="34" t="s">
        <v>710</v>
      </c>
      <c r="BP14" s="43">
        <v>0.5425</v>
      </c>
      <c r="BQ14" s="34" t="s">
        <v>1907</v>
      </c>
    </row>
    <row r="15" ht="30" customHeight="1" spans="1:69">
      <c r="A15" s="36" t="s">
        <v>34</v>
      </c>
      <c r="B15" s="36" t="s">
        <v>35</v>
      </c>
      <c r="C15" s="36" t="s">
        <v>14</v>
      </c>
      <c r="D15" s="36" t="s">
        <v>15</v>
      </c>
      <c r="E15" s="36" t="s">
        <v>21</v>
      </c>
      <c r="F15" s="36" t="s">
        <v>959</v>
      </c>
      <c r="G15" s="36" t="s">
        <v>715</v>
      </c>
      <c r="H15" s="44">
        <v>2.0069</v>
      </c>
      <c r="I15" s="36" t="s">
        <v>2000</v>
      </c>
      <c r="J15" s="36" t="s">
        <v>2001</v>
      </c>
      <c r="K15" s="36" t="s">
        <v>1331</v>
      </c>
      <c r="L15" s="44">
        <v>1.001</v>
      </c>
      <c r="M15" s="36" t="s">
        <v>1778</v>
      </c>
      <c r="N15" s="36" t="s">
        <v>2002</v>
      </c>
      <c r="O15" s="36" t="s">
        <v>1025</v>
      </c>
      <c r="P15" s="44">
        <v>1.2216</v>
      </c>
      <c r="Q15" s="36" t="s">
        <v>2003</v>
      </c>
      <c r="R15" s="36" t="s">
        <v>1465</v>
      </c>
      <c r="S15" s="36" t="s">
        <v>1153</v>
      </c>
      <c r="T15" s="44">
        <v>0.9124</v>
      </c>
      <c r="U15" s="36" t="s">
        <v>1820</v>
      </c>
      <c r="V15" s="36" t="s">
        <v>476</v>
      </c>
      <c r="W15" s="36" t="s">
        <v>779</v>
      </c>
      <c r="X15" s="44">
        <v>1.0073</v>
      </c>
      <c r="Y15" s="36" t="s">
        <v>1785</v>
      </c>
      <c r="Z15" s="36" t="s">
        <v>551</v>
      </c>
      <c r="AA15" s="36" t="s">
        <v>724</v>
      </c>
      <c r="AB15" s="44">
        <v>0.9989</v>
      </c>
      <c r="AC15" s="36" t="s">
        <v>1778</v>
      </c>
      <c r="AD15" s="36" t="s">
        <v>2004</v>
      </c>
      <c r="AE15" s="36" t="s">
        <v>726</v>
      </c>
      <c r="AF15" s="44">
        <v>0.9969</v>
      </c>
      <c r="AG15" s="36" t="s">
        <v>1788</v>
      </c>
      <c r="AH15" s="36" t="s">
        <v>2005</v>
      </c>
      <c r="AI15" s="36" t="s">
        <v>728</v>
      </c>
      <c r="AJ15" s="44">
        <v>1.2208</v>
      </c>
      <c r="AK15" s="36" t="s">
        <v>1781</v>
      </c>
      <c r="AL15" s="36" t="s">
        <v>2006</v>
      </c>
      <c r="AM15" s="36" t="s">
        <v>2007</v>
      </c>
      <c r="AN15" s="44">
        <v>1.1002</v>
      </c>
      <c r="AO15" s="36" t="s">
        <v>1848</v>
      </c>
      <c r="AP15" s="36" t="s">
        <v>2008</v>
      </c>
      <c r="AQ15" s="36" t="s">
        <v>1564</v>
      </c>
      <c r="AR15" s="44">
        <v>0.9995</v>
      </c>
      <c r="AS15" s="36" t="s">
        <v>1848</v>
      </c>
      <c r="AT15" s="36" t="s">
        <v>1320</v>
      </c>
      <c r="AU15" s="36" t="s">
        <v>734</v>
      </c>
      <c r="AV15" s="44">
        <v>0.9865</v>
      </c>
      <c r="AW15" s="36" t="s">
        <v>1798</v>
      </c>
      <c r="AX15" s="36" t="s">
        <v>1569</v>
      </c>
      <c r="AY15" s="36" t="s">
        <v>2009</v>
      </c>
      <c r="AZ15" s="44">
        <v>0.9931</v>
      </c>
      <c r="BA15" s="36" t="s">
        <v>1801</v>
      </c>
      <c r="BB15" s="36" t="s">
        <v>1086</v>
      </c>
      <c r="BC15" s="36" t="s">
        <v>1114</v>
      </c>
      <c r="BD15" s="44">
        <v>0.9961</v>
      </c>
      <c r="BE15" s="36" t="s">
        <v>1804</v>
      </c>
      <c r="BF15" s="36" t="s">
        <v>873</v>
      </c>
      <c r="BG15" s="36" t="s">
        <v>489</v>
      </c>
      <c r="BH15" s="44">
        <v>1.1902</v>
      </c>
      <c r="BI15" s="36" t="s">
        <v>1826</v>
      </c>
      <c r="BJ15" s="36" t="s">
        <v>2010</v>
      </c>
      <c r="BK15" s="36" t="s">
        <v>2011</v>
      </c>
      <c r="BL15" s="44">
        <v>0.9995</v>
      </c>
      <c r="BM15" s="36" t="s">
        <v>1828</v>
      </c>
      <c r="BN15" s="36" t="s">
        <v>2012</v>
      </c>
      <c r="BO15" s="36" t="s">
        <v>2013</v>
      </c>
      <c r="BP15" s="44">
        <v>0.9992</v>
      </c>
      <c r="BQ15" s="36" t="s">
        <v>1809</v>
      </c>
    </row>
    <row r="16" ht="30" customHeight="1" spans="1:69">
      <c r="A16" s="34" t="s">
        <v>36</v>
      </c>
      <c r="B16" s="34" t="s">
        <v>37</v>
      </c>
      <c r="C16" s="34" t="s">
        <v>14</v>
      </c>
      <c r="D16" s="34" t="s">
        <v>15</v>
      </c>
      <c r="E16" s="34" t="s">
        <v>21</v>
      </c>
      <c r="F16" s="34" t="s">
        <v>2014</v>
      </c>
      <c r="G16" s="34" t="s">
        <v>2015</v>
      </c>
      <c r="H16" s="43">
        <v>1.2725</v>
      </c>
      <c r="I16" s="34" t="s">
        <v>1877</v>
      </c>
      <c r="J16" s="34" t="s">
        <v>2016</v>
      </c>
      <c r="K16" s="34" t="s">
        <v>862</v>
      </c>
      <c r="L16" s="43">
        <v>1.4659</v>
      </c>
      <c r="M16" s="34" t="s">
        <v>1945</v>
      </c>
      <c r="N16" s="34" t="s">
        <v>2017</v>
      </c>
      <c r="O16" s="34" t="s">
        <v>2018</v>
      </c>
      <c r="P16" s="43">
        <v>0.9999</v>
      </c>
      <c r="Q16" s="34" t="s">
        <v>1781</v>
      </c>
      <c r="R16" s="34" t="s">
        <v>2019</v>
      </c>
      <c r="S16" s="34" t="s">
        <v>2020</v>
      </c>
      <c r="T16" s="43">
        <v>1.4555</v>
      </c>
      <c r="U16" s="34" t="s">
        <v>2021</v>
      </c>
      <c r="V16" s="34" t="s">
        <v>631</v>
      </c>
      <c r="W16" s="34" t="s">
        <v>2022</v>
      </c>
      <c r="X16" s="43">
        <v>1.2318</v>
      </c>
      <c r="Y16" s="34" t="s">
        <v>1794</v>
      </c>
      <c r="Z16" s="34" t="s">
        <v>2023</v>
      </c>
      <c r="AA16" s="34" t="s">
        <v>2024</v>
      </c>
      <c r="AB16" s="43">
        <v>1.1472</v>
      </c>
      <c r="AC16" s="34" t="s">
        <v>1815</v>
      </c>
      <c r="AD16" s="34" t="s">
        <v>1265</v>
      </c>
      <c r="AE16" s="34" t="s">
        <v>1266</v>
      </c>
      <c r="AF16" s="43">
        <v>1.0015</v>
      </c>
      <c r="AG16" s="34" t="s">
        <v>1788</v>
      </c>
      <c r="AH16" s="34" t="s">
        <v>2025</v>
      </c>
      <c r="AI16" s="34" t="s">
        <v>2026</v>
      </c>
      <c r="AJ16" s="43">
        <v>0.9963</v>
      </c>
      <c r="AK16" s="34" t="s">
        <v>1925</v>
      </c>
      <c r="AL16" s="34" t="s">
        <v>2027</v>
      </c>
      <c r="AM16" s="34" t="s">
        <v>1293</v>
      </c>
      <c r="AN16" s="43">
        <v>0.9645</v>
      </c>
      <c r="AO16" s="34" t="s">
        <v>1788</v>
      </c>
      <c r="AP16" s="34" t="s">
        <v>2028</v>
      </c>
      <c r="AQ16" s="34" t="s">
        <v>2029</v>
      </c>
      <c r="AR16" s="43">
        <v>0.9997</v>
      </c>
      <c r="AS16" s="34" t="s">
        <v>1848</v>
      </c>
      <c r="AT16" s="34" t="s">
        <v>2030</v>
      </c>
      <c r="AU16" s="34" t="s">
        <v>1295</v>
      </c>
      <c r="AV16" s="43">
        <v>1.1501</v>
      </c>
      <c r="AW16" s="34" t="s">
        <v>1934</v>
      </c>
      <c r="AX16" s="34" t="s">
        <v>2031</v>
      </c>
      <c r="AY16" s="34" t="s">
        <v>2032</v>
      </c>
      <c r="AZ16" s="43">
        <v>1.2272</v>
      </c>
      <c r="BA16" s="34" t="s">
        <v>2033</v>
      </c>
      <c r="BB16" s="34" t="s">
        <v>2034</v>
      </c>
      <c r="BC16" s="34" t="s">
        <v>2035</v>
      </c>
      <c r="BD16" s="43">
        <v>0.8569</v>
      </c>
      <c r="BE16" s="34" t="s">
        <v>1875</v>
      </c>
      <c r="BF16" s="34" t="s">
        <v>2036</v>
      </c>
      <c r="BG16" s="34" t="s">
        <v>2037</v>
      </c>
      <c r="BH16" s="43">
        <v>1.6661</v>
      </c>
      <c r="BI16" s="34" t="s">
        <v>1848</v>
      </c>
      <c r="BJ16" s="34" t="s">
        <v>2038</v>
      </c>
      <c r="BK16" s="34" t="s">
        <v>2039</v>
      </c>
      <c r="BL16" s="43">
        <v>1.2533</v>
      </c>
      <c r="BM16" s="34" t="s">
        <v>1893</v>
      </c>
      <c r="BN16" s="34" t="s">
        <v>2040</v>
      </c>
      <c r="BO16" s="34" t="s">
        <v>2041</v>
      </c>
      <c r="BP16" s="43">
        <v>0.9972</v>
      </c>
      <c r="BQ16" s="34" t="s">
        <v>1809</v>
      </c>
    </row>
    <row r="17" ht="30" customHeight="1" spans="1:69">
      <c r="A17" s="36" t="s">
        <v>38</v>
      </c>
      <c r="B17" s="36" t="s">
        <v>39</v>
      </c>
      <c r="C17" s="36" t="s">
        <v>14</v>
      </c>
      <c r="D17" s="36" t="s">
        <v>15</v>
      </c>
      <c r="E17" s="36" t="s">
        <v>21</v>
      </c>
      <c r="F17" s="36" t="s">
        <v>501</v>
      </c>
      <c r="G17" s="36" t="s">
        <v>755</v>
      </c>
      <c r="H17" s="44">
        <v>1.242</v>
      </c>
      <c r="I17" s="36" t="s">
        <v>1916</v>
      </c>
      <c r="J17" s="36" t="s">
        <v>1554</v>
      </c>
      <c r="K17" s="36" t="s">
        <v>796</v>
      </c>
      <c r="L17" s="44">
        <v>0.59</v>
      </c>
      <c r="M17" s="36" t="s">
        <v>2042</v>
      </c>
      <c r="N17" s="36" t="s">
        <v>967</v>
      </c>
      <c r="O17" s="36" t="s">
        <v>657</v>
      </c>
      <c r="P17" s="44">
        <v>0.6461</v>
      </c>
      <c r="Q17" s="36" t="s">
        <v>2042</v>
      </c>
      <c r="R17" s="36" t="s">
        <v>2043</v>
      </c>
      <c r="S17" s="36" t="s">
        <v>882</v>
      </c>
      <c r="T17" s="44">
        <v>0.4348</v>
      </c>
      <c r="U17" s="36" t="s">
        <v>1788</v>
      </c>
      <c r="V17" s="36" t="s">
        <v>1081</v>
      </c>
      <c r="W17" s="36" t="s">
        <v>828</v>
      </c>
      <c r="X17" s="44">
        <v>0.5013</v>
      </c>
      <c r="Y17" s="36" t="s">
        <v>1950</v>
      </c>
      <c r="Z17" s="36" t="s">
        <v>1082</v>
      </c>
      <c r="AA17" s="36" t="s">
        <v>2044</v>
      </c>
      <c r="AB17" s="44">
        <v>0.5018</v>
      </c>
      <c r="AC17" s="36" t="s">
        <v>1875</v>
      </c>
      <c r="AD17" s="36" t="s">
        <v>2045</v>
      </c>
      <c r="AE17" s="36" t="s">
        <v>1348</v>
      </c>
      <c r="AF17" s="44">
        <v>0.6659</v>
      </c>
      <c r="AG17" s="36" t="s">
        <v>1851</v>
      </c>
      <c r="AH17" s="36" t="s">
        <v>734</v>
      </c>
      <c r="AI17" s="36" t="s">
        <v>809</v>
      </c>
      <c r="AJ17" s="44">
        <v>0.7085</v>
      </c>
      <c r="AK17" s="36" t="s">
        <v>1830</v>
      </c>
      <c r="AL17" s="36" t="s">
        <v>658</v>
      </c>
      <c r="AM17" s="36" t="s">
        <v>629</v>
      </c>
      <c r="AN17" s="44">
        <v>0.5012</v>
      </c>
      <c r="AO17" s="36" t="s">
        <v>1952</v>
      </c>
      <c r="AP17" s="36" t="s">
        <v>659</v>
      </c>
      <c r="AQ17" s="36" t="s">
        <v>753</v>
      </c>
      <c r="AR17" s="44">
        <v>0.5004</v>
      </c>
      <c r="AS17" s="36" t="s">
        <v>1927</v>
      </c>
      <c r="AT17" s="36" t="s">
        <v>1322</v>
      </c>
      <c r="AU17" s="36" t="s">
        <v>1087</v>
      </c>
      <c r="AV17" s="44">
        <v>0.501</v>
      </c>
      <c r="AW17" s="36" t="s">
        <v>1851</v>
      </c>
      <c r="AX17" s="36" t="s">
        <v>2046</v>
      </c>
      <c r="AY17" s="36" t="s">
        <v>2047</v>
      </c>
      <c r="AZ17" s="44">
        <v>0.519</v>
      </c>
      <c r="BA17" s="36" t="s">
        <v>1951</v>
      </c>
      <c r="BB17" s="36" t="s">
        <v>643</v>
      </c>
      <c r="BC17" s="36" t="s">
        <v>1729</v>
      </c>
      <c r="BD17" s="44">
        <v>0.8845</v>
      </c>
      <c r="BE17" s="36" t="s">
        <v>1922</v>
      </c>
      <c r="BF17" s="36" t="s">
        <v>1655</v>
      </c>
      <c r="BG17" s="36" t="s">
        <v>668</v>
      </c>
      <c r="BH17" s="44">
        <v>0.5882</v>
      </c>
      <c r="BI17" s="36" t="s">
        <v>1859</v>
      </c>
      <c r="BJ17" s="36" t="s">
        <v>2048</v>
      </c>
      <c r="BK17" s="36" t="s">
        <v>2049</v>
      </c>
      <c r="BL17" s="44">
        <v>0.5007</v>
      </c>
      <c r="BM17" s="36" t="s">
        <v>1856</v>
      </c>
      <c r="BN17" s="36" t="s">
        <v>2050</v>
      </c>
      <c r="BO17" s="36" t="s">
        <v>2051</v>
      </c>
      <c r="BP17" s="44">
        <v>0.504</v>
      </c>
      <c r="BQ17" s="36" t="s">
        <v>1859</v>
      </c>
    </row>
    <row r="18" ht="30" customHeight="1" spans="1:69">
      <c r="A18" s="34" t="s">
        <v>40</v>
      </c>
      <c r="B18" s="34" t="s">
        <v>41</v>
      </c>
      <c r="C18" s="34" t="s">
        <v>14</v>
      </c>
      <c r="D18" s="34" t="s">
        <v>15</v>
      </c>
      <c r="E18" s="34" t="s">
        <v>21</v>
      </c>
      <c r="F18" s="34" t="s">
        <v>499</v>
      </c>
      <c r="G18" s="34" t="s">
        <v>1388</v>
      </c>
      <c r="H18" s="43">
        <v>1.1854</v>
      </c>
      <c r="I18" s="34" t="s">
        <v>1864</v>
      </c>
      <c r="J18" s="34" t="s">
        <v>776</v>
      </c>
      <c r="K18" s="34" t="s">
        <v>1078</v>
      </c>
      <c r="L18" s="43">
        <v>1.0003</v>
      </c>
      <c r="M18" s="34" t="s">
        <v>1778</v>
      </c>
      <c r="N18" s="34" t="s">
        <v>652</v>
      </c>
      <c r="O18" s="34" t="s">
        <v>1556</v>
      </c>
      <c r="P18" s="43">
        <v>1.0018</v>
      </c>
      <c r="Q18" s="34" t="s">
        <v>1781</v>
      </c>
      <c r="R18" s="34" t="s">
        <v>718</v>
      </c>
      <c r="S18" s="34" t="s">
        <v>801</v>
      </c>
      <c r="T18" s="43">
        <v>1.007</v>
      </c>
      <c r="U18" s="34" t="s">
        <v>2052</v>
      </c>
      <c r="V18" s="34" t="s">
        <v>657</v>
      </c>
      <c r="W18" s="34" t="s">
        <v>2043</v>
      </c>
      <c r="X18" s="43">
        <v>0.9982</v>
      </c>
      <c r="Y18" s="34" t="s">
        <v>1785</v>
      </c>
      <c r="Z18" s="34" t="s">
        <v>2053</v>
      </c>
      <c r="AA18" s="34" t="s">
        <v>2054</v>
      </c>
      <c r="AB18" s="43">
        <v>1.1646</v>
      </c>
      <c r="AC18" s="34" t="s">
        <v>2055</v>
      </c>
      <c r="AD18" s="34" t="s">
        <v>969</v>
      </c>
      <c r="AE18" s="34" t="s">
        <v>2056</v>
      </c>
      <c r="AF18" s="43">
        <v>1.0022</v>
      </c>
      <c r="AG18" s="34" t="s">
        <v>1788</v>
      </c>
      <c r="AH18" s="34" t="s">
        <v>1889</v>
      </c>
      <c r="AI18" s="34" t="s">
        <v>1890</v>
      </c>
      <c r="AJ18" s="43">
        <v>0.9977</v>
      </c>
      <c r="AK18" s="34" t="s">
        <v>1791</v>
      </c>
      <c r="AL18" s="34" t="s">
        <v>483</v>
      </c>
      <c r="AM18" s="34" t="s">
        <v>484</v>
      </c>
      <c r="AN18" s="43">
        <v>0.9976</v>
      </c>
      <c r="AO18" s="34" t="s">
        <v>1794</v>
      </c>
      <c r="AP18" s="34" t="s">
        <v>658</v>
      </c>
      <c r="AQ18" s="34" t="s">
        <v>753</v>
      </c>
      <c r="AR18" s="43">
        <v>1.1734</v>
      </c>
      <c r="AS18" s="34" t="s">
        <v>1869</v>
      </c>
      <c r="AT18" s="34" t="s">
        <v>1166</v>
      </c>
      <c r="AU18" s="34" t="s">
        <v>1973</v>
      </c>
      <c r="AV18" s="43">
        <v>1.0136</v>
      </c>
      <c r="AW18" s="34" t="s">
        <v>1869</v>
      </c>
      <c r="AX18" s="34" t="s">
        <v>2057</v>
      </c>
      <c r="AY18" s="34" t="s">
        <v>2058</v>
      </c>
      <c r="AZ18" s="43">
        <v>1.001</v>
      </c>
      <c r="BA18" s="34" t="s">
        <v>1801</v>
      </c>
      <c r="BB18" s="34" t="s">
        <v>1033</v>
      </c>
      <c r="BC18" s="34" t="s">
        <v>2059</v>
      </c>
      <c r="BD18" s="43">
        <v>1.1616</v>
      </c>
      <c r="BE18" s="34" t="s">
        <v>1826</v>
      </c>
      <c r="BF18" s="34" t="s">
        <v>1037</v>
      </c>
      <c r="BG18" s="34" t="s">
        <v>2060</v>
      </c>
      <c r="BH18" s="43">
        <v>1.001</v>
      </c>
      <c r="BI18" s="34" t="s">
        <v>1824</v>
      </c>
      <c r="BJ18" s="34" t="s">
        <v>2061</v>
      </c>
      <c r="BK18" s="34" t="s">
        <v>2062</v>
      </c>
      <c r="BL18" s="43">
        <v>0.9987</v>
      </c>
      <c r="BM18" s="34" t="s">
        <v>1828</v>
      </c>
      <c r="BN18" s="34" t="s">
        <v>1570</v>
      </c>
      <c r="BO18" s="34" t="s">
        <v>491</v>
      </c>
      <c r="BP18" s="43">
        <v>1.179</v>
      </c>
      <c r="BQ18" s="34" t="s">
        <v>1807</v>
      </c>
    </row>
    <row r="19" ht="30" customHeight="1" spans="1:69">
      <c r="A19" s="36" t="s">
        <v>42</v>
      </c>
      <c r="B19" s="36" t="s">
        <v>43</v>
      </c>
      <c r="C19" s="36" t="s">
        <v>14</v>
      </c>
      <c r="D19" s="36" t="s">
        <v>15</v>
      </c>
      <c r="E19" s="36" t="s">
        <v>21</v>
      </c>
      <c r="F19" s="36" t="s">
        <v>1075</v>
      </c>
      <c r="G19" s="36" t="s">
        <v>2063</v>
      </c>
      <c r="H19" s="44">
        <v>0.5205</v>
      </c>
      <c r="I19" s="36" t="s">
        <v>1921</v>
      </c>
      <c r="J19" s="36" t="s">
        <v>2064</v>
      </c>
      <c r="K19" s="36" t="s">
        <v>2065</v>
      </c>
      <c r="L19" s="44">
        <v>0.7573</v>
      </c>
      <c r="M19" s="36" t="s">
        <v>1791</v>
      </c>
      <c r="N19" s="36" t="s">
        <v>909</v>
      </c>
      <c r="O19" s="36" t="s">
        <v>1153</v>
      </c>
      <c r="P19" s="44">
        <v>1.0008</v>
      </c>
      <c r="Q19" s="36" t="s">
        <v>1781</v>
      </c>
      <c r="R19" s="36" t="s">
        <v>570</v>
      </c>
      <c r="S19" s="36" t="s">
        <v>1083</v>
      </c>
      <c r="T19" s="44">
        <v>0.8676</v>
      </c>
      <c r="U19" s="36" t="s">
        <v>2066</v>
      </c>
      <c r="V19" s="36" t="s">
        <v>2067</v>
      </c>
      <c r="W19" s="36" t="s">
        <v>2068</v>
      </c>
      <c r="X19" s="44">
        <v>0.8199</v>
      </c>
      <c r="Y19" s="36" t="s">
        <v>1824</v>
      </c>
      <c r="Z19" s="36" t="s">
        <v>2069</v>
      </c>
      <c r="AA19" s="36" t="s">
        <v>2070</v>
      </c>
      <c r="AB19" s="44">
        <v>0.4973</v>
      </c>
      <c r="AC19" s="36" t="s">
        <v>1875</v>
      </c>
      <c r="AD19" s="36" t="s">
        <v>2071</v>
      </c>
      <c r="AE19" s="36" t="s">
        <v>2072</v>
      </c>
      <c r="AF19" s="44">
        <v>0.5006</v>
      </c>
      <c r="AG19" s="36" t="s">
        <v>1921</v>
      </c>
      <c r="AH19" s="36" t="s">
        <v>2073</v>
      </c>
      <c r="AI19" s="36" t="s">
        <v>2074</v>
      </c>
      <c r="AJ19" s="44">
        <v>0.4968</v>
      </c>
      <c r="AK19" s="36" t="s">
        <v>1951</v>
      </c>
      <c r="AL19" s="36" t="s">
        <v>2075</v>
      </c>
      <c r="AM19" s="36" t="s">
        <v>840</v>
      </c>
      <c r="AN19" s="44">
        <v>0.4995</v>
      </c>
      <c r="AO19" s="36" t="s">
        <v>1952</v>
      </c>
      <c r="AP19" s="36" t="s">
        <v>2076</v>
      </c>
      <c r="AQ19" s="36" t="s">
        <v>842</v>
      </c>
      <c r="AR19" s="44">
        <v>0.5002</v>
      </c>
      <c r="AS19" s="36" t="s">
        <v>1927</v>
      </c>
      <c r="AT19" s="36" t="s">
        <v>2077</v>
      </c>
      <c r="AU19" s="36" t="s">
        <v>2078</v>
      </c>
      <c r="AV19" s="44">
        <v>0.4997</v>
      </c>
      <c r="AW19" s="36" t="s">
        <v>1851</v>
      </c>
      <c r="AX19" s="36" t="s">
        <v>2079</v>
      </c>
      <c r="AY19" s="36" t="s">
        <v>2080</v>
      </c>
      <c r="AZ19" s="44">
        <v>0.5004</v>
      </c>
      <c r="BA19" s="36" t="s">
        <v>1907</v>
      </c>
      <c r="BB19" s="36" t="s">
        <v>2081</v>
      </c>
      <c r="BC19" s="36" t="s">
        <v>2082</v>
      </c>
      <c r="BD19" s="44">
        <v>0.4989</v>
      </c>
      <c r="BE19" s="36" t="s">
        <v>1854</v>
      </c>
      <c r="BF19" s="36" t="s">
        <v>848</v>
      </c>
      <c r="BG19" s="36" t="s">
        <v>849</v>
      </c>
      <c r="BH19" s="44">
        <v>0.5007</v>
      </c>
      <c r="BI19" s="36" t="s">
        <v>1854</v>
      </c>
      <c r="BJ19" s="36" t="s">
        <v>2083</v>
      </c>
      <c r="BK19" s="36" t="s">
        <v>851</v>
      </c>
      <c r="BL19" s="44">
        <v>0.4995</v>
      </c>
      <c r="BM19" s="36" t="s">
        <v>1856</v>
      </c>
      <c r="BN19" s="36" t="s">
        <v>2084</v>
      </c>
      <c r="BO19" s="36" t="s">
        <v>2085</v>
      </c>
      <c r="BP19" s="44">
        <v>0.4978</v>
      </c>
      <c r="BQ19" s="36" t="s">
        <v>1859</v>
      </c>
    </row>
    <row r="20" ht="30" customHeight="1" spans="1:69">
      <c r="A20" s="34" t="s">
        <v>44</v>
      </c>
      <c r="B20" s="34" t="s">
        <v>45</v>
      </c>
      <c r="C20" s="34" t="s">
        <v>14</v>
      </c>
      <c r="D20" s="34" t="s">
        <v>15</v>
      </c>
      <c r="E20" s="34" t="s">
        <v>21</v>
      </c>
      <c r="F20" s="34" t="s">
        <v>1023</v>
      </c>
      <c r="G20" s="34" t="s">
        <v>857</v>
      </c>
      <c r="H20" s="43">
        <v>0.5634</v>
      </c>
      <c r="I20" s="34" t="s">
        <v>1872</v>
      </c>
      <c r="J20" s="34" t="s">
        <v>1198</v>
      </c>
      <c r="K20" s="34" t="s">
        <v>2086</v>
      </c>
      <c r="L20" s="43">
        <v>1.3147</v>
      </c>
      <c r="M20" s="34" t="s">
        <v>2087</v>
      </c>
      <c r="N20" s="34" t="s">
        <v>2086</v>
      </c>
      <c r="O20" s="34" t="s">
        <v>861</v>
      </c>
      <c r="P20" s="43">
        <v>0.5082</v>
      </c>
      <c r="Q20" s="34" t="s">
        <v>1927</v>
      </c>
      <c r="R20" s="34" t="s">
        <v>2088</v>
      </c>
      <c r="S20" s="34" t="s">
        <v>475</v>
      </c>
      <c r="T20" s="43">
        <v>0.5837</v>
      </c>
      <c r="U20" s="34" t="s">
        <v>1869</v>
      </c>
      <c r="V20" s="34" t="s">
        <v>967</v>
      </c>
      <c r="W20" s="34" t="s">
        <v>476</v>
      </c>
      <c r="X20" s="43">
        <v>0.4992</v>
      </c>
      <c r="Y20" s="34" t="s">
        <v>1950</v>
      </c>
      <c r="Z20" s="34" t="s">
        <v>600</v>
      </c>
      <c r="AA20" s="34" t="s">
        <v>2089</v>
      </c>
      <c r="AB20" s="43">
        <v>0.5624</v>
      </c>
      <c r="AC20" s="34" t="s">
        <v>1824</v>
      </c>
      <c r="AD20" s="34" t="s">
        <v>2090</v>
      </c>
      <c r="AE20" s="34" t="s">
        <v>2091</v>
      </c>
      <c r="AF20" s="43">
        <v>0.5071</v>
      </c>
      <c r="AG20" s="34" t="s">
        <v>1921</v>
      </c>
      <c r="AH20" s="34" t="s">
        <v>2091</v>
      </c>
      <c r="AI20" s="34" t="s">
        <v>1394</v>
      </c>
      <c r="AJ20" s="43">
        <v>0.8611</v>
      </c>
      <c r="AK20" s="34" t="s">
        <v>1828</v>
      </c>
      <c r="AL20" s="34" t="s">
        <v>2092</v>
      </c>
      <c r="AM20" s="34" t="s">
        <v>2093</v>
      </c>
      <c r="AN20" s="43">
        <v>0.6983</v>
      </c>
      <c r="AO20" s="34" t="s">
        <v>2042</v>
      </c>
      <c r="AP20" s="34" t="s">
        <v>1396</v>
      </c>
      <c r="AQ20" s="34" t="s">
        <v>2094</v>
      </c>
      <c r="AR20" s="43">
        <v>0.8763</v>
      </c>
      <c r="AS20" s="34" t="s">
        <v>1788</v>
      </c>
      <c r="AT20" s="34" t="s">
        <v>2095</v>
      </c>
      <c r="AU20" s="34" t="s">
        <v>809</v>
      </c>
      <c r="AV20" s="43">
        <v>0.9431</v>
      </c>
      <c r="AW20" s="34" t="s">
        <v>1877</v>
      </c>
      <c r="AX20" s="34" t="s">
        <v>2096</v>
      </c>
      <c r="AY20" s="34" t="s">
        <v>2097</v>
      </c>
      <c r="AZ20" s="43">
        <v>0.5217</v>
      </c>
      <c r="BA20" s="34" t="s">
        <v>1951</v>
      </c>
      <c r="BB20" s="34" t="s">
        <v>753</v>
      </c>
      <c r="BC20" s="34" t="s">
        <v>632</v>
      </c>
      <c r="BD20" s="43">
        <v>1.0008</v>
      </c>
      <c r="BE20" s="34" t="s">
        <v>1804</v>
      </c>
      <c r="BF20" s="34" t="s">
        <v>1953</v>
      </c>
      <c r="BG20" s="34" t="s">
        <v>1325</v>
      </c>
      <c r="BH20" s="43">
        <v>1.0036</v>
      </c>
      <c r="BI20" s="34" t="s">
        <v>1824</v>
      </c>
      <c r="BJ20" s="34" t="s">
        <v>670</v>
      </c>
      <c r="BK20" s="34" t="s">
        <v>1161</v>
      </c>
      <c r="BL20" s="43">
        <v>0.6426</v>
      </c>
      <c r="BM20" s="34" t="s">
        <v>1921</v>
      </c>
      <c r="BN20" s="34" t="s">
        <v>1115</v>
      </c>
      <c r="BO20" s="34" t="s">
        <v>2098</v>
      </c>
      <c r="BP20" s="43">
        <v>0.4993</v>
      </c>
      <c r="BQ20" s="34" t="s">
        <v>1859</v>
      </c>
    </row>
    <row r="21" ht="30" customHeight="1" spans="1:69">
      <c r="A21" s="36" t="s">
        <v>46</v>
      </c>
      <c r="B21" s="36" t="s">
        <v>47</v>
      </c>
      <c r="C21" s="36" t="s">
        <v>14</v>
      </c>
      <c r="D21" s="36" t="s">
        <v>15</v>
      </c>
      <c r="E21" s="36" t="s">
        <v>21</v>
      </c>
      <c r="F21" s="36" t="s">
        <v>1198</v>
      </c>
      <c r="G21" s="36" t="s">
        <v>2099</v>
      </c>
      <c r="H21" s="44">
        <v>0.6271</v>
      </c>
      <c r="I21" s="36" t="s">
        <v>1875</v>
      </c>
      <c r="J21" s="36" t="s">
        <v>2064</v>
      </c>
      <c r="K21" s="36" t="s">
        <v>2100</v>
      </c>
      <c r="L21" s="44">
        <v>0.5026</v>
      </c>
      <c r="M21" s="36" t="s">
        <v>1875</v>
      </c>
      <c r="N21" s="36" t="s">
        <v>2065</v>
      </c>
      <c r="O21" s="36" t="s">
        <v>2101</v>
      </c>
      <c r="P21" s="44">
        <v>0.6784</v>
      </c>
      <c r="Q21" s="36" t="s">
        <v>1832</v>
      </c>
      <c r="R21" s="36" t="s">
        <v>655</v>
      </c>
      <c r="S21" s="36" t="s">
        <v>477</v>
      </c>
      <c r="T21" s="44">
        <v>0.7016</v>
      </c>
      <c r="U21" s="36" t="s">
        <v>2102</v>
      </c>
      <c r="V21" s="36" t="s">
        <v>780</v>
      </c>
      <c r="W21" s="36" t="s">
        <v>1081</v>
      </c>
      <c r="X21" s="44">
        <v>0.4995</v>
      </c>
      <c r="Y21" s="36" t="s">
        <v>1950</v>
      </c>
      <c r="Z21" s="36" t="s">
        <v>2103</v>
      </c>
      <c r="AA21" s="36" t="s">
        <v>2104</v>
      </c>
      <c r="AB21" s="44">
        <v>1.0022</v>
      </c>
      <c r="AC21" s="36" t="s">
        <v>1778</v>
      </c>
      <c r="AD21" s="36" t="s">
        <v>1653</v>
      </c>
      <c r="AE21" s="36" t="s">
        <v>753</v>
      </c>
      <c r="AF21" s="44">
        <v>0.7088</v>
      </c>
      <c r="AG21" s="36" t="s">
        <v>1804</v>
      </c>
      <c r="AH21" s="36" t="s">
        <v>1565</v>
      </c>
      <c r="AI21" s="36" t="s">
        <v>2105</v>
      </c>
      <c r="AJ21" s="44">
        <v>0.6198</v>
      </c>
      <c r="AK21" s="36" t="s">
        <v>1872</v>
      </c>
      <c r="AL21" s="36" t="s">
        <v>2106</v>
      </c>
      <c r="AM21" s="36" t="s">
        <v>673</v>
      </c>
      <c r="AN21" s="44">
        <v>0.4992</v>
      </c>
      <c r="AO21" s="36" t="s">
        <v>1952</v>
      </c>
      <c r="AP21" s="36" t="s">
        <v>675</v>
      </c>
      <c r="AQ21" s="36" t="s">
        <v>676</v>
      </c>
      <c r="AR21" s="44">
        <v>0.5963</v>
      </c>
      <c r="AS21" s="36" t="s">
        <v>1824</v>
      </c>
      <c r="AT21" s="36" t="s">
        <v>1975</v>
      </c>
      <c r="AU21" s="36" t="s">
        <v>1712</v>
      </c>
      <c r="AV21" s="44">
        <v>0.6195</v>
      </c>
      <c r="AW21" s="36" t="s">
        <v>1809</v>
      </c>
      <c r="AX21" s="36" t="s">
        <v>2107</v>
      </c>
      <c r="AY21" s="36" t="s">
        <v>2108</v>
      </c>
      <c r="AZ21" s="44">
        <v>0.6422</v>
      </c>
      <c r="BA21" s="36" t="s">
        <v>1872</v>
      </c>
      <c r="BB21" s="36" t="s">
        <v>892</v>
      </c>
      <c r="BC21" s="36" t="s">
        <v>893</v>
      </c>
      <c r="BD21" s="44">
        <v>0.4996</v>
      </c>
      <c r="BE21" s="36" t="s">
        <v>1854</v>
      </c>
      <c r="BF21" s="36" t="s">
        <v>2109</v>
      </c>
      <c r="BG21" s="36" t="s">
        <v>2110</v>
      </c>
      <c r="BH21" s="44">
        <v>0.5002</v>
      </c>
      <c r="BI21" s="36" t="s">
        <v>1854</v>
      </c>
      <c r="BJ21" s="36" t="s">
        <v>2111</v>
      </c>
      <c r="BK21" s="36" t="s">
        <v>2112</v>
      </c>
      <c r="BL21" s="44">
        <v>0.4993</v>
      </c>
      <c r="BM21" s="36" t="s">
        <v>1856</v>
      </c>
      <c r="BN21" s="36" t="s">
        <v>2112</v>
      </c>
      <c r="BO21" s="36" t="s">
        <v>2113</v>
      </c>
      <c r="BP21" s="44">
        <v>0.4996</v>
      </c>
      <c r="BQ21" s="36" t="s">
        <v>1859</v>
      </c>
    </row>
    <row r="22" ht="30" customHeight="1" spans="1:69">
      <c r="A22" s="34" t="s">
        <v>48</v>
      </c>
      <c r="B22" s="34" t="s">
        <v>49</v>
      </c>
      <c r="C22" s="34" t="s">
        <v>14</v>
      </c>
      <c r="D22" s="34" t="s">
        <v>15</v>
      </c>
      <c r="E22" s="34" t="s">
        <v>21</v>
      </c>
      <c r="F22" s="34" t="s">
        <v>1075</v>
      </c>
      <c r="G22" s="34" t="s">
        <v>2063</v>
      </c>
      <c r="H22" s="43">
        <v>0.6052</v>
      </c>
      <c r="I22" s="34" t="s">
        <v>1875</v>
      </c>
      <c r="J22" s="34" t="s">
        <v>1312</v>
      </c>
      <c r="K22" s="34" t="s">
        <v>903</v>
      </c>
      <c r="L22" s="43">
        <v>0.6644</v>
      </c>
      <c r="M22" s="34" t="s">
        <v>1826</v>
      </c>
      <c r="N22" s="34" t="s">
        <v>1045</v>
      </c>
      <c r="O22" s="34" t="s">
        <v>2114</v>
      </c>
      <c r="P22" s="43">
        <v>0.5026</v>
      </c>
      <c r="Q22" s="34" t="s">
        <v>1872</v>
      </c>
      <c r="R22" s="34" t="s">
        <v>2115</v>
      </c>
      <c r="S22" s="34" t="s">
        <v>1227</v>
      </c>
      <c r="T22" s="43">
        <v>0.4912</v>
      </c>
      <c r="U22" s="34" t="s">
        <v>1781</v>
      </c>
      <c r="V22" s="34" t="s">
        <v>2116</v>
      </c>
      <c r="W22" s="34" t="s">
        <v>908</v>
      </c>
      <c r="X22" s="43">
        <v>0.6617</v>
      </c>
      <c r="Y22" s="34" t="s">
        <v>1872</v>
      </c>
      <c r="Z22" s="34" t="s">
        <v>473</v>
      </c>
      <c r="AA22" s="34" t="s">
        <v>655</v>
      </c>
      <c r="AB22" s="43">
        <v>1.0841</v>
      </c>
      <c r="AC22" s="34" t="s">
        <v>1885</v>
      </c>
      <c r="AD22" s="34" t="s">
        <v>476</v>
      </c>
      <c r="AE22" s="34" t="s">
        <v>477</v>
      </c>
      <c r="AF22" s="43">
        <v>0.4874</v>
      </c>
      <c r="AG22" s="34" t="s">
        <v>1982</v>
      </c>
      <c r="AH22" s="34" t="s">
        <v>802</v>
      </c>
      <c r="AI22" s="34" t="s">
        <v>2117</v>
      </c>
      <c r="AJ22" s="43">
        <v>0.4882</v>
      </c>
      <c r="AK22" s="34" t="s">
        <v>1907</v>
      </c>
      <c r="AL22" s="34" t="s">
        <v>753</v>
      </c>
      <c r="AM22" s="34" t="s">
        <v>911</v>
      </c>
      <c r="AN22" s="43">
        <v>0.9901</v>
      </c>
      <c r="AO22" s="34" t="s">
        <v>1823</v>
      </c>
      <c r="AP22" s="34" t="s">
        <v>2118</v>
      </c>
      <c r="AQ22" s="34" t="s">
        <v>634</v>
      </c>
      <c r="AR22" s="43">
        <v>0.9841</v>
      </c>
      <c r="AS22" s="34" t="s">
        <v>1781</v>
      </c>
      <c r="AT22" s="34" t="s">
        <v>2119</v>
      </c>
      <c r="AU22" s="34" t="s">
        <v>2120</v>
      </c>
      <c r="AV22" s="43">
        <v>1.0001</v>
      </c>
      <c r="AW22" s="34" t="s">
        <v>1885</v>
      </c>
      <c r="AX22" s="34" t="s">
        <v>2121</v>
      </c>
      <c r="AY22" s="34" t="s">
        <v>2122</v>
      </c>
      <c r="AZ22" s="43">
        <v>0.5549</v>
      </c>
      <c r="BA22" s="34" t="s">
        <v>1921</v>
      </c>
      <c r="BB22" s="34" t="s">
        <v>918</v>
      </c>
      <c r="BC22" s="34" t="s">
        <v>2123</v>
      </c>
      <c r="BD22" s="43">
        <v>0.4999</v>
      </c>
      <c r="BE22" s="34" t="s">
        <v>1854</v>
      </c>
      <c r="BF22" s="34" t="s">
        <v>920</v>
      </c>
      <c r="BG22" s="34" t="s">
        <v>921</v>
      </c>
      <c r="BH22" s="43">
        <v>0.5023</v>
      </c>
      <c r="BI22" s="34" t="s">
        <v>1854</v>
      </c>
      <c r="BJ22" s="34" t="s">
        <v>2124</v>
      </c>
      <c r="BK22" s="34" t="s">
        <v>2125</v>
      </c>
      <c r="BL22" s="43">
        <v>0.5004</v>
      </c>
      <c r="BM22" s="34" t="s">
        <v>1856</v>
      </c>
      <c r="BN22" s="34" t="s">
        <v>2126</v>
      </c>
      <c r="BO22" s="34" t="s">
        <v>2127</v>
      </c>
      <c r="BP22" s="43">
        <v>0.7455</v>
      </c>
      <c r="BQ22" s="34" t="s">
        <v>1875</v>
      </c>
    </row>
    <row r="23" ht="30" customHeight="1" spans="1:69">
      <c r="A23" s="36" t="s">
        <v>50</v>
      </c>
      <c r="B23" s="36" t="s">
        <v>51</v>
      </c>
      <c r="C23" s="36" t="s">
        <v>14</v>
      </c>
      <c r="D23" s="36" t="s">
        <v>15</v>
      </c>
      <c r="E23" s="36" t="s">
        <v>21</v>
      </c>
      <c r="F23" s="36" t="s">
        <v>2128</v>
      </c>
      <c r="G23" s="36" t="s">
        <v>2129</v>
      </c>
      <c r="H23" s="44">
        <v>1.0852</v>
      </c>
      <c r="I23" s="36" t="s">
        <v>2130</v>
      </c>
      <c r="J23" s="36" t="s">
        <v>2131</v>
      </c>
      <c r="K23" s="36" t="s">
        <v>931</v>
      </c>
      <c r="L23" s="44">
        <v>0.5206</v>
      </c>
      <c r="M23" s="36" t="s">
        <v>1922</v>
      </c>
      <c r="N23" s="36" t="s">
        <v>931</v>
      </c>
      <c r="O23" s="36" t="s">
        <v>2132</v>
      </c>
      <c r="P23" s="44">
        <v>0.6047</v>
      </c>
      <c r="Q23" s="36" t="s">
        <v>1824</v>
      </c>
      <c r="R23" s="36" t="s">
        <v>2133</v>
      </c>
      <c r="S23" s="36" t="s">
        <v>934</v>
      </c>
      <c r="T23" s="44">
        <v>0.4348</v>
      </c>
      <c r="U23" s="36" t="s">
        <v>1788</v>
      </c>
      <c r="V23" s="36" t="s">
        <v>1042</v>
      </c>
      <c r="W23" s="36" t="s">
        <v>936</v>
      </c>
      <c r="X23" s="44">
        <v>0.4994</v>
      </c>
      <c r="Y23" s="36" t="s">
        <v>1950</v>
      </c>
      <c r="Z23" s="36" t="s">
        <v>2134</v>
      </c>
      <c r="AA23" s="36" t="s">
        <v>2135</v>
      </c>
      <c r="AB23" s="44">
        <v>0.5015</v>
      </c>
      <c r="AC23" s="36" t="s">
        <v>1875</v>
      </c>
      <c r="AD23" s="36" t="s">
        <v>2136</v>
      </c>
      <c r="AE23" s="36" t="s">
        <v>940</v>
      </c>
      <c r="AF23" s="44">
        <v>0.5003</v>
      </c>
      <c r="AG23" s="36" t="s">
        <v>1921</v>
      </c>
      <c r="AH23" s="36" t="s">
        <v>2137</v>
      </c>
      <c r="AI23" s="36" t="s">
        <v>2138</v>
      </c>
      <c r="AJ23" s="44">
        <v>0.4994</v>
      </c>
      <c r="AK23" s="36" t="s">
        <v>1951</v>
      </c>
      <c r="AL23" s="36" t="s">
        <v>2139</v>
      </c>
      <c r="AM23" s="36" t="s">
        <v>2140</v>
      </c>
      <c r="AN23" s="44">
        <v>0.4995</v>
      </c>
      <c r="AO23" s="36" t="s">
        <v>1952</v>
      </c>
      <c r="AP23" s="36" t="s">
        <v>2141</v>
      </c>
      <c r="AQ23" s="36" t="s">
        <v>2142</v>
      </c>
      <c r="AR23" s="44">
        <v>0.5009</v>
      </c>
      <c r="AS23" s="36" t="s">
        <v>1927</v>
      </c>
      <c r="AT23" s="36" t="s">
        <v>2143</v>
      </c>
      <c r="AU23" s="36" t="s">
        <v>2144</v>
      </c>
      <c r="AV23" s="44">
        <v>0.5002</v>
      </c>
      <c r="AW23" s="36" t="s">
        <v>1851</v>
      </c>
      <c r="AX23" s="36" t="s">
        <v>2145</v>
      </c>
      <c r="AY23" s="36" t="s">
        <v>2146</v>
      </c>
      <c r="AZ23" s="44">
        <v>0.5021</v>
      </c>
      <c r="BA23" s="36" t="s">
        <v>1907</v>
      </c>
      <c r="BB23" s="36" t="s">
        <v>2147</v>
      </c>
      <c r="BC23" s="36" t="s">
        <v>2148</v>
      </c>
      <c r="BD23" s="44">
        <v>0.5002</v>
      </c>
      <c r="BE23" s="36" t="s">
        <v>1853</v>
      </c>
      <c r="BF23" s="36" t="s">
        <v>951</v>
      </c>
      <c r="BG23" s="36" t="s">
        <v>952</v>
      </c>
      <c r="BH23" s="44">
        <v>0.5013</v>
      </c>
      <c r="BI23" s="36" t="s">
        <v>1854</v>
      </c>
      <c r="BJ23" s="36" t="s">
        <v>2149</v>
      </c>
      <c r="BK23" s="36" t="s">
        <v>2150</v>
      </c>
      <c r="BL23" s="44">
        <v>0.4995</v>
      </c>
      <c r="BM23" s="36" t="s">
        <v>1856</v>
      </c>
      <c r="BN23" s="36" t="s">
        <v>2151</v>
      </c>
      <c r="BO23" s="36" t="s">
        <v>2152</v>
      </c>
      <c r="BP23" s="44">
        <v>0.4988</v>
      </c>
      <c r="BQ23" s="36" t="s">
        <v>1859</v>
      </c>
    </row>
    <row r="24" ht="30" customHeight="1" spans="1:69">
      <c r="A24" s="34" t="s">
        <v>52</v>
      </c>
      <c r="B24" s="34" t="s">
        <v>53</v>
      </c>
      <c r="C24" s="34" t="s">
        <v>14</v>
      </c>
      <c r="D24" s="34" t="s">
        <v>15</v>
      </c>
      <c r="E24" s="34" t="s">
        <v>21</v>
      </c>
      <c r="F24" s="34" t="s">
        <v>1920</v>
      </c>
      <c r="G24" s="34" t="s">
        <v>1102</v>
      </c>
      <c r="H24" s="43">
        <v>0.7695</v>
      </c>
      <c r="I24" s="34" t="s">
        <v>1832</v>
      </c>
      <c r="J24" s="34" t="s">
        <v>2153</v>
      </c>
      <c r="K24" s="34" t="s">
        <v>962</v>
      </c>
      <c r="L24" s="43">
        <v>0.51</v>
      </c>
      <c r="M24" s="34" t="s">
        <v>1922</v>
      </c>
      <c r="N24" s="34" t="s">
        <v>1103</v>
      </c>
      <c r="O24" s="34" t="s">
        <v>964</v>
      </c>
      <c r="P24" s="43">
        <v>0.7101</v>
      </c>
      <c r="Q24" s="34" t="s">
        <v>1826</v>
      </c>
      <c r="R24" s="34" t="s">
        <v>2154</v>
      </c>
      <c r="S24" s="34" t="s">
        <v>2063</v>
      </c>
      <c r="T24" s="43">
        <v>0.4855</v>
      </c>
      <c r="U24" s="34" t="s">
        <v>1781</v>
      </c>
      <c r="V24" s="34" t="s">
        <v>538</v>
      </c>
      <c r="W24" s="34" t="s">
        <v>473</v>
      </c>
      <c r="X24" s="43">
        <v>0.6545</v>
      </c>
      <c r="Y24" s="34" t="s">
        <v>2155</v>
      </c>
      <c r="Z24" s="34" t="s">
        <v>655</v>
      </c>
      <c r="AA24" s="34" t="s">
        <v>720</v>
      </c>
      <c r="AB24" s="43">
        <v>0.5008</v>
      </c>
      <c r="AC24" s="34" t="s">
        <v>1875</v>
      </c>
      <c r="AD24" s="34" t="s">
        <v>1153</v>
      </c>
      <c r="AE24" s="34" t="s">
        <v>721</v>
      </c>
      <c r="AF24" s="43">
        <v>0.5021</v>
      </c>
      <c r="AG24" s="34" t="s">
        <v>1921</v>
      </c>
      <c r="AH24" s="34" t="s">
        <v>1081</v>
      </c>
      <c r="AI24" s="34" t="s">
        <v>969</v>
      </c>
      <c r="AJ24" s="43">
        <v>0.6323</v>
      </c>
      <c r="AK24" s="34" t="s">
        <v>1927</v>
      </c>
      <c r="AL24" s="34" t="s">
        <v>2156</v>
      </c>
      <c r="AM24" s="34" t="s">
        <v>806</v>
      </c>
      <c r="AN24" s="43">
        <v>0.5007</v>
      </c>
      <c r="AO24" s="34" t="s">
        <v>1952</v>
      </c>
      <c r="AP24" s="34" t="s">
        <v>2157</v>
      </c>
      <c r="AQ24" s="34" t="s">
        <v>2158</v>
      </c>
      <c r="AR24" s="43">
        <v>1.4943</v>
      </c>
      <c r="AS24" s="34" t="s">
        <v>2159</v>
      </c>
      <c r="AT24" s="34" t="s">
        <v>486</v>
      </c>
      <c r="AU24" s="34" t="s">
        <v>2160</v>
      </c>
      <c r="AV24" s="43">
        <v>1.0771</v>
      </c>
      <c r="AW24" s="34" t="s">
        <v>2055</v>
      </c>
      <c r="AX24" s="34" t="s">
        <v>2161</v>
      </c>
      <c r="AY24" s="34" t="s">
        <v>2162</v>
      </c>
      <c r="AZ24" s="43">
        <v>1.1664</v>
      </c>
      <c r="BA24" s="34" t="s">
        <v>1794</v>
      </c>
      <c r="BB24" s="34" t="s">
        <v>1111</v>
      </c>
      <c r="BC24" s="34" t="s">
        <v>977</v>
      </c>
      <c r="BD24" s="43">
        <v>1.0047</v>
      </c>
      <c r="BE24" s="34" t="s">
        <v>1804</v>
      </c>
      <c r="BF24" s="34" t="s">
        <v>2163</v>
      </c>
      <c r="BG24" s="34" t="s">
        <v>979</v>
      </c>
      <c r="BH24" s="43">
        <v>0.908</v>
      </c>
      <c r="BI24" s="34" t="s">
        <v>1922</v>
      </c>
      <c r="BJ24" s="34" t="s">
        <v>1385</v>
      </c>
      <c r="BK24" s="34" t="s">
        <v>1160</v>
      </c>
      <c r="BL24" s="43">
        <v>1.0018</v>
      </c>
      <c r="BM24" s="34" t="s">
        <v>1828</v>
      </c>
      <c r="BN24" s="34" t="s">
        <v>487</v>
      </c>
      <c r="BO24" s="34" t="s">
        <v>873</v>
      </c>
      <c r="BP24" s="43">
        <v>1.001</v>
      </c>
      <c r="BQ24" s="34" t="s">
        <v>1809</v>
      </c>
    </row>
    <row r="25" ht="30" customHeight="1" spans="1:69">
      <c r="A25" s="36" t="s">
        <v>54</v>
      </c>
      <c r="B25" s="36" t="s">
        <v>55</v>
      </c>
      <c r="C25" s="36" t="s">
        <v>14</v>
      </c>
      <c r="D25" s="36" t="s">
        <v>15</v>
      </c>
      <c r="E25" s="36" t="s">
        <v>21</v>
      </c>
      <c r="F25" s="36" t="s">
        <v>2164</v>
      </c>
      <c r="G25" s="36" t="s">
        <v>2165</v>
      </c>
      <c r="H25" s="44">
        <v>0.7483</v>
      </c>
      <c r="I25" s="36" t="s">
        <v>2042</v>
      </c>
      <c r="J25" s="36" t="s">
        <v>2166</v>
      </c>
      <c r="K25" s="36" t="s">
        <v>2167</v>
      </c>
      <c r="L25" s="44">
        <v>0.5886</v>
      </c>
      <c r="M25" s="36" t="s">
        <v>2042</v>
      </c>
      <c r="N25" s="36" t="s">
        <v>2168</v>
      </c>
      <c r="O25" s="36" t="s">
        <v>2169</v>
      </c>
      <c r="P25" s="44">
        <v>0.5003</v>
      </c>
      <c r="Q25" s="36" t="s">
        <v>1872</v>
      </c>
      <c r="R25" s="36" t="s">
        <v>2170</v>
      </c>
      <c r="S25" s="36" t="s">
        <v>2171</v>
      </c>
      <c r="T25" s="44">
        <v>0.5217</v>
      </c>
      <c r="U25" s="36" t="s">
        <v>1916</v>
      </c>
      <c r="V25" s="36" t="s">
        <v>2172</v>
      </c>
      <c r="W25" s="36" t="s">
        <v>2173</v>
      </c>
      <c r="X25" s="44">
        <v>0.645</v>
      </c>
      <c r="Y25" s="36" t="s">
        <v>2155</v>
      </c>
      <c r="Z25" s="36" t="s">
        <v>2174</v>
      </c>
      <c r="AA25" s="36" t="s">
        <v>2175</v>
      </c>
      <c r="AB25" s="44">
        <v>0.5008</v>
      </c>
      <c r="AC25" s="36" t="s">
        <v>1875</v>
      </c>
      <c r="AD25" s="36" t="s">
        <v>2176</v>
      </c>
      <c r="AE25" s="36" t="s">
        <v>2177</v>
      </c>
      <c r="AF25" s="44">
        <v>0.7</v>
      </c>
      <c r="AG25" s="36" t="s">
        <v>1804</v>
      </c>
      <c r="AH25" s="36" t="s">
        <v>2178</v>
      </c>
      <c r="AI25" s="36" t="s">
        <v>2179</v>
      </c>
      <c r="AJ25" s="44">
        <v>0.4989</v>
      </c>
      <c r="AK25" s="36" t="s">
        <v>1951</v>
      </c>
      <c r="AL25" s="36" t="s">
        <v>2180</v>
      </c>
      <c r="AM25" s="36" t="s">
        <v>1006</v>
      </c>
      <c r="AN25" s="44">
        <v>0.683</v>
      </c>
      <c r="AO25" s="36" t="s">
        <v>1804</v>
      </c>
      <c r="AP25" s="36" t="s">
        <v>2181</v>
      </c>
      <c r="AQ25" s="36" t="s">
        <v>2182</v>
      </c>
      <c r="AR25" s="44">
        <v>0.6272</v>
      </c>
      <c r="AS25" s="36" t="s">
        <v>2042</v>
      </c>
      <c r="AT25" s="36" t="s">
        <v>2183</v>
      </c>
      <c r="AU25" s="36" t="s">
        <v>2184</v>
      </c>
      <c r="AV25" s="44">
        <v>0.5336</v>
      </c>
      <c r="AW25" s="36" t="s">
        <v>1804</v>
      </c>
      <c r="AX25" s="36" t="s">
        <v>2185</v>
      </c>
      <c r="AY25" s="36" t="s">
        <v>2186</v>
      </c>
      <c r="AZ25" s="44">
        <v>0.7757</v>
      </c>
      <c r="BA25" s="36" t="s">
        <v>1824</v>
      </c>
      <c r="BB25" s="36" t="s">
        <v>2187</v>
      </c>
      <c r="BC25" s="36" t="s">
        <v>2188</v>
      </c>
      <c r="BD25" s="44">
        <v>0.5346</v>
      </c>
      <c r="BE25" s="36" t="s">
        <v>1856</v>
      </c>
      <c r="BF25" s="36" t="s">
        <v>1014</v>
      </c>
      <c r="BG25" s="36" t="s">
        <v>1015</v>
      </c>
      <c r="BH25" s="44">
        <v>0.5369</v>
      </c>
      <c r="BI25" s="36" t="s">
        <v>1853</v>
      </c>
      <c r="BJ25" s="36" t="s">
        <v>2189</v>
      </c>
      <c r="BK25" s="36" t="s">
        <v>2190</v>
      </c>
      <c r="BL25" s="44">
        <v>0.7974</v>
      </c>
      <c r="BM25" s="36" t="s">
        <v>1922</v>
      </c>
      <c r="BN25" s="36" t="s">
        <v>2191</v>
      </c>
      <c r="BO25" s="36" t="s">
        <v>2192</v>
      </c>
      <c r="BP25" s="44">
        <v>0.5353</v>
      </c>
      <c r="BQ25" s="36" t="s">
        <v>1907</v>
      </c>
    </row>
    <row r="26" ht="30" customHeight="1" spans="1:69">
      <c r="A26" s="34" t="s">
        <v>56</v>
      </c>
      <c r="B26" s="34" t="s">
        <v>57</v>
      </c>
      <c r="C26" s="34" t="s">
        <v>14</v>
      </c>
      <c r="D26" s="34" t="s">
        <v>15</v>
      </c>
      <c r="E26" s="34" t="s">
        <v>21</v>
      </c>
      <c r="F26" s="34" t="s">
        <v>2154</v>
      </c>
      <c r="G26" s="34" t="s">
        <v>824</v>
      </c>
      <c r="H26" s="43">
        <v>0.7914</v>
      </c>
      <c r="I26" s="34" t="s">
        <v>1828</v>
      </c>
      <c r="J26" s="34" t="s">
        <v>2063</v>
      </c>
      <c r="K26" s="34" t="s">
        <v>1391</v>
      </c>
      <c r="L26" s="43">
        <v>2.2357</v>
      </c>
      <c r="M26" s="34" t="s">
        <v>2193</v>
      </c>
      <c r="N26" s="34" t="s">
        <v>796</v>
      </c>
      <c r="O26" s="34" t="s">
        <v>2194</v>
      </c>
      <c r="P26" s="43">
        <v>1.1179</v>
      </c>
      <c r="Q26" s="34" t="s">
        <v>1968</v>
      </c>
      <c r="R26" s="34" t="s">
        <v>1197</v>
      </c>
      <c r="S26" s="34" t="s">
        <v>876</v>
      </c>
      <c r="T26" s="43">
        <v>1.8557</v>
      </c>
      <c r="U26" s="34" t="s">
        <v>2195</v>
      </c>
      <c r="V26" s="34" t="s">
        <v>1290</v>
      </c>
      <c r="W26" s="34" t="s">
        <v>719</v>
      </c>
      <c r="X26" s="43">
        <v>1.0005</v>
      </c>
      <c r="Y26" s="34" t="s">
        <v>1785</v>
      </c>
      <c r="Z26" s="34" t="s">
        <v>539</v>
      </c>
      <c r="AA26" s="34" t="s">
        <v>1464</v>
      </c>
      <c r="AB26" s="43">
        <v>1.0013</v>
      </c>
      <c r="AC26" s="34" t="s">
        <v>1778</v>
      </c>
      <c r="AD26" s="34" t="s">
        <v>1478</v>
      </c>
      <c r="AE26" s="34" t="s">
        <v>1969</v>
      </c>
      <c r="AF26" s="43">
        <v>0.9387</v>
      </c>
      <c r="AG26" s="34" t="s">
        <v>1861</v>
      </c>
      <c r="AH26" s="34" t="s">
        <v>1972</v>
      </c>
      <c r="AI26" s="34" t="s">
        <v>1167</v>
      </c>
      <c r="AJ26" s="43">
        <v>0.9973</v>
      </c>
      <c r="AK26" s="34" t="s">
        <v>1791</v>
      </c>
      <c r="AL26" s="34" t="s">
        <v>2196</v>
      </c>
      <c r="AM26" s="34" t="s">
        <v>677</v>
      </c>
      <c r="AN26" s="43">
        <v>0.9986</v>
      </c>
      <c r="AO26" s="34" t="s">
        <v>1794</v>
      </c>
      <c r="AP26" s="34" t="s">
        <v>1975</v>
      </c>
      <c r="AQ26" s="34" t="s">
        <v>1976</v>
      </c>
      <c r="AR26" s="43">
        <v>0.9994</v>
      </c>
      <c r="AS26" s="34" t="s">
        <v>1848</v>
      </c>
      <c r="AT26" s="34" t="s">
        <v>1566</v>
      </c>
      <c r="AU26" s="34" t="s">
        <v>1034</v>
      </c>
      <c r="AV26" s="43">
        <v>0.997</v>
      </c>
      <c r="AW26" s="34" t="s">
        <v>1798</v>
      </c>
      <c r="AX26" s="34" t="s">
        <v>2197</v>
      </c>
      <c r="AY26" s="34" t="s">
        <v>1036</v>
      </c>
      <c r="AZ26" s="43">
        <v>1.0627</v>
      </c>
      <c r="BA26" s="34" t="s">
        <v>1861</v>
      </c>
      <c r="BB26" s="34" t="s">
        <v>815</v>
      </c>
      <c r="BC26" s="34" t="s">
        <v>1037</v>
      </c>
      <c r="BD26" s="43">
        <v>0.9939</v>
      </c>
      <c r="BE26" s="34" t="s">
        <v>1804</v>
      </c>
      <c r="BF26" s="34" t="s">
        <v>817</v>
      </c>
      <c r="BG26" s="34" t="s">
        <v>1039</v>
      </c>
      <c r="BH26" s="43">
        <v>0.9966</v>
      </c>
      <c r="BI26" s="34" t="s">
        <v>1824</v>
      </c>
      <c r="BJ26" s="34" t="s">
        <v>2198</v>
      </c>
      <c r="BK26" s="34" t="s">
        <v>1041</v>
      </c>
      <c r="BL26" s="43">
        <v>1.3782</v>
      </c>
      <c r="BM26" s="34" t="s">
        <v>2033</v>
      </c>
      <c r="BN26" s="34" t="s">
        <v>2199</v>
      </c>
      <c r="BO26" s="34" t="s">
        <v>935</v>
      </c>
      <c r="BP26" s="43">
        <v>1.1181</v>
      </c>
      <c r="BQ26" s="34" t="s">
        <v>1791</v>
      </c>
    </row>
    <row r="27" ht="30" customHeight="1" spans="1:69">
      <c r="A27" s="36" t="s">
        <v>58</v>
      </c>
      <c r="B27" s="36" t="s">
        <v>59</v>
      </c>
      <c r="C27" s="36" t="s">
        <v>14</v>
      </c>
      <c r="D27" s="36" t="s">
        <v>15</v>
      </c>
      <c r="E27" s="36" t="s">
        <v>21</v>
      </c>
      <c r="F27" s="36" t="s">
        <v>1199</v>
      </c>
      <c r="G27" s="36" t="s">
        <v>1463</v>
      </c>
      <c r="H27" s="44">
        <v>0.9955</v>
      </c>
      <c r="I27" s="36" t="s">
        <v>1807</v>
      </c>
      <c r="J27" s="36" t="s">
        <v>1428</v>
      </c>
      <c r="K27" s="36" t="s">
        <v>2200</v>
      </c>
      <c r="L27" s="44">
        <v>0.982</v>
      </c>
      <c r="M27" s="36" t="s">
        <v>1916</v>
      </c>
      <c r="N27" s="36" t="s">
        <v>1047</v>
      </c>
      <c r="O27" s="36" t="s">
        <v>2201</v>
      </c>
      <c r="P27" s="44">
        <v>1.1017</v>
      </c>
      <c r="Q27" s="36" t="s">
        <v>1877</v>
      </c>
      <c r="R27" s="36" t="s">
        <v>2202</v>
      </c>
      <c r="S27" s="36" t="s">
        <v>2203</v>
      </c>
      <c r="T27" s="44">
        <v>1.0278</v>
      </c>
      <c r="U27" s="36" t="s">
        <v>2204</v>
      </c>
      <c r="V27" s="36" t="s">
        <v>2205</v>
      </c>
      <c r="W27" s="36" t="s">
        <v>2206</v>
      </c>
      <c r="X27" s="44">
        <v>0.9995</v>
      </c>
      <c r="Y27" s="36" t="s">
        <v>1785</v>
      </c>
      <c r="Z27" s="36" t="s">
        <v>2207</v>
      </c>
      <c r="AA27" s="36" t="s">
        <v>2208</v>
      </c>
      <c r="AB27" s="44">
        <v>0.9037</v>
      </c>
      <c r="AC27" s="36" t="s">
        <v>1979</v>
      </c>
      <c r="AD27" s="36" t="s">
        <v>724</v>
      </c>
      <c r="AE27" s="36" t="s">
        <v>1056</v>
      </c>
      <c r="AF27" s="44">
        <v>0.944</v>
      </c>
      <c r="AG27" s="36" t="s">
        <v>1861</v>
      </c>
      <c r="AH27" s="36" t="s">
        <v>2209</v>
      </c>
      <c r="AI27" s="36" t="s">
        <v>2210</v>
      </c>
      <c r="AJ27" s="44">
        <v>0.9993</v>
      </c>
      <c r="AK27" s="36" t="s">
        <v>1791</v>
      </c>
      <c r="AL27" s="36" t="s">
        <v>2211</v>
      </c>
      <c r="AM27" s="36" t="s">
        <v>1060</v>
      </c>
      <c r="AN27" s="44">
        <v>0.9973</v>
      </c>
      <c r="AO27" s="36" t="s">
        <v>1794</v>
      </c>
      <c r="AP27" s="36" t="s">
        <v>2212</v>
      </c>
      <c r="AQ27" s="36" t="s">
        <v>1062</v>
      </c>
      <c r="AR27" s="44">
        <v>0.9128</v>
      </c>
      <c r="AS27" s="36" t="s">
        <v>1794</v>
      </c>
      <c r="AT27" s="36" t="s">
        <v>1240</v>
      </c>
      <c r="AU27" s="36" t="s">
        <v>2213</v>
      </c>
      <c r="AV27" s="44">
        <v>0.9701</v>
      </c>
      <c r="AW27" s="36" t="s">
        <v>2214</v>
      </c>
      <c r="AX27" s="36" t="s">
        <v>2215</v>
      </c>
      <c r="AY27" s="36" t="s">
        <v>2216</v>
      </c>
      <c r="AZ27" s="44">
        <v>1.001</v>
      </c>
      <c r="BA27" s="36" t="s">
        <v>1801</v>
      </c>
      <c r="BB27" s="36" t="s">
        <v>2217</v>
      </c>
      <c r="BC27" s="36" t="s">
        <v>2218</v>
      </c>
      <c r="BD27" s="44">
        <v>0.9359</v>
      </c>
      <c r="BE27" s="36" t="s">
        <v>1851</v>
      </c>
      <c r="BF27" s="36" t="s">
        <v>1561</v>
      </c>
      <c r="BG27" s="36" t="s">
        <v>2219</v>
      </c>
      <c r="BH27" s="44">
        <v>1.1354</v>
      </c>
      <c r="BI27" s="36" t="s">
        <v>1828</v>
      </c>
      <c r="BJ27" s="36" t="s">
        <v>2220</v>
      </c>
      <c r="BK27" s="36" t="s">
        <v>2221</v>
      </c>
      <c r="BL27" s="44">
        <v>1.17</v>
      </c>
      <c r="BM27" s="36" t="s">
        <v>1791</v>
      </c>
      <c r="BN27" s="36" t="s">
        <v>2222</v>
      </c>
      <c r="BO27" s="36" t="s">
        <v>2223</v>
      </c>
      <c r="BP27" s="44">
        <v>1.0485</v>
      </c>
      <c r="BQ27" s="36" t="s">
        <v>1977</v>
      </c>
    </row>
    <row r="28" ht="30" customHeight="1" spans="1:69">
      <c r="A28" s="34" t="s">
        <v>60</v>
      </c>
      <c r="B28" s="34" t="s">
        <v>61</v>
      </c>
      <c r="C28" s="34" t="s">
        <v>14</v>
      </c>
      <c r="D28" s="34" t="s">
        <v>15</v>
      </c>
      <c r="E28" s="34" t="s">
        <v>21</v>
      </c>
      <c r="F28" s="34" t="s">
        <v>959</v>
      </c>
      <c r="G28" s="34" t="s">
        <v>1077</v>
      </c>
      <c r="H28" s="43">
        <v>1.1332</v>
      </c>
      <c r="I28" s="34" t="s">
        <v>1979</v>
      </c>
      <c r="J28" s="34" t="s">
        <v>776</v>
      </c>
      <c r="K28" s="34" t="s">
        <v>856</v>
      </c>
      <c r="L28" s="43">
        <v>1.3144</v>
      </c>
      <c r="M28" s="34" t="s">
        <v>2087</v>
      </c>
      <c r="N28" s="34" t="s">
        <v>1023</v>
      </c>
      <c r="O28" s="34" t="s">
        <v>858</v>
      </c>
      <c r="P28" s="43">
        <v>1.5101</v>
      </c>
      <c r="Q28" s="34" t="s">
        <v>2224</v>
      </c>
      <c r="R28" s="34" t="s">
        <v>1198</v>
      </c>
      <c r="S28" s="34" t="s">
        <v>779</v>
      </c>
      <c r="T28" s="43">
        <v>1.1775</v>
      </c>
      <c r="U28" s="34" t="s">
        <v>2225</v>
      </c>
      <c r="V28" s="34" t="s">
        <v>2117</v>
      </c>
      <c r="W28" s="34" t="s">
        <v>1081</v>
      </c>
      <c r="X28" s="43">
        <v>0.9954</v>
      </c>
      <c r="Y28" s="34" t="s">
        <v>1785</v>
      </c>
      <c r="Z28" s="34" t="s">
        <v>479</v>
      </c>
      <c r="AA28" s="34" t="s">
        <v>2226</v>
      </c>
      <c r="AB28" s="43">
        <v>1.1629</v>
      </c>
      <c r="AC28" s="34" t="s">
        <v>2055</v>
      </c>
      <c r="AD28" s="34" t="s">
        <v>544</v>
      </c>
      <c r="AE28" s="34" t="s">
        <v>545</v>
      </c>
      <c r="AF28" s="43">
        <v>1.1971</v>
      </c>
      <c r="AG28" s="34" t="s">
        <v>1916</v>
      </c>
      <c r="AH28" s="34" t="s">
        <v>2227</v>
      </c>
      <c r="AI28" s="34" t="s">
        <v>1841</v>
      </c>
      <c r="AJ28" s="43">
        <v>1.0296</v>
      </c>
      <c r="AK28" s="34" t="s">
        <v>1861</v>
      </c>
      <c r="AL28" s="34" t="s">
        <v>1379</v>
      </c>
      <c r="AM28" s="34" t="s">
        <v>809</v>
      </c>
      <c r="AN28" s="43">
        <v>1.101</v>
      </c>
      <c r="AO28" s="34" t="s">
        <v>1848</v>
      </c>
      <c r="AP28" s="34" t="s">
        <v>658</v>
      </c>
      <c r="AQ28" s="34" t="s">
        <v>630</v>
      </c>
      <c r="AR28" s="43">
        <v>1.0549</v>
      </c>
      <c r="AS28" s="34" t="s">
        <v>1916</v>
      </c>
      <c r="AT28" s="34" t="s">
        <v>1607</v>
      </c>
      <c r="AU28" s="34" t="s">
        <v>1087</v>
      </c>
      <c r="AV28" s="43">
        <v>1.1594</v>
      </c>
      <c r="AW28" s="34" t="s">
        <v>2228</v>
      </c>
      <c r="AX28" s="34" t="s">
        <v>2229</v>
      </c>
      <c r="AY28" s="34" t="s">
        <v>1033</v>
      </c>
      <c r="AZ28" s="43">
        <v>1.0009</v>
      </c>
      <c r="BA28" s="34" t="s">
        <v>1801</v>
      </c>
      <c r="BB28" s="34" t="s">
        <v>2230</v>
      </c>
      <c r="BC28" s="34" t="s">
        <v>2231</v>
      </c>
      <c r="BD28" s="43">
        <v>1.2228</v>
      </c>
      <c r="BE28" s="34" t="s">
        <v>1977</v>
      </c>
      <c r="BF28" s="34" t="s">
        <v>2232</v>
      </c>
      <c r="BG28" s="34" t="s">
        <v>1092</v>
      </c>
      <c r="BH28" s="43">
        <v>0.9962</v>
      </c>
      <c r="BI28" s="34" t="s">
        <v>1824</v>
      </c>
      <c r="BJ28" s="34" t="s">
        <v>2233</v>
      </c>
      <c r="BK28" s="34" t="s">
        <v>1094</v>
      </c>
      <c r="BL28" s="43">
        <v>1.1002</v>
      </c>
      <c r="BM28" s="34" t="s">
        <v>1977</v>
      </c>
      <c r="BN28" s="34" t="s">
        <v>2234</v>
      </c>
      <c r="BO28" s="34" t="s">
        <v>2235</v>
      </c>
      <c r="BP28" s="43">
        <v>0.5332</v>
      </c>
      <c r="BQ28" s="34" t="s">
        <v>1907</v>
      </c>
    </row>
    <row r="29" ht="30" customHeight="1" spans="1:69">
      <c r="A29" s="36" t="s">
        <v>62</v>
      </c>
      <c r="B29" s="36" t="s">
        <v>63</v>
      </c>
      <c r="C29" s="36" t="s">
        <v>14</v>
      </c>
      <c r="D29" s="36" t="s">
        <v>15</v>
      </c>
      <c r="E29" s="36" t="s">
        <v>21</v>
      </c>
      <c r="F29" s="36" t="s">
        <v>2236</v>
      </c>
      <c r="G29" s="36" t="s">
        <v>1100</v>
      </c>
      <c r="H29" s="44">
        <v>0.8053</v>
      </c>
      <c r="I29" s="36" t="s">
        <v>1828</v>
      </c>
      <c r="J29" s="36" t="s">
        <v>2237</v>
      </c>
      <c r="K29" s="36" t="s">
        <v>2238</v>
      </c>
      <c r="L29" s="44">
        <v>0.7714</v>
      </c>
      <c r="M29" s="36" t="s">
        <v>1861</v>
      </c>
      <c r="N29" s="36" t="s">
        <v>2239</v>
      </c>
      <c r="O29" s="36" t="s">
        <v>1103</v>
      </c>
      <c r="P29" s="44">
        <v>0.501</v>
      </c>
      <c r="Q29" s="36" t="s">
        <v>1872</v>
      </c>
      <c r="R29" s="36" t="s">
        <v>2240</v>
      </c>
      <c r="S29" s="36" t="s">
        <v>474</v>
      </c>
      <c r="T29" s="44">
        <v>0.5182</v>
      </c>
      <c r="U29" s="36" t="s">
        <v>1916</v>
      </c>
      <c r="V29" s="36" t="s">
        <v>656</v>
      </c>
      <c r="W29" s="36" t="s">
        <v>1105</v>
      </c>
      <c r="X29" s="44">
        <v>0.5075</v>
      </c>
      <c r="Y29" s="36" t="s">
        <v>1950</v>
      </c>
      <c r="Z29" s="36" t="s">
        <v>1107</v>
      </c>
      <c r="AA29" s="36" t="s">
        <v>1109</v>
      </c>
      <c r="AB29" s="44">
        <v>0.6001</v>
      </c>
      <c r="AC29" s="36" t="s">
        <v>2042</v>
      </c>
      <c r="AD29" s="36" t="s">
        <v>2241</v>
      </c>
      <c r="AE29" s="36" t="s">
        <v>968</v>
      </c>
      <c r="AF29" s="44">
        <v>0.5005</v>
      </c>
      <c r="AG29" s="36" t="s">
        <v>1921</v>
      </c>
      <c r="AH29" s="36" t="s">
        <v>1606</v>
      </c>
      <c r="AI29" s="36" t="s">
        <v>732</v>
      </c>
      <c r="AJ29" s="44">
        <v>0.9268</v>
      </c>
      <c r="AK29" s="36" t="s">
        <v>1785</v>
      </c>
      <c r="AL29" s="36" t="s">
        <v>1964</v>
      </c>
      <c r="AM29" s="36" t="s">
        <v>1731</v>
      </c>
      <c r="AN29" s="44">
        <v>1.1731</v>
      </c>
      <c r="AO29" s="36" t="s">
        <v>1778</v>
      </c>
      <c r="AP29" s="36" t="s">
        <v>976</v>
      </c>
      <c r="AQ29" s="36" t="s">
        <v>2163</v>
      </c>
      <c r="AR29" s="44">
        <v>1.2975</v>
      </c>
      <c r="AS29" s="36" t="s">
        <v>2242</v>
      </c>
      <c r="AT29" s="36" t="s">
        <v>1478</v>
      </c>
      <c r="AU29" s="36" t="s">
        <v>1385</v>
      </c>
      <c r="AV29" s="44">
        <v>0.4567</v>
      </c>
      <c r="AW29" s="36" t="s">
        <v>1875</v>
      </c>
      <c r="AX29" s="36" t="s">
        <v>2243</v>
      </c>
      <c r="AY29" s="36" t="s">
        <v>2244</v>
      </c>
      <c r="AZ29" s="44">
        <v>1.0007</v>
      </c>
      <c r="BA29" s="36" t="s">
        <v>1801</v>
      </c>
      <c r="BB29" s="36" t="s">
        <v>982</v>
      </c>
      <c r="BC29" s="36" t="s">
        <v>873</v>
      </c>
      <c r="BD29" s="44">
        <v>0.6897</v>
      </c>
      <c r="BE29" s="36" t="s">
        <v>1982</v>
      </c>
      <c r="BF29" s="36" t="s">
        <v>1162</v>
      </c>
      <c r="BG29" s="36" t="s">
        <v>1115</v>
      </c>
      <c r="BH29" s="44">
        <v>1.0344</v>
      </c>
      <c r="BI29" s="36" t="s">
        <v>1804</v>
      </c>
      <c r="BJ29" s="36" t="s">
        <v>2098</v>
      </c>
      <c r="BK29" s="36" t="s">
        <v>884</v>
      </c>
      <c r="BL29" s="44">
        <v>0.4992</v>
      </c>
      <c r="BM29" s="36" t="s">
        <v>1856</v>
      </c>
      <c r="BN29" s="36" t="s">
        <v>1565</v>
      </c>
      <c r="BO29" s="36" t="s">
        <v>885</v>
      </c>
      <c r="BP29" s="44">
        <v>0.4997</v>
      </c>
      <c r="BQ29" s="36" t="s">
        <v>1859</v>
      </c>
    </row>
    <row r="30" ht="30" customHeight="1" spans="1:69">
      <c r="A30" s="34" t="s">
        <v>64</v>
      </c>
      <c r="B30" s="34" t="s">
        <v>65</v>
      </c>
      <c r="C30" s="34" t="s">
        <v>14</v>
      </c>
      <c r="D30" s="34" t="s">
        <v>15</v>
      </c>
      <c r="E30" s="34" t="s">
        <v>21</v>
      </c>
      <c r="F30" s="34" t="s">
        <v>2245</v>
      </c>
      <c r="G30" s="34" t="s">
        <v>2246</v>
      </c>
      <c r="H30" s="43">
        <v>1.0057</v>
      </c>
      <c r="I30" s="34" t="s">
        <v>1893</v>
      </c>
      <c r="J30" s="34" t="s">
        <v>2247</v>
      </c>
      <c r="K30" s="34" t="s">
        <v>2011</v>
      </c>
      <c r="L30" s="43">
        <v>2.9523</v>
      </c>
      <c r="M30" s="34" t="s">
        <v>2248</v>
      </c>
      <c r="N30" s="34" t="s">
        <v>2249</v>
      </c>
      <c r="O30" s="34" t="s">
        <v>672</v>
      </c>
      <c r="P30" s="43">
        <v>0.9834</v>
      </c>
      <c r="Q30" s="34" t="s">
        <v>1979</v>
      </c>
      <c r="R30" s="34" t="s">
        <v>585</v>
      </c>
      <c r="S30" s="34" t="s">
        <v>2250</v>
      </c>
      <c r="T30" s="43">
        <v>0.8362</v>
      </c>
      <c r="U30" s="34" t="s">
        <v>2251</v>
      </c>
      <c r="V30" s="34" t="s">
        <v>2252</v>
      </c>
      <c r="W30" s="34" t="s">
        <v>2253</v>
      </c>
      <c r="X30" s="43">
        <v>1.0931</v>
      </c>
      <c r="Y30" s="34" t="s">
        <v>1791</v>
      </c>
      <c r="Z30" s="34" t="s">
        <v>2254</v>
      </c>
      <c r="AA30" s="34" t="s">
        <v>2255</v>
      </c>
      <c r="AB30" s="43">
        <v>1.0833</v>
      </c>
      <c r="AC30" s="34" t="s">
        <v>1885</v>
      </c>
      <c r="AD30" s="34" t="s">
        <v>2256</v>
      </c>
      <c r="AE30" s="34" t="s">
        <v>2257</v>
      </c>
      <c r="AF30" s="43">
        <v>0.7126</v>
      </c>
      <c r="AG30" s="34" t="s">
        <v>2042</v>
      </c>
      <c r="AH30" s="34" t="s">
        <v>2258</v>
      </c>
      <c r="AI30" s="34" t="s">
        <v>994</v>
      </c>
      <c r="AJ30" s="43">
        <v>1</v>
      </c>
      <c r="AK30" s="34" t="s">
        <v>1791</v>
      </c>
      <c r="AL30" s="34" t="s">
        <v>2259</v>
      </c>
      <c r="AM30" s="34" t="s">
        <v>2260</v>
      </c>
      <c r="AN30" s="43">
        <v>1.1889</v>
      </c>
      <c r="AO30" s="34" t="s">
        <v>1877</v>
      </c>
      <c r="AP30" s="34" t="s">
        <v>2261</v>
      </c>
      <c r="AQ30" s="34" t="s">
        <v>1135</v>
      </c>
      <c r="AR30" s="43">
        <v>0.6977</v>
      </c>
      <c r="AS30" s="34" t="s">
        <v>1826</v>
      </c>
      <c r="AT30" s="34" t="s">
        <v>2262</v>
      </c>
      <c r="AU30" s="34" t="s">
        <v>1137</v>
      </c>
      <c r="AV30" s="43">
        <v>0.6044</v>
      </c>
      <c r="AW30" s="34" t="s">
        <v>1826</v>
      </c>
      <c r="AX30" s="34" t="s">
        <v>2263</v>
      </c>
      <c r="AY30" s="34" t="s">
        <v>2264</v>
      </c>
      <c r="AZ30" s="43">
        <v>1.2155</v>
      </c>
      <c r="BA30" s="34" t="s">
        <v>2033</v>
      </c>
      <c r="BB30" s="34" t="s">
        <v>2265</v>
      </c>
      <c r="BC30" s="34" t="s">
        <v>1141</v>
      </c>
      <c r="BD30" s="43">
        <v>0.9939</v>
      </c>
      <c r="BE30" s="34" t="s">
        <v>1804</v>
      </c>
      <c r="BF30" s="34" t="s">
        <v>2266</v>
      </c>
      <c r="BG30" s="34" t="s">
        <v>1143</v>
      </c>
      <c r="BH30" s="43">
        <v>1.1506</v>
      </c>
      <c r="BI30" s="34" t="s">
        <v>1828</v>
      </c>
      <c r="BJ30" s="34" t="s">
        <v>2267</v>
      </c>
      <c r="BK30" s="34" t="s">
        <v>2268</v>
      </c>
      <c r="BL30" s="43">
        <v>1.2443</v>
      </c>
      <c r="BM30" s="34" t="s">
        <v>1893</v>
      </c>
      <c r="BN30" s="34" t="s">
        <v>2269</v>
      </c>
      <c r="BO30" s="34" t="s">
        <v>2270</v>
      </c>
      <c r="BP30" s="43">
        <v>1.2324</v>
      </c>
      <c r="BQ30" s="34" t="s">
        <v>1788</v>
      </c>
    </row>
    <row r="31" ht="30" customHeight="1" spans="1:69">
      <c r="A31" s="36" t="s">
        <v>66</v>
      </c>
      <c r="B31" s="36" t="s">
        <v>67</v>
      </c>
      <c r="C31" s="36" t="s">
        <v>14</v>
      </c>
      <c r="D31" s="36" t="s">
        <v>15</v>
      </c>
      <c r="E31" s="36" t="s">
        <v>21</v>
      </c>
      <c r="F31" s="36" t="s">
        <v>566</v>
      </c>
      <c r="G31" s="36" t="s">
        <v>1920</v>
      </c>
      <c r="H31" s="44">
        <v>1.263</v>
      </c>
      <c r="I31" s="36" t="s">
        <v>1877</v>
      </c>
      <c r="J31" s="36" t="s">
        <v>1723</v>
      </c>
      <c r="K31" s="36" t="s">
        <v>2271</v>
      </c>
      <c r="L31" s="44">
        <v>1.0051</v>
      </c>
      <c r="M31" s="36" t="s">
        <v>1778</v>
      </c>
      <c r="N31" s="36" t="s">
        <v>2272</v>
      </c>
      <c r="O31" s="36" t="s">
        <v>2273</v>
      </c>
      <c r="P31" s="44">
        <v>0.5047</v>
      </c>
      <c r="Q31" s="36" t="s">
        <v>1872</v>
      </c>
      <c r="R31" s="36" t="s">
        <v>655</v>
      </c>
      <c r="S31" s="36" t="s">
        <v>967</v>
      </c>
      <c r="T31" s="44">
        <v>0.5416</v>
      </c>
      <c r="U31" s="36" t="s">
        <v>1877</v>
      </c>
      <c r="V31" s="36" t="s">
        <v>2274</v>
      </c>
      <c r="W31" s="36" t="s">
        <v>2275</v>
      </c>
      <c r="X31" s="44">
        <v>0.51</v>
      </c>
      <c r="Y31" s="36" t="s">
        <v>1950</v>
      </c>
      <c r="Z31" s="36" t="s">
        <v>2241</v>
      </c>
      <c r="AA31" s="36" t="s">
        <v>2276</v>
      </c>
      <c r="AB31" s="44">
        <v>0.5669</v>
      </c>
      <c r="AC31" s="36" t="s">
        <v>1824</v>
      </c>
      <c r="AD31" s="36" t="s">
        <v>2277</v>
      </c>
      <c r="AE31" s="36" t="s">
        <v>2278</v>
      </c>
      <c r="AF31" s="44">
        <v>0.5011</v>
      </c>
      <c r="AG31" s="36" t="s">
        <v>1921</v>
      </c>
      <c r="AH31" s="36" t="s">
        <v>2279</v>
      </c>
      <c r="AI31" s="36" t="s">
        <v>559</v>
      </c>
      <c r="AJ31" s="44">
        <v>0.4364</v>
      </c>
      <c r="AK31" s="36" t="s">
        <v>1859</v>
      </c>
      <c r="AL31" s="36" t="s">
        <v>807</v>
      </c>
      <c r="AM31" s="36" t="s">
        <v>1158</v>
      </c>
      <c r="AN31" s="44">
        <v>0.9996</v>
      </c>
      <c r="AO31" s="36" t="s">
        <v>1794</v>
      </c>
      <c r="AP31" s="36" t="s">
        <v>635</v>
      </c>
      <c r="AQ31" s="36" t="s">
        <v>636</v>
      </c>
      <c r="AR31" s="44">
        <v>0.9992</v>
      </c>
      <c r="AS31" s="36" t="s">
        <v>1848</v>
      </c>
      <c r="AT31" s="36" t="s">
        <v>1114</v>
      </c>
      <c r="AU31" s="36" t="s">
        <v>1162</v>
      </c>
      <c r="AV31" s="44">
        <v>0.847</v>
      </c>
      <c r="AW31" s="36" t="s">
        <v>1979</v>
      </c>
      <c r="AX31" s="36" t="s">
        <v>1719</v>
      </c>
      <c r="AY31" s="36" t="s">
        <v>2280</v>
      </c>
      <c r="AZ31" s="44">
        <v>1.133</v>
      </c>
      <c r="BA31" s="36" t="s">
        <v>1788</v>
      </c>
      <c r="BB31" s="36" t="s">
        <v>885</v>
      </c>
      <c r="BC31" s="36" t="s">
        <v>1165</v>
      </c>
      <c r="BD31" s="44">
        <v>0.9989</v>
      </c>
      <c r="BE31" s="36" t="s">
        <v>1804</v>
      </c>
      <c r="BF31" s="36" t="s">
        <v>2106</v>
      </c>
      <c r="BG31" s="36" t="s">
        <v>673</v>
      </c>
      <c r="BH31" s="44">
        <v>0.8811</v>
      </c>
      <c r="BI31" s="36" t="s">
        <v>1875</v>
      </c>
      <c r="BJ31" s="36" t="s">
        <v>810</v>
      </c>
      <c r="BK31" s="36" t="s">
        <v>674</v>
      </c>
      <c r="BL31" s="44">
        <v>1.0002</v>
      </c>
      <c r="BM31" s="36" t="s">
        <v>1828</v>
      </c>
      <c r="BN31" s="36" t="s">
        <v>811</v>
      </c>
      <c r="BO31" s="36" t="s">
        <v>1974</v>
      </c>
      <c r="BP31" s="44">
        <v>0.9977</v>
      </c>
      <c r="BQ31" s="36" t="s">
        <v>1809</v>
      </c>
    </row>
    <row r="32" ht="30" customHeight="1" spans="1:69">
      <c r="A32" s="34" t="s">
        <v>68</v>
      </c>
      <c r="B32" s="34" t="s">
        <v>69</v>
      </c>
      <c r="C32" s="34" t="s">
        <v>14</v>
      </c>
      <c r="D32" s="34" t="s">
        <v>15</v>
      </c>
      <c r="E32" s="34" t="s">
        <v>21</v>
      </c>
      <c r="F32" s="34" t="s">
        <v>2281</v>
      </c>
      <c r="G32" s="34" t="s">
        <v>2282</v>
      </c>
      <c r="H32" s="43">
        <v>0.9997</v>
      </c>
      <c r="I32" s="34" t="s">
        <v>1893</v>
      </c>
      <c r="J32" s="34" t="s">
        <v>2283</v>
      </c>
      <c r="K32" s="34" t="s">
        <v>2284</v>
      </c>
      <c r="L32" s="43">
        <v>0.9998</v>
      </c>
      <c r="M32" s="34" t="s">
        <v>1916</v>
      </c>
      <c r="N32" s="34" t="s">
        <v>2285</v>
      </c>
      <c r="O32" s="34" t="s">
        <v>2286</v>
      </c>
      <c r="P32" s="43">
        <v>1.0678</v>
      </c>
      <c r="Q32" s="34" t="s">
        <v>1916</v>
      </c>
      <c r="R32" s="34" t="s">
        <v>2287</v>
      </c>
      <c r="S32" s="34" t="s">
        <v>2288</v>
      </c>
      <c r="T32" s="43">
        <v>0.9246</v>
      </c>
      <c r="U32" s="34" t="s">
        <v>2289</v>
      </c>
      <c r="V32" s="34" t="s">
        <v>2290</v>
      </c>
      <c r="W32" s="34" t="s">
        <v>809</v>
      </c>
      <c r="X32" s="43">
        <v>0.9562</v>
      </c>
      <c r="Y32" s="34" t="s">
        <v>1826</v>
      </c>
      <c r="Z32" s="34" t="s">
        <v>2118</v>
      </c>
      <c r="AA32" s="34" t="s">
        <v>1181</v>
      </c>
      <c r="AB32" s="43">
        <v>1.0002</v>
      </c>
      <c r="AC32" s="34" t="s">
        <v>1778</v>
      </c>
      <c r="AD32" s="34" t="s">
        <v>1322</v>
      </c>
      <c r="AE32" s="34" t="s">
        <v>1159</v>
      </c>
      <c r="AF32" s="43">
        <v>1.0001</v>
      </c>
      <c r="AG32" s="34" t="s">
        <v>1788</v>
      </c>
      <c r="AH32" s="34" t="s">
        <v>636</v>
      </c>
      <c r="AI32" s="34" t="s">
        <v>637</v>
      </c>
      <c r="AJ32" s="43">
        <v>0.9981</v>
      </c>
      <c r="AK32" s="34" t="s">
        <v>1791</v>
      </c>
      <c r="AL32" s="34" t="s">
        <v>2291</v>
      </c>
      <c r="AM32" s="34" t="s">
        <v>2292</v>
      </c>
      <c r="AN32" s="43">
        <v>1.1042</v>
      </c>
      <c r="AO32" s="34" t="s">
        <v>1848</v>
      </c>
      <c r="AP32" s="34" t="s">
        <v>2293</v>
      </c>
      <c r="AQ32" s="34" t="s">
        <v>2294</v>
      </c>
      <c r="AR32" s="43">
        <v>0.9999</v>
      </c>
      <c r="AS32" s="34" t="s">
        <v>1848</v>
      </c>
      <c r="AT32" s="34" t="s">
        <v>2295</v>
      </c>
      <c r="AU32" s="34" t="s">
        <v>2296</v>
      </c>
      <c r="AV32" s="43">
        <v>0.9131</v>
      </c>
      <c r="AW32" s="34" t="s">
        <v>1916</v>
      </c>
      <c r="AX32" s="34" t="s">
        <v>2297</v>
      </c>
      <c r="AY32" s="34" t="s">
        <v>2298</v>
      </c>
      <c r="AZ32" s="43">
        <v>1.0079</v>
      </c>
      <c r="BA32" s="34" t="s">
        <v>1925</v>
      </c>
      <c r="BB32" s="34" t="s">
        <v>2299</v>
      </c>
      <c r="BC32" s="34" t="s">
        <v>2300</v>
      </c>
      <c r="BD32" s="43">
        <v>0.9979</v>
      </c>
      <c r="BE32" s="34" t="s">
        <v>1804</v>
      </c>
      <c r="BF32" s="34" t="s">
        <v>2301</v>
      </c>
      <c r="BG32" s="34" t="s">
        <v>2302</v>
      </c>
      <c r="BH32" s="43">
        <v>0.8824</v>
      </c>
      <c r="BI32" s="34" t="s">
        <v>1875</v>
      </c>
      <c r="BJ32" s="34" t="s">
        <v>2303</v>
      </c>
      <c r="BK32" s="34" t="s">
        <v>2304</v>
      </c>
      <c r="BL32" s="43">
        <v>0.9989</v>
      </c>
      <c r="BM32" s="34" t="s">
        <v>1828</v>
      </c>
      <c r="BN32" s="34" t="s">
        <v>2304</v>
      </c>
      <c r="BO32" s="34" t="s">
        <v>2305</v>
      </c>
      <c r="BP32" s="43">
        <v>0.9984</v>
      </c>
      <c r="BQ32" s="34" t="s">
        <v>1809</v>
      </c>
    </row>
    <row r="33" ht="30" customHeight="1" spans="1:69">
      <c r="A33" s="36" t="s">
        <v>70</v>
      </c>
      <c r="B33" s="36" t="s">
        <v>71</v>
      </c>
      <c r="C33" s="36" t="s">
        <v>14</v>
      </c>
      <c r="D33" s="36" t="s">
        <v>15</v>
      </c>
      <c r="E33" s="36" t="s">
        <v>16</v>
      </c>
      <c r="F33" s="36" t="s">
        <v>959</v>
      </c>
      <c r="G33" s="36" t="s">
        <v>652</v>
      </c>
      <c r="H33" s="44">
        <v>1.0158</v>
      </c>
      <c r="I33" s="36" t="s">
        <v>1788</v>
      </c>
      <c r="J33" s="36" t="s">
        <v>965</v>
      </c>
      <c r="K33" s="36" t="s">
        <v>2306</v>
      </c>
      <c r="L33" s="44">
        <v>1.1673</v>
      </c>
      <c r="M33" s="36" t="s">
        <v>2055</v>
      </c>
      <c r="N33" s="36" t="s">
        <v>1331</v>
      </c>
      <c r="O33" s="36" t="s">
        <v>2307</v>
      </c>
      <c r="P33" s="44">
        <v>0.9981</v>
      </c>
      <c r="Q33" s="36" t="s">
        <v>1781</v>
      </c>
      <c r="R33" s="36" t="s">
        <v>2308</v>
      </c>
      <c r="S33" s="36" t="s">
        <v>2309</v>
      </c>
      <c r="T33" s="44">
        <v>1.0833</v>
      </c>
      <c r="U33" s="36" t="s">
        <v>2310</v>
      </c>
      <c r="V33" s="36" t="s">
        <v>2311</v>
      </c>
      <c r="W33" s="36" t="s">
        <v>1202</v>
      </c>
      <c r="X33" s="44">
        <v>0.9961</v>
      </c>
      <c r="Y33" s="36" t="s">
        <v>1785</v>
      </c>
      <c r="Z33" s="36" t="s">
        <v>2312</v>
      </c>
      <c r="AA33" s="36" t="s">
        <v>2313</v>
      </c>
      <c r="AB33" s="44">
        <v>0.9186</v>
      </c>
      <c r="AC33" s="36" t="s">
        <v>1781</v>
      </c>
      <c r="AD33" s="36" t="s">
        <v>2314</v>
      </c>
      <c r="AE33" s="36" t="s">
        <v>2315</v>
      </c>
      <c r="AF33" s="44">
        <v>0.5015</v>
      </c>
      <c r="AG33" s="36" t="s">
        <v>1921</v>
      </c>
      <c r="AH33" s="36" t="s">
        <v>2316</v>
      </c>
      <c r="AI33" s="36" t="s">
        <v>2317</v>
      </c>
      <c r="AJ33" s="44">
        <v>0.4964</v>
      </c>
      <c r="AK33" s="36" t="s">
        <v>1951</v>
      </c>
      <c r="AL33" s="36" t="s">
        <v>2318</v>
      </c>
      <c r="AM33" s="36" t="s">
        <v>2319</v>
      </c>
      <c r="AN33" s="44">
        <v>0.5096</v>
      </c>
      <c r="AO33" s="36" t="s">
        <v>1952</v>
      </c>
      <c r="AP33" s="36" t="s">
        <v>2320</v>
      </c>
      <c r="AQ33" s="36" t="s">
        <v>2321</v>
      </c>
      <c r="AR33" s="44">
        <v>0.5013</v>
      </c>
      <c r="AS33" s="36" t="s">
        <v>1927</v>
      </c>
      <c r="AT33" s="36" t="s">
        <v>2322</v>
      </c>
      <c r="AU33" s="36" t="s">
        <v>1215</v>
      </c>
      <c r="AV33" s="44">
        <v>0.4987</v>
      </c>
      <c r="AW33" s="36" t="s">
        <v>1851</v>
      </c>
      <c r="AX33" s="36" t="s">
        <v>2323</v>
      </c>
      <c r="AY33" s="36" t="s">
        <v>2324</v>
      </c>
      <c r="AZ33" s="44">
        <v>0.4999</v>
      </c>
      <c r="BA33" s="36" t="s">
        <v>1907</v>
      </c>
      <c r="BB33" s="36" t="s">
        <v>1218</v>
      </c>
      <c r="BC33" s="36" t="s">
        <v>1219</v>
      </c>
      <c r="BD33" s="44">
        <v>0.4987</v>
      </c>
      <c r="BE33" s="36" t="s">
        <v>1854</v>
      </c>
      <c r="BF33" s="36" t="s">
        <v>2325</v>
      </c>
      <c r="BG33" s="36" t="s">
        <v>2326</v>
      </c>
      <c r="BH33" s="44">
        <v>0.4981</v>
      </c>
      <c r="BI33" s="36" t="s">
        <v>1854</v>
      </c>
      <c r="BJ33" s="36" t="s">
        <v>2327</v>
      </c>
      <c r="BK33" s="36" t="s">
        <v>2328</v>
      </c>
      <c r="BL33" s="44">
        <v>0.4993</v>
      </c>
      <c r="BM33" s="36" t="s">
        <v>1856</v>
      </c>
      <c r="BN33" s="36" t="s">
        <v>2329</v>
      </c>
      <c r="BO33" s="36" t="s">
        <v>2330</v>
      </c>
      <c r="BP33" s="44">
        <v>0.4989</v>
      </c>
      <c r="BQ33" s="36" t="s">
        <v>1859</v>
      </c>
    </row>
    <row r="34" ht="30" customHeight="1" spans="1:69">
      <c r="A34" s="34" t="s">
        <v>72</v>
      </c>
      <c r="B34" s="34" t="s">
        <v>73</v>
      </c>
      <c r="C34" s="34" t="s">
        <v>14</v>
      </c>
      <c r="D34" s="34" t="s">
        <v>15</v>
      </c>
      <c r="E34" s="34" t="s">
        <v>16</v>
      </c>
      <c r="F34" s="34" t="s">
        <v>2331</v>
      </c>
      <c r="G34" s="34" t="s">
        <v>2332</v>
      </c>
      <c r="H34" s="43">
        <v>0.9963</v>
      </c>
      <c r="I34" s="34" t="s">
        <v>1807</v>
      </c>
      <c r="J34" s="34" t="s">
        <v>2333</v>
      </c>
      <c r="K34" s="34" t="s">
        <v>1022</v>
      </c>
      <c r="L34" s="43">
        <v>0.9978</v>
      </c>
      <c r="M34" s="34" t="s">
        <v>1916</v>
      </c>
      <c r="N34" s="34" t="s">
        <v>1465</v>
      </c>
      <c r="O34" s="34" t="s">
        <v>1228</v>
      </c>
      <c r="P34" s="43">
        <v>0.9987</v>
      </c>
      <c r="Q34" s="34" t="s">
        <v>1781</v>
      </c>
      <c r="R34" s="34" t="s">
        <v>2334</v>
      </c>
      <c r="S34" s="34" t="s">
        <v>2335</v>
      </c>
      <c r="T34" s="43">
        <v>1.527</v>
      </c>
      <c r="U34" s="34" t="s">
        <v>2336</v>
      </c>
      <c r="V34" s="34" t="s">
        <v>2337</v>
      </c>
      <c r="W34" s="34" t="s">
        <v>2338</v>
      </c>
      <c r="X34" s="43">
        <v>0.9946</v>
      </c>
      <c r="Y34" s="34" t="s">
        <v>1785</v>
      </c>
      <c r="Z34" s="34" t="s">
        <v>2338</v>
      </c>
      <c r="AA34" s="34" t="s">
        <v>2339</v>
      </c>
      <c r="AB34" s="43">
        <v>1.0828</v>
      </c>
      <c r="AC34" s="34" t="s">
        <v>1885</v>
      </c>
      <c r="AD34" s="34" t="s">
        <v>2340</v>
      </c>
      <c r="AE34" s="34" t="s">
        <v>2341</v>
      </c>
      <c r="AF34" s="43">
        <v>1.0027</v>
      </c>
      <c r="AG34" s="34" t="s">
        <v>1788</v>
      </c>
      <c r="AH34" s="34" t="s">
        <v>2342</v>
      </c>
      <c r="AI34" s="34" t="s">
        <v>1236</v>
      </c>
      <c r="AJ34" s="43">
        <v>1.0015</v>
      </c>
      <c r="AK34" s="34" t="s">
        <v>1791</v>
      </c>
      <c r="AL34" s="34" t="s">
        <v>2343</v>
      </c>
      <c r="AM34" s="34" t="s">
        <v>1238</v>
      </c>
      <c r="AN34" s="43">
        <v>1.0058</v>
      </c>
      <c r="AO34" s="34" t="s">
        <v>1794</v>
      </c>
      <c r="AP34" s="34" t="s">
        <v>1059</v>
      </c>
      <c r="AQ34" s="34" t="s">
        <v>2344</v>
      </c>
      <c r="AR34" s="43">
        <v>0.9561</v>
      </c>
      <c r="AS34" s="34" t="s">
        <v>1979</v>
      </c>
      <c r="AT34" s="34" t="s">
        <v>2345</v>
      </c>
      <c r="AU34" s="34" t="s">
        <v>1241</v>
      </c>
      <c r="AV34" s="43">
        <v>1.1152</v>
      </c>
      <c r="AW34" s="34" t="s">
        <v>1970</v>
      </c>
      <c r="AX34" s="34" t="s">
        <v>2346</v>
      </c>
      <c r="AY34" s="34" t="s">
        <v>2347</v>
      </c>
      <c r="AZ34" s="43">
        <v>1.4037</v>
      </c>
      <c r="BA34" s="34" t="s">
        <v>1877</v>
      </c>
      <c r="BB34" s="34" t="s">
        <v>2348</v>
      </c>
      <c r="BC34" s="34" t="s">
        <v>1245</v>
      </c>
      <c r="BD34" s="43">
        <v>0.9932</v>
      </c>
      <c r="BE34" s="34" t="s">
        <v>1804</v>
      </c>
      <c r="BF34" s="34" t="s">
        <v>2349</v>
      </c>
      <c r="BG34" s="34" t="s">
        <v>2350</v>
      </c>
      <c r="BH34" s="43">
        <v>0.9959</v>
      </c>
      <c r="BI34" s="34" t="s">
        <v>1824</v>
      </c>
      <c r="BJ34" s="34" t="s">
        <v>2351</v>
      </c>
      <c r="BK34" s="34" t="s">
        <v>1248</v>
      </c>
      <c r="BL34" s="43">
        <v>0.9937</v>
      </c>
      <c r="BM34" s="34" t="s">
        <v>1828</v>
      </c>
      <c r="BN34" s="34" t="s">
        <v>2352</v>
      </c>
      <c r="BO34" s="34" t="s">
        <v>2353</v>
      </c>
      <c r="BP34" s="43">
        <v>0.9965</v>
      </c>
      <c r="BQ34" s="34" t="s">
        <v>1809</v>
      </c>
    </row>
    <row r="35" ht="30" customHeight="1" spans="1:69">
      <c r="A35" s="36" t="s">
        <v>74</v>
      </c>
      <c r="B35" s="36" t="s">
        <v>75</v>
      </c>
      <c r="C35" s="36" t="s">
        <v>14</v>
      </c>
      <c r="D35" s="36" t="s">
        <v>15</v>
      </c>
      <c r="E35" s="36" t="s">
        <v>16</v>
      </c>
      <c r="F35" s="36" t="s">
        <v>2354</v>
      </c>
      <c r="G35" s="36" t="s">
        <v>1255</v>
      </c>
      <c r="H35" s="44">
        <v>0.5125</v>
      </c>
      <c r="I35" s="36" t="s">
        <v>1921</v>
      </c>
      <c r="J35" s="36" t="s">
        <v>2355</v>
      </c>
      <c r="K35" s="36" t="s">
        <v>2356</v>
      </c>
      <c r="L35" s="44">
        <v>0.502</v>
      </c>
      <c r="M35" s="36" t="s">
        <v>1875</v>
      </c>
      <c r="N35" s="36" t="s">
        <v>2357</v>
      </c>
      <c r="O35" s="36" t="s">
        <v>2358</v>
      </c>
      <c r="P35" s="44">
        <v>0.501</v>
      </c>
      <c r="Q35" s="36" t="s">
        <v>1872</v>
      </c>
      <c r="R35" s="36" t="s">
        <v>2359</v>
      </c>
      <c r="S35" s="36" t="s">
        <v>2360</v>
      </c>
      <c r="T35" s="44">
        <v>0.5667</v>
      </c>
      <c r="U35" s="36" t="s">
        <v>1798</v>
      </c>
      <c r="V35" s="36" t="s">
        <v>2361</v>
      </c>
      <c r="W35" s="36" t="s">
        <v>2362</v>
      </c>
      <c r="X35" s="44">
        <v>0.4996</v>
      </c>
      <c r="Y35" s="36" t="s">
        <v>1950</v>
      </c>
      <c r="Z35" s="36" t="s">
        <v>2363</v>
      </c>
      <c r="AA35" s="36" t="s">
        <v>2364</v>
      </c>
      <c r="AB35" s="44">
        <v>0.7183</v>
      </c>
      <c r="AC35" s="36" t="s">
        <v>1801</v>
      </c>
      <c r="AD35" s="36" t="s">
        <v>2365</v>
      </c>
      <c r="AE35" s="36" t="s">
        <v>2366</v>
      </c>
      <c r="AF35" s="44">
        <v>0.5114</v>
      </c>
      <c r="AG35" s="36" t="s">
        <v>1921</v>
      </c>
      <c r="AH35" s="36" t="s">
        <v>2025</v>
      </c>
      <c r="AI35" s="36" t="s">
        <v>2367</v>
      </c>
      <c r="AJ35" s="44">
        <v>0.5003</v>
      </c>
      <c r="AK35" s="36" t="s">
        <v>1951</v>
      </c>
      <c r="AL35" s="36" t="s">
        <v>2368</v>
      </c>
      <c r="AM35" s="36" t="s">
        <v>1426</v>
      </c>
      <c r="AN35" s="44">
        <v>1.1877</v>
      </c>
      <c r="AO35" s="36" t="s">
        <v>1877</v>
      </c>
      <c r="AP35" s="36" t="s">
        <v>1426</v>
      </c>
      <c r="AQ35" s="36" t="s">
        <v>1271</v>
      </c>
      <c r="AR35" s="44">
        <v>0.5217</v>
      </c>
      <c r="AS35" s="36" t="s">
        <v>1875</v>
      </c>
      <c r="AT35" s="36" t="s">
        <v>1427</v>
      </c>
      <c r="AU35" s="36" t="s">
        <v>2369</v>
      </c>
      <c r="AV35" s="44">
        <v>0.4999</v>
      </c>
      <c r="AW35" s="36" t="s">
        <v>1851</v>
      </c>
      <c r="AX35" s="36" t="s">
        <v>2370</v>
      </c>
      <c r="AY35" s="36" t="s">
        <v>2371</v>
      </c>
      <c r="AZ35" s="44">
        <v>0.5009</v>
      </c>
      <c r="BA35" s="36" t="s">
        <v>1907</v>
      </c>
      <c r="BB35" s="36" t="s">
        <v>2372</v>
      </c>
      <c r="BC35" s="36" t="s">
        <v>2373</v>
      </c>
      <c r="BD35" s="44">
        <v>0.7921</v>
      </c>
      <c r="BE35" s="36" t="s">
        <v>1872</v>
      </c>
      <c r="BF35" s="36" t="s">
        <v>2374</v>
      </c>
      <c r="BG35" s="36" t="s">
        <v>2375</v>
      </c>
      <c r="BH35" s="44">
        <v>0.5005</v>
      </c>
      <c r="BI35" s="36" t="s">
        <v>1854</v>
      </c>
      <c r="BJ35" s="36" t="s">
        <v>2375</v>
      </c>
      <c r="BK35" s="36" t="s">
        <v>1280</v>
      </c>
      <c r="BL35" s="44">
        <v>0.4997</v>
      </c>
      <c r="BM35" s="36" t="s">
        <v>1856</v>
      </c>
      <c r="BN35" s="36" t="s">
        <v>2376</v>
      </c>
      <c r="BO35" s="36" t="s">
        <v>2377</v>
      </c>
      <c r="BP35" s="44">
        <v>0.4999</v>
      </c>
      <c r="BQ35" s="36" t="s">
        <v>1859</v>
      </c>
    </row>
    <row r="36" ht="30" customHeight="1" spans="1:69">
      <c r="A36" s="34" t="s">
        <v>76</v>
      </c>
      <c r="B36" s="34" t="s">
        <v>77</v>
      </c>
      <c r="C36" s="34" t="s">
        <v>14</v>
      </c>
      <c r="D36" s="34" t="s">
        <v>15</v>
      </c>
      <c r="E36" s="34" t="s">
        <v>16</v>
      </c>
      <c r="F36" s="34" t="s">
        <v>2378</v>
      </c>
      <c r="G36" s="34" t="s">
        <v>1286</v>
      </c>
      <c r="H36" s="43">
        <v>0.7907</v>
      </c>
      <c r="I36" s="34" t="s">
        <v>1828</v>
      </c>
      <c r="J36" s="34" t="s">
        <v>2379</v>
      </c>
      <c r="K36" s="34" t="s">
        <v>2380</v>
      </c>
      <c r="L36" s="43">
        <v>0.6046</v>
      </c>
      <c r="M36" s="34" t="s">
        <v>1898</v>
      </c>
      <c r="N36" s="34" t="s">
        <v>2381</v>
      </c>
      <c r="O36" s="34" t="s">
        <v>2382</v>
      </c>
      <c r="P36" s="43">
        <v>0.593</v>
      </c>
      <c r="Q36" s="34" t="s">
        <v>1851</v>
      </c>
      <c r="R36" s="34" t="s">
        <v>484</v>
      </c>
      <c r="S36" s="34" t="s">
        <v>1382</v>
      </c>
      <c r="T36" s="43">
        <v>0.909</v>
      </c>
      <c r="U36" s="34" t="s">
        <v>2383</v>
      </c>
      <c r="V36" s="34" t="s">
        <v>1266</v>
      </c>
      <c r="W36" s="34" t="s">
        <v>2026</v>
      </c>
      <c r="X36" s="43">
        <v>1.1621</v>
      </c>
      <c r="Y36" s="34" t="s">
        <v>1807</v>
      </c>
      <c r="Z36" s="34" t="s">
        <v>2027</v>
      </c>
      <c r="AA36" s="34" t="s">
        <v>2028</v>
      </c>
      <c r="AB36" s="43">
        <v>1.1624</v>
      </c>
      <c r="AC36" s="34" t="s">
        <v>2055</v>
      </c>
      <c r="AD36" s="34" t="s">
        <v>2384</v>
      </c>
      <c r="AE36" s="34" t="s">
        <v>762</v>
      </c>
      <c r="AF36" s="43">
        <v>0.9647</v>
      </c>
      <c r="AG36" s="34" t="s">
        <v>1807</v>
      </c>
      <c r="AH36" s="34" t="s">
        <v>2385</v>
      </c>
      <c r="AI36" s="34" t="s">
        <v>2386</v>
      </c>
      <c r="AJ36" s="43">
        <v>1.4161</v>
      </c>
      <c r="AK36" s="34" t="s">
        <v>1798</v>
      </c>
      <c r="AL36" s="34" t="s">
        <v>2031</v>
      </c>
      <c r="AM36" s="34" t="s">
        <v>2387</v>
      </c>
      <c r="AN36" s="43">
        <v>1.1347</v>
      </c>
      <c r="AO36" s="34" t="s">
        <v>1812</v>
      </c>
      <c r="AP36" s="34" t="s">
        <v>2387</v>
      </c>
      <c r="AQ36" s="34" t="s">
        <v>1298</v>
      </c>
      <c r="AR36" s="43">
        <v>1.1242</v>
      </c>
      <c r="AS36" s="34" t="s">
        <v>2214</v>
      </c>
      <c r="AT36" s="34" t="s">
        <v>2388</v>
      </c>
      <c r="AU36" s="34" t="s">
        <v>1302</v>
      </c>
      <c r="AV36" s="43">
        <v>1.0107</v>
      </c>
      <c r="AW36" s="34" t="s">
        <v>1885</v>
      </c>
      <c r="AX36" s="34" t="s">
        <v>2389</v>
      </c>
      <c r="AY36" s="34" t="s">
        <v>1304</v>
      </c>
      <c r="AZ36" s="43">
        <v>0.9987</v>
      </c>
      <c r="BA36" s="34" t="s">
        <v>1801</v>
      </c>
      <c r="BB36" s="34" t="s">
        <v>2390</v>
      </c>
      <c r="BC36" s="34" t="s">
        <v>1306</v>
      </c>
      <c r="BD36" s="43">
        <v>0.9942</v>
      </c>
      <c r="BE36" s="34" t="s">
        <v>1804</v>
      </c>
      <c r="BF36" s="34" t="s">
        <v>2391</v>
      </c>
      <c r="BG36" s="34" t="s">
        <v>2392</v>
      </c>
      <c r="BH36" s="43">
        <v>0.4956</v>
      </c>
      <c r="BI36" s="34" t="s">
        <v>1854</v>
      </c>
      <c r="BJ36" s="34" t="s">
        <v>2393</v>
      </c>
      <c r="BK36" s="34" t="s">
        <v>2394</v>
      </c>
      <c r="BL36" s="43">
        <v>0.7848</v>
      </c>
      <c r="BM36" s="34" t="s">
        <v>1922</v>
      </c>
      <c r="BN36" s="34" t="s">
        <v>2394</v>
      </c>
      <c r="BO36" s="34" t="s">
        <v>2395</v>
      </c>
      <c r="BP36" s="43">
        <v>0.7783</v>
      </c>
      <c r="BQ36" s="34" t="s">
        <v>1830</v>
      </c>
    </row>
    <row r="37" ht="30" customHeight="1" spans="1:69">
      <c r="A37" s="36" t="s">
        <v>78</v>
      </c>
      <c r="B37" s="36" t="s">
        <v>79</v>
      </c>
      <c r="C37" s="36" t="s">
        <v>14</v>
      </c>
      <c r="D37" s="36" t="s">
        <v>15</v>
      </c>
      <c r="E37" s="36" t="s">
        <v>16</v>
      </c>
      <c r="F37" s="36" t="s">
        <v>1075</v>
      </c>
      <c r="G37" s="36" t="s">
        <v>1312</v>
      </c>
      <c r="H37" s="44">
        <v>0.9996</v>
      </c>
      <c r="I37" s="36" t="s">
        <v>1893</v>
      </c>
      <c r="J37" s="36" t="s">
        <v>1199</v>
      </c>
      <c r="K37" s="36" t="s">
        <v>1314</v>
      </c>
      <c r="L37" s="44">
        <v>0.9972</v>
      </c>
      <c r="M37" s="36" t="s">
        <v>1916</v>
      </c>
      <c r="N37" s="36" t="s">
        <v>905</v>
      </c>
      <c r="O37" s="36" t="s">
        <v>1316</v>
      </c>
      <c r="P37" s="44">
        <v>0.887</v>
      </c>
      <c r="Q37" s="36" t="s">
        <v>1788</v>
      </c>
      <c r="R37" s="36" t="s">
        <v>2396</v>
      </c>
      <c r="S37" s="36" t="s">
        <v>2397</v>
      </c>
      <c r="T37" s="44">
        <v>0.9968</v>
      </c>
      <c r="U37" s="36" t="s">
        <v>1818</v>
      </c>
      <c r="V37" s="36" t="s">
        <v>2398</v>
      </c>
      <c r="W37" s="36" t="s">
        <v>473</v>
      </c>
      <c r="X37" s="44">
        <v>0.9993</v>
      </c>
      <c r="Y37" s="36" t="s">
        <v>1785</v>
      </c>
      <c r="Z37" s="36" t="s">
        <v>1153</v>
      </c>
      <c r="AA37" s="36" t="s">
        <v>481</v>
      </c>
      <c r="AB37" s="44">
        <v>1.0002</v>
      </c>
      <c r="AC37" s="36" t="s">
        <v>1778</v>
      </c>
      <c r="AD37" s="36" t="s">
        <v>1606</v>
      </c>
      <c r="AE37" s="36" t="s">
        <v>2045</v>
      </c>
      <c r="AF37" s="44">
        <v>1.0004</v>
      </c>
      <c r="AG37" s="36" t="s">
        <v>1788</v>
      </c>
      <c r="AH37" s="36" t="s">
        <v>1348</v>
      </c>
      <c r="AI37" s="36" t="s">
        <v>809</v>
      </c>
      <c r="AJ37" s="44">
        <v>1.1146</v>
      </c>
      <c r="AK37" s="36" t="s">
        <v>1823</v>
      </c>
      <c r="AL37" s="36" t="s">
        <v>658</v>
      </c>
      <c r="AM37" s="36" t="s">
        <v>1086</v>
      </c>
      <c r="AN37" s="44">
        <v>0.9977</v>
      </c>
      <c r="AO37" s="36" t="s">
        <v>1794</v>
      </c>
      <c r="AP37" s="36" t="s">
        <v>1382</v>
      </c>
      <c r="AQ37" s="36" t="s">
        <v>631</v>
      </c>
      <c r="AR37" s="44">
        <v>1.1754</v>
      </c>
      <c r="AS37" s="36" t="s">
        <v>1869</v>
      </c>
      <c r="AT37" s="36" t="s">
        <v>633</v>
      </c>
      <c r="AU37" s="36" t="s">
        <v>635</v>
      </c>
      <c r="AV37" s="44">
        <v>1.0042</v>
      </c>
      <c r="AW37" s="36" t="s">
        <v>1885</v>
      </c>
      <c r="AX37" s="36" t="s">
        <v>2399</v>
      </c>
      <c r="AY37" s="36" t="s">
        <v>2400</v>
      </c>
      <c r="AZ37" s="44">
        <v>1.001</v>
      </c>
      <c r="BA37" s="36" t="s">
        <v>1801</v>
      </c>
      <c r="BB37" s="36" t="s">
        <v>1953</v>
      </c>
      <c r="BC37" s="36" t="s">
        <v>1325</v>
      </c>
      <c r="BD37" s="44">
        <v>0.9994</v>
      </c>
      <c r="BE37" s="36" t="s">
        <v>1804</v>
      </c>
      <c r="BF37" s="36" t="s">
        <v>2401</v>
      </c>
      <c r="BG37" s="36" t="s">
        <v>1327</v>
      </c>
      <c r="BH37" s="44">
        <v>1.001</v>
      </c>
      <c r="BI37" s="36" t="s">
        <v>1824</v>
      </c>
      <c r="BJ37" s="36" t="s">
        <v>1962</v>
      </c>
      <c r="BK37" s="36" t="s">
        <v>638</v>
      </c>
      <c r="BL37" s="44">
        <v>1.0006</v>
      </c>
      <c r="BM37" s="36" t="s">
        <v>1828</v>
      </c>
      <c r="BN37" s="36" t="s">
        <v>1954</v>
      </c>
      <c r="BO37" s="36" t="s">
        <v>640</v>
      </c>
      <c r="BP37" s="44">
        <v>0.9995</v>
      </c>
      <c r="BQ37" s="36" t="s">
        <v>1809</v>
      </c>
    </row>
    <row r="38" ht="30" customHeight="1" spans="1:69">
      <c r="A38" s="34" t="s">
        <v>80</v>
      </c>
      <c r="B38" s="34" t="s">
        <v>81</v>
      </c>
      <c r="C38" s="34" t="s">
        <v>14</v>
      </c>
      <c r="D38" s="34" t="s">
        <v>15</v>
      </c>
      <c r="E38" s="34" t="s">
        <v>16</v>
      </c>
      <c r="F38" s="34" t="s">
        <v>824</v>
      </c>
      <c r="G38" s="34" t="s">
        <v>1332</v>
      </c>
      <c r="H38" s="43">
        <v>1.0016</v>
      </c>
      <c r="I38" s="34" t="s">
        <v>1893</v>
      </c>
      <c r="J38" s="34" t="s">
        <v>2272</v>
      </c>
      <c r="K38" s="34" t="s">
        <v>1227</v>
      </c>
      <c r="L38" s="43">
        <v>1.0011</v>
      </c>
      <c r="M38" s="34" t="s">
        <v>1778</v>
      </c>
      <c r="N38" s="34" t="s">
        <v>2402</v>
      </c>
      <c r="O38" s="34" t="s">
        <v>2403</v>
      </c>
      <c r="P38" s="43">
        <v>0.9998</v>
      </c>
      <c r="Q38" s="34" t="s">
        <v>1781</v>
      </c>
      <c r="R38" s="34" t="s">
        <v>2404</v>
      </c>
      <c r="S38" s="34" t="s">
        <v>2405</v>
      </c>
      <c r="T38" s="43">
        <v>0.7329</v>
      </c>
      <c r="U38" s="34" t="s">
        <v>2406</v>
      </c>
      <c r="V38" s="34" t="s">
        <v>2407</v>
      </c>
      <c r="W38" s="34" t="s">
        <v>1336</v>
      </c>
      <c r="X38" s="43">
        <v>0.9986</v>
      </c>
      <c r="Y38" s="34" t="s">
        <v>1785</v>
      </c>
      <c r="Z38" s="34" t="s">
        <v>2408</v>
      </c>
      <c r="AA38" s="34" t="s">
        <v>2409</v>
      </c>
      <c r="AB38" s="43">
        <v>0.9997</v>
      </c>
      <c r="AC38" s="34" t="s">
        <v>1778</v>
      </c>
      <c r="AD38" s="34" t="s">
        <v>2410</v>
      </c>
      <c r="AE38" s="34" t="s">
        <v>2411</v>
      </c>
      <c r="AF38" s="43">
        <v>0.9973</v>
      </c>
      <c r="AG38" s="34" t="s">
        <v>1788</v>
      </c>
      <c r="AH38" s="34" t="s">
        <v>2412</v>
      </c>
      <c r="AI38" s="34" t="s">
        <v>2413</v>
      </c>
      <c r="AJ38" s="43">
        <v>0.9976</v>
      </c>
      <c r="AK38" s="34" t="s">
        <v>1791</v>
      </c>
      <c r="AL38" s="34" t="s">
        <v>2414</v>
      </c>
      <c r="AM38" s="34" t="s">
        <v>2415</v>
      </c>
      <c r="AN38" s="43">
        <v>1.0428</v>
      </c>
      <c r="AO38" s="34" t="s">
        <v>2033</v>
      </c>
      <c r="AP38" s="34" t="s">
        <v>2416</v>
      </c>
      <c r="AQ38" s="34" t="s">
        <v>2417</v>
      </c>
      <c r="AR38" s="43">
        <v>0.8709</v>
      </c>
      <c r="AS38" s="34" t="s">
        <v>1788</v>
      </c>
      <c r="AT38" s="34" t="s">
        <v>2418</v>
      </c>
      <c r="AU38" s="34" t="s">
        <v>1344</v>
      </c>
      <c r="AV38" s="43">
        <v>0.9136</v>
      </c>
      <c r="AW38" s="34" t="s">
        <v>1916</v>
      </c>
      <c r="AX38" s="34" t="s">
        <v>2419</v>
      </c>
      <c r="AY38" s="34" t="s">
        <v>2420</v>
      </c>
      <c r="AZ38" s="43">
        <v>1.0009</v>
      </c>
      <c r="BA38" s="34" t="s">
        <v>1801</v>
      </c>
      <c r="BB38" s="34" t="s">
        <v>2421</v>
      </c>
      <c r="BC38" s="34" t="s">
        <v>1467</v>
      </c>
      <c r="BD38" s="43">
        <v>0.8572</v>
      </c>
      <c r="BE38" s="34" t="s">
        <v>1875</v>
      </c>
      <c r="BF38" s="34" t="s">
        <v>1469</v>
      </c>
      <c r="BG38" s="34" t="s">
        <v>807</v>
      </c>
      <c r="BH38" s="43">
        <v>1</v>
      </c>
      <c r="BI38" s="34" t="s">
        <v>1824</v>
      </c>
      <c r="BJ38" s="34" t="s">
        <v>1319</v>
      </c>
      <c r="BK38" s="34" t="s">
        <v>1158</v>
      </c>
      <c r="BL38" s="43">
        <v>0.9989</v>
      </c>
      <c r="BM38" s="34" t="s">
        <v>1828</v>
      </c>
      <c r="BN38" s="34" t="s">
        <v>2045</v>
      </c>
      <c r="BO38" s="34" t="s">
        <v>733</v>
      </c>
      <c r="BP38" s="43">
        <v>0.9972</v>
      </c>
      <c r="BQ38" s="34" t="s">
        <v>1809</v>
      </c>
    </row>
    <row r="39" ht="30" customHeight="1" spans="1:69">
      <c r="A39" s="36" t="s">
        <v>82</v>
      </c>
      <c r="B39" s="36" t="s">
        <v>83</v>
      </c>
      <c r="C39" s="36" t="s">
        <v>14</v>
      </c>
      <c r="D39" s="36" t="s">
        <v>15</v>
      </c>
      <c r="E39" s="36" t="s">
        <v>16</v>
      </c>
      <c r="F39" s="36" t="s">
        <v>1352</v>
      </c>
      <c r="G39" s="36" t="s">
        <v>858</v>
      </c>
      <c r="H39" s="44">
        <v>0.508</v>
      </c>
      <c r="I39" s="36" t="s">
        <v>1921</v>
      </c>
      <c r="J39" s="36" t="s">
        <v>876</v>
      </c>
      <c r="K39" s="36" t="s">
        <v>1198</v>
      </c>
      <c r="L39" s="44">
        <v>0.4998</v>
      </c>
      <c r="M39" s="36" t="s">
        <v>1875</v>
      </c>
      <c r="N39" s="36" t="s">
        <v>2422</v>
      </c>
      <c r="O39" s="36" t="s">
        <v>2423</v>
      </c>
      <c r="P39" s="44">
        <v>0.5211</v>
      </c>
      <c r="Q39" s="36" t="s">
        <v>1927</v>
      </c>
      <c r="R39" s="36" t="s">
        <v>2424</v>
      </c>
      <c r="S39" s="36" t="s">
        <v>801</v>
      </c>
      <c r="T39" s="44">
        <v>0.4348</v>
      </c>
      <c r="U39" s="36" t="s">
        <v>1788</v>
      </c>
      <c r="V39" s="36" t="s">
        <v>1680</v>
      </c>
      <c r="W39" s="36" t="s">
        <v>2425</v>
      </c>
      <c r="X39" s="44">
        <v>0.4996</v>
      </c>
      <c r="Y39" s="36" t="s">
        <v>1950</v>
      </c>
      <c r="Z39" s="36" t="s">
        <v>2426</v>
      </c>
      <c r="AA39" s="36" t="s">
        <v>2427</v>
      </c>
      <c r="AB39" s="44">
        <v>0.5002</v>
      </c>
      <c r="AC39" s="36" t="s">
        <v>1875</v>
      </c>
      <c r="AD39" s="36" t="s">
        <v>2428</v>
      </c>
      <c r="AE39" s="36" t="s">
        <v>2429</v>
      </c>
      <c r="AF39" s="44">
        <v>0.5015</v>
      </c>
      <c r="AG39" s="36" t="s">
        <v>1921</v>
      </c>
      <c r="AH39" s="36" t="s">
        <v>2430</v>
      </c>
      <c r="AI39" s="36" t="s">
        <v>2431</v>
      </c>
      <c r="AJ39" s="44">
        <v>0.5003</v>
      </c>
      <c r="AK39" s="36" t="s">
        <v>1951</v>
      </c>
      <c r="AL39" s="36" t="s">
        <v>2432</v>
      </c>
      <c r="AM39" s="36" t="s">
        <v>2433</v>
      </c>
      <c r="AN39" s="44">
        <v>0.5045</v>
      </c>
      <c r="AO39" s="36" t="s">
        <v>1952</v>
      </c>
      <c r="AP39" s="36" t="s">
        <v>2434</v>
      </c>
      <c r="AQ39" s="36" t="s">
        <v>2435</v>
      </c>
      <c r="AR39" s="44">
        <v>0.5001</v>
      </c>
      <c r="AS39" s="36" t="s">
        <v>1927</v>
      </c>
      <c r="AT39" s="36" t="s">
        <v>2436</v>
      </c>
      <c r="AU39" s="36" t="s">
        <v>2437</v>
      </c>
      <c r="AV39" s="44">
        <v>0.5106</v>
      </c>
      <c r="AW39" s="36" t="s">
        <v>1824</v>
      </c>
      <c r="AX39" s="36" t="s">
        <v>2438</v>
      </c>
      <c r="AY39" s="36" t="s">
        <v>2439</v>
      </c>
      <c r="AZ39" s="44">
        <v>0.8345</v>
      </c>
      <c r="BA39" s="36" t="s">
        <v>1898</v>
      </c>
      <c r="BB39" s="36" t="s">
        <v>2440</v>
      </c>
      <c r="BC39" s="36" t="s">
        <v>2441</v>
      </c>
      <c r="BD39" s="44">
        <v>0.6812</v>
      </c>
      <c r="BE39" s="36" t="s">
        <v>1982</v>
      </c>
      <c r="BF39" s="36" t="s">
        <v>2441</v>
      </c>
      <c r="BG39" s="36" t="s">
        <v>2442</v>
      </c>
      <c r="BH39" s="44">
        <v>0.5067</v>
      </c>
      <c r="BI39" s="36" t="s">
        <v>1854</v>
      </c>
      <c r="BJ39" s="36" t="s">
        <v>2443</v>
      </c>
      <c r="BK39" s="36" t="s">
        <v>2444</v>
      </c>
      <c r="BL39" s="44">
        <v>0.5131</v>
      </c>
      <c r="BM39" s="36" t="s">
        <v>1859</v>
      </c>
      <c r="BN39" s="36" t="s">
        <v>2445</v>
      </c>
      <c r="BO39" s="36" t="s">
        <v>2446</v>
      </c>
      <c r="BP39" s="44">
        <v>0.5075</v>
      </c>
      <c r="BQ39" s="36" t="s">
        <v>1950</v>
      </c>
    </row>
    <row r="40" ht="30" customHeight="1" spans="1:69">
      <c r="A40" s="34" t="s">
        <v>84</v>
      </c>
      <c r="B40" s="34" t="s">
        <v>85</v>
      </c>
      <c r="C40" s="34" t="s">
        <v>14</v>
      </c>
      <c r="D40" s="34" t="s">
        <v>15</v>
      </c>
      <c r="E40" s="34" t="s">
        <v>16</v>
      </c>
      <c r="F40" s="34" t="s">
        <v>1705</v>
      </c>
      <c r="G40" s="34" t="s">
        <v>1022</v>
      </c>
      <c r="H40" s="43">
        <v>0.708</v>
      </c>
      <c r="I40" s="34" t="s">
        <v>1804</v>
      </c>
      <c r="J40" s="34" t="s">
        <v>1197</v>
      </c>
      <c r="K40" s="34" t="s">
        <v>1372</v>
      </c>
      <c r="L40" s="43">
        <v>0.51</v>
      </c>
      <c r="M40" s="34" t="s">
        <v>1922</v>
      </c>
      <c r="N40" s="34" t="s">
        <v>1079</v>
      </c>
      <c r="O40" s="34" t="s">
        <v>2447</v>
      </c>
      <c r="P40" s="43">
        <v>0.8511</v>
      </c>
      <c r="Q40" s="34" t="s">
        <v>1807</v>
      </c>
      <c r="R40" s="34" t="s">
        <v>2448</v>
      </c>
      <c r="S40" s="34" t="s">
        <v>2449</v>
      </c>
      <c r="T40" s="43">
        <v>0.434</v>
      </c>
      <c r="U40" s="34" t="s">
        <v>1788</v>
      </c>
      <c r="V40" s="34" t="s">
        <v>721</v>
      </c>
      <c r="W40" s="34" t="s">
        <v>778</v>
      </c>
      <c r="X40" s="43">
        <v>0.5086</v>
      </c>
      <c r="Y40" s="34" t="s">
        <v>1950</v>
      </c>
      <c r="Z40" s="34" t="s">
        <v>2117</v>
      </c>
      <c r="AA40" s="34" t="s">
        <v>1376</v>
      </c>
      <c r="AB40" s="43">
        <v>1.0043</v>
      </c>
      <c r="AC40" s="34" t="s">
        <v>1778</v>
      </c>
      <c r="AD40" s="34" t="s">
        <v>1840</v>
      </c>
      <c r="AE40" s="34" t="s">
        <v>2450</v>
      </c>
      <c r="AF40" s="43">
        <v>0.5013</v>
      </c>
      <c r="AG40" s="34" t="s">
        <v>1921</v>
      </c>
      <c r="AH40" s="34" t="s">
        <v>2451</v>
      </c>
      <c r="AI40" s="34" t="s">
        <v>2452</v>
      </c>
      <c r="AJ40" s="43">
        <v>0.499</v>
      </c>
      <c r="AK40" s="34" t="s">
        <v>1951</v>
      </c>
      <c r="AL40" s="34" t="s">
        <v>2453</v>
      </c>
      <c r="AM40" s="34" t="s">
        <v>2454</v>
      </c>
      <c r="AN40" s="43">
        <v>0.6137</v>
      </c>
      <c r="AO40" s="34" t="s">
        <v>1830</v>
      </c>
      <c r="AP40" s="34" t="s">
        <v>1320</v>
      </c>
      <c r="AQ40" s="34" t="s">
        <v>483</v>
      </c>
      <c r="AR40" s="43">
        <v>0.5079</v>
      </c>
      <c r="AS40" s="34" t="s">
        <v>1927</v>
      </c>
      <c r="AT40" s="34" t="s">
        <v>2118</v>
      </c>
      <c r="AU40" s="34" t="s">
        <v>975</v>
      </c>
      <c r="AV40" s="43">
        <v>0.6301</v>
      </c>
      <c r="AW40" s="34" t="s">
        <v>1809</v>
      </c>
      <c r="AX40" s="34" t="s">
        <v>2455</v>
      </c>
      <c r="AY40" s="34" t="s">
        <v>2456</v>
      </c>
      <c r="AZ40" s="43">
        <v>0.5114</v>
      </c>
      <c r="BA40" s="34" t="s">
        <v>1907</v>
      </c>
      <c r="BB40" s="34" t="s">
        <v>977</v>
      </c>
      <c r="BC40" s="34" t="s">
        <v>2163</v>
      </c>
      <c r="BD40" s="43">
        <v>0.4955</v>
      </c>
      <c r="BE40" s="34" t="s">
        <v>1854</v>
      </c>
      <c r="BF40" s="34" t="s">
        <v>1478</v>
      </c>
      <c r="BG40" s="34" t="s">
        <v>979</v>
      </c>
      <c r="BH40" s="43">
        <v>0.499</v>
      </c>
      <c r="BI40" s="34" t="s">
        <v>1854</v>
      </c>
      <c r="BJ40" s="34" t="s">
        <v>979</v>
      </c>
      <c r="BK40" s="34" t="s">
        <v>669</v>
      </c>
      <c r="BL40" s="43">
        <v>0.4983</v>
      </c>
      <c r="BM40" s="34" t="s">
        <v>1856</v>
      </c>
      <c r="BN40" s="34" t="s">
        <v>1969</v>
      </c>
      <c r="BO40" s="34" t="s">
        <v>1160</v>
      </c>
      <c r="BP40" s="43">
        <v>0.4969</v>
      </c>
      <c r="BQ40" s="34" t="s">
        <v>1859</v>
      </c>
    </row>
    <row r="41" ht="30" customHeight="1" spans="1:69">
      <c r="A41" s="36" t="s">
        <v>86</v>
      </c>
      <c r="B41" s="36" t="s">
        <v>87</v>
      </c>
      <c r="C41" s="36" t="s">
        <v>14</v>
      </c>
      <c r="D41" s="36" t="s">
        <v>15</v>
      </c>
      <c r="E41" s="36" t="s">
        <v>16</v>
      </c>
      <c r="F41" s="36" t="s">
        <v>2457</v>
      </c>
      <c r="G41" s="36" t="s">
        <v>2458</v>
      </c>
      <c r="H41" s="44">
        <v>0.5179</v>
      </c>
      <c r="I41" s="36" t="s">
        <v>1921</v>
      </c>
      <c r="J41" s="36" t="s">
        <v>1075</v>
      </c>
      <c r="K41" s="36" t="s">
        <v>1076</v>
      </c>
      <c r="L41" s="44">
        <v>1.5802</v>
      </c>
      <c r="M41" s="36" t="s">
        <v>2251</v>
      </c>
      <c r="N41" s="36" t="s">
        <v>795</v>
      </c>
      <c r="O41" s="36" t="s">
        <v>2333</v>
      </c>
      <c r="P41" s="44">
        <v>1.0893</v>
      </c>
      <c r="Q41" s="36" t="s">
        <v>1778</v>
      </c>
      <c r="R41" s="36" t="s">
        <v>1787</v>
      </c>
      <c r="S41" s="36" t="s">
        <v>1790</v>
      </c>
      <c r="T41" s="44">
        <v>1.0865</v>
      </c>
      <c r="U41" s="36" t="s">
        <v>1835</v>
      </c>
      <c r="V41" s="36" t="s">
        <v>2459</v>
      </c>
      <c r="W41" s="36" t="s">
        <v>2460</v>
      </c>
      <c r="X41" s="44">
        <v>0.9982</v>
      </c>
      <c r="Y41" s="36" t="s">
        <v>1785</v>
      </c>
      <c r="Z41" s="36" t="s">
        <v>1394</v>
      </c>
      <c r="AA41" s="36" t="s">
        <v>2461</v>
      </c>
      <c r="AB41" s="44">
        <v>1.1175</v>
      </c>
      <c r="AC41" s="36" t="s">
        <v>1961</v>
      </c>
      <c r="AD41" s="36" t="s">
        <v>2462</v>
      </c>
      <c r="AE41" s="36" t="s">
        <v>870</v>
      </c>
      <c r="AF41" s="44">
        <v>1</v>
      </c>
      <c r="AG41" s="36" t="s">
        <v>1788</v>
      </c>
      <c r="AH41" s="36" t="s">
        <v>2094</v>
      </c>
      <c r="AI41" s="36" t="s">
        <v>2463</v>
      </c>
      <c r="AJ41" s="44">
        <v>0.9979</v>
      </c>
      <c r="AK41" s="36" t="s">
        <v>1791</v>
      </c>
      <c r="AL41" s="36" t="s">
        <v>2464</v>
      </c>
      <c r="AM41" s="36" t="s">
        <v>2465</v>
      </c>
      <c r="AN41" s="44">
        <v>0.9984</v>
      </c>
      <c r="AO41" s="36" t="s">
        <v>1794</v>
      </c>
      <c r="AP41" s="36" t="s">
        <v>2465</v>
      </c>
      <c r="AQ41" s="36" t="s">
        <v>2466</v>
      </c>
      <c r="AR41" s="44">
        <v>0.9994</v>
      </c>
      <c r="AS41" s="36" t="s">
        <v>1848</v>
      </c>
      <c r="AT41" s="36" t="s">
        <v>2467</v>
      </c>
      <c r="AU41" s="36" t="s">
        <v>2468</v>
      </c>
      <c r="AV41" s="44">
        <v>0.9994</v>
      </c>
      <c r="AW41" s="36" t="s">
        <v>1798</v>
      </c>
      <c r="AX41" s="36" t="s">
        <v>2366</v>
      </c>
      <c r="AY41" s="36" t="s">
        <v>1266</v>
      </c>
      <c r="AZ41" s="44">
        <v>0.9975</v>
      </c>
      <c r="BA41" s="36" t="s">
        <v>1801</v>
      </c>
      <c r="BB41" s="36" t="s">
        <v>628</v>
      </c>
      <c r="BC41" s="36" t="s">
        <v>1086</v>
      </c>
      <c r="BD41" s="44">
        <v>1.3958</v>
      </c>
      <c r="BE41" s="36" t="s">
        <v>1893</v>
      </c>
      <c r="BF41" s="36" t="s">
        <v>753</v>
      </c>
      <c r="BG41" s="36" t="s">
        <v>872</v>
      </c>
      <c r="BH41" s="44">
        <v>1.2302</v>
      </c>
      <c r="BI41" s="36" t="s">
        <v>1785</v>
      </c>
      <c r="BJ41" s="36" t="s">
        <v>911</v>
      </c>
      <c r="BK41" s="36" t="s">
        <v>633</v>
      </c>
      <c r="BL41" s="44">
        <v>0.9966</v>
      </c>
      <c r="BM41" s="36" t="s">
        <v>1828</v>
      </c>
      <c r="BN41" s="36" t="s">
        <v>660</v>
      </c>
      <c r="BO41" s="36" t="s">
        <v>1324</v>
      </c>
      <c r="BP41" s="44">
        <v>1.4094</v>
      </c>
      <c r="BQ41" s="36" t="s">
        <v>1864</v>
      </c>
    </row>
    <row r="42" ht="30" customHeight="1" spans="1:69">
      <c r="A42" s="34" t="s">
        <v>88</v>
      </c>
      <c r="B42" s="34" t="s">
        <v>89</v>
      </c>
      <c r="C42" s="34" t="s">
        <v>14</v>
      </c>
      <c r="D42" s="34" t="s">
        <v>15</v>
      </c>
      <c r="E42" s="34" t="s">
        <v>16</v>
      </c>
      <c r="F42" s="34" t="s">
        <v>965</v>
      </c>
      <c r="G42" s="34" t="s">
        <v>1408</v>
      </c>
      <c r="H42" s="43">
        <v>1.002</v>
      </c>
      <c r="I42" s="34" t="s">
        <v>1893</v>
      </c>
      <c r="J42" s="34" t="s">
        <v>1920</v>
      </c>
      <c r="K42" s="34" t="s">
        <v>2307</v>
      </c>
      <c r="L42" s="43">
        <v>0.9798</v>
      </c>
      <c r="M42" s="34" t="s">
        <v>1812</v>
      </c>
      <c r="N42" s="34" t="s">
        <v>2469</v>
      </c>
      <c r="O42" s="34" t="s">
        <v>2064</v>
      </c>
      <c r="P42" s="43">
        <v>1.0011</v>
      </c>
      <c r="Q42" s="34" t="s">
        <v>1781</v>
      </c>
      <c r="R42" s="34" t="s">
        <v>2016</v>
      </c>
      <c r="S42" s="34" t="s">
        <v>655</v>
      </c>
      <c r="T42" s="43">
        <v>0.8695</v>
      </c>
      <c r="U42" s="34" t="s">
        <v>2066</v>
      </c>
      <c r="V42" s="34" t="s">
        <v>2470</v>
      </c>
      <c r="W42" s="34" t="s">
        <v>2471</v>
      </c>
      <c r="X42" s="43">
        <v>1.1054</v>
      </c>
      <c r="Y42" s="34" t="s">
        <v>1791</v>
      </c>
      <c r="Z42" s="34" t="s">
        <v>1344</v>
      </c>
      <c r="AA42" s="34" t="s">
        <v>2472</v>
      </c>
      <c r="AB42" s="43">
        <v>1.1622</v>
      </c>
      <c r="AC42" s="34" t="s">
        <v>2055</v>
      </c>
      <c r="AD42" s="34" t="s">
        <v>1904</v>
      </c>
      <c r="AE42" s="34" t="s">
        <v>2473</v>
      </c>
      <c r="AF42" s="43">
        <v>1.0003</v>
      </c>
      <c r="AG42" s="34" t="s">
        <v>1788</v>
      </c>
      <c r="AH42" s="34" t="s">
        <v>601</v>
      </c>
      <c r="AI42" s="34" t="s">
        <v>602</v>
      </c>
      <c r="AJ42" s="43">
        <v>0.9979</v>
      </c>
      <c r="AK42" s="34" t="s">
        <v>1791</v>
      </c>
      <c r="AL42" s="34" t="s">
        <v>659</v>
      </c>
      <c r="AM42" s="34" t="s">
        <v>1291</v>
      </c>
      <c r="AN42" s="43">
        <v>1.004</v>
      </c>
      <c r="AO42" s="34" t="s">
        <v>1794</v>
      </c>
      <c r="AP42" s="34" t="s">
        <v>2057</v>
      </c>
      <c r="AQ42" s="34" t="s">
        <v>2474</v>
      </c>
      <c r="AR42" s="43">
        <v>1.1584</v>
      </c>
      <c r="AS42" s="34" t="s">
        <v>1885</v>
      </c>
      <c r="AT42" s="34" t="s">
        <v>815</v>
      </c>
      <c r="AU42" s="34" t="s">
        <v>1039</v>
      </c>
      <c r="AV42" s="43">
        <v>1.19</v>
      </c>
      <c r="AW42" s="34" t="s">
        <v>1776</v>
      </c>
      <c r="AX42" s="34" t="s">
        <v>2475</v>
      </c>
      <c r="AY42" s="34" t="s">
        <v>1421</v>
      </c>
      <c r="AZ42" s="43">
        <v>1.0005</v>
      </c>
      <c r="BA42" s="34" t="s">
        <v>1801</v>
      </c>
      <c r="BB42" s="34" t="s">
        <v>2476</v>
      </c>
      <c r="BC42" s="34" t="s">
        <v>2477</v>
      </c>
      <c r="BD42" s="43">
        <v>0.9991</v>
      </c>
      <c r="BE42" s="34" t="s">
        <v>1804</v>
      </c>
      <c r="BF42" s="34" t="s">
        <v>2478</v>
      </c>
      <c r="BG42" s="34" t="s">
        <v>1425</v>
      </c>
      <c r="BH42" s="43">
        <v>1.0025</v>
      </c>
      <c r="BI42" s="34" t="s">
        <v>1824</v>
      </c>
      <c r="BJ42" s="34" t="s">
        <v>2479</v>
      </c>
      <c r="BK42" s="34" t="s">
        <v>1426</v>
      </c>
      <c r="BL42" s="43">
        <v>1.0001</v>
      </c>
      <c r="BM42" s="34" t="s">
        <v>1828</v>
      </c>
      <c r="BN42" s="34" t="s">
        <v>2480</v>
      </c>
      <c r="BO42" s="34" t="s">
        <v>2481</v>
      </c>
      <c r="BP42" s="43">
        <v>0.9992</v>
      </c>
      <c r="BQ42" s="34" t="s">
        <v>1809</v>
      </c>
    </row>
    <row r="43" ht="30" customHeight="1" spans="1:69">
      <c r="A43" s="36" t="s">
        <v>90</v>
      </c>
      <c r="B43" s="36" t="s">
        <v>91</v>
      </c>
      <c r="C43" s="36" t="s">
        <v>14</v>
      </c>
      <c r="D43" s="36" t="s">
        <v>15</v>
      </c>
      <c r="E43" s="36" t="s">
        <v>16</v>
      </c>
      <c r="F43" s="36" t="s">
        <v>2482</v>
      </c>
      <c r="G43" s="36" t="s">
        <v>1431</v>
      </c>
      <c r="H43" s="44">
        <v>1.0053</v>
      </c>
      <c r="I43" s="36" t="s">
        <v>1893</v>
      </c>
      <c r="J43" s="36" t="s">
        <v>2483</v>
      </c>
      <c r="K43" s="36" t="s">
        <v>2484</v>
      </c>
      <c r="L43" s="44">
        <v>0.9989</v>
      </c>
      <c r="M43" s="36" t="s">
        <v>1916</v>
      </c>
      <c r="N43" s="36" t="s">
        <v>2485</v>
      </c>
      <c r="O43" s="36" t="s">
        <v>2486</v>
      </c>
      <c r="P43" s="44">
        <v>1.0015</v>
      </c>
      <c r="Q43" s="36" t="s">
        <v>1781</v>
      </c>
      <c r="R43" s="36" t="s">
        <v>2487</v>
      </c>
      <c r="S43" s="36" t="s">
        <v>2488</v>
      </c>
      <c r="T43" s="44">
        <v>1.0771</v>
      </c>
      <c r="U43" s="36" t="s">
        <v>2310</v>
      </c>
      <c r="V43" s="36" t="s">
        <v>2489</v>
      </c>
      <c r="W43" s="36" t="s">
        <v>2490</v>
      </c>
      <c r="X43" s="44">
        <v>0.9972</v>
      </c>
      <c r="Y43" s="36" t="s">
        <v>1785</v>
      </c>
      <c r="Z43" s="36" t="s">
        <v>800</v>
      </c>
      <c r="AA43" s="36" t="s">
        <v>2426</v>
      </c>
      <c r="AB43" s="44">
        <v>1.0009</v>
      </c>
      <c r="AC43" s="36" t="s">
        <v>1778</v>
      </c>
      <c r="AD43" s="36" t="s">
        <v>2491</v>
      </c>
      <c r="AE43" s="36" t="s">
        <v>2492</v>
      </c>
      <c r="AF43" s="44">
        <v>1.1337</v>
      </c>
      <c r="AG43" s="36" t="s">
        <v>1848</v>
      </c>
      <c r="AH43" s="36" t="s">
        <v>2493</v>
      </c>
      <c r="AI43" s="36" t="s">
        <v>2494</v>
      </c>
      <c r="AJ43" s="44">
        <v>0.9998</v>
      </c>
      <c r="AK43" s="36" t="s">
        <v>1791</v>
      </c>
      <c r="AL43" s="36" t="s">
        <v>2495</v>
      </c>
      <c r="AM43" s="36" t="s">
        <v>2496</v>
      </c>
      <c r="AN43" s="44">
        <v>1.0129</v>
      </c>
      <c r="AO43" s="36" t="s">
        <v>1794</v>
      </c>
      <c r="AP43" s="36" t="s">
        <v>2497</v>
      </c>
      <c r="AQ43" s="36" t="s">
        <v>2498</v>
      </c>
      <c r="AR43" s="44">
        <v>0.9984</v>
      </c>
      <c r="AS43" s="36" t="s">
        <v>1848</v>
      </c>
      <c r="AT43" s="36" t="s">
        <v>2499</v>
      </c>
      <c r="AU43" s="36" t="s">
        <v>1451</v>
      </c>
      <c r="AV43" s="44">
        <v>0.9982</v>
      </c>
      <c r="AW43" s="36" t="s">
        <v>1798</v>
      </c>
      <c r="AX43" s="36" t="s">
        <v>2500</v>
      </c>
      <c r="AY43" s="36" t="s">
        <v>2501</v>
      </c>
      <c r="AZ43" s="44">
        <v>1.2241</v>
      </c>
      <c r="BA43" s="36" t="s">
        <v>2033</v>
      </c>
      <c r="BB43" s="36" t="s">
        <v>2502</v>
      </c>
      <c r="BC43" s="36" t="s">
        <v>2503</v>
      </c>
      <c r="BD43" s="44">
        <v>1.2238</v>
      </c>
      <c r="BE43" s="36" t="s">
        <v>1977</v>
      </c>
      <c r="BF43" s="36" t="s">
        <v>2504</v>
      </c>
      <c r="BG43" s="36" t="s">
        <v>2505</v>
      </c>
      <c r="BH43" s="44">
        <v>1.2916</v>
      </c>
      <c r="BI43" s="36" t="s">
        <v>1801</v>
      </c>
      <c r="BJ43" s="36" t="s">
        <v>2506</v>
      </c>
      <c r="BK43" s="36" t="s">
        <v>1459</v>
      </c>
      <c r="BL43" s="44">
        <v>1.1989</v>
      </c>
      <c r="BM43" s="36" t="s">
        <v>1861</v>
      </c>
      <c r="BN43" s="36" t="s">
        <v>2507</v>
      </c>
      <c r="BO43" s="36" t="s">
        <v>2508</v>
      </c>
      <c r="BP43" s="44">
        <v>1.2398</v>
      </c>
      <c r="BQ43" s="36" t="s">
        <v>1823</v>
      </c>
    </row>
    <row r="44" ht="30" customHeight="1" spans="1:69">
      <c r="A44" s="34" t="s">
        <v>92</v>
      </c>
      <c r="B44" s="34" t="s">
        <v>93</v>
      </c>
      <c r="C44" s="34" t="s">
        <v>14</v>
      </c>
      <c r="D44" s="34" t="s">
        <v>15</v>
      </c>
      <c r="E44" s="34" t="s">
        <v>16</v>
      </c>
      <c r="F44" s="34" t="s">
        <v>1075</v>
      </c>
      <c r="G44" s="34" t="s">
        <v>1463</v>
      </c>
      <c r="H44" s="43">
        <v>5.3045</v>
      </c>
      <c r="I44" s="34" t="s">
        <v>2509</v>
      </c>
      <c r="J44" s="34" t="s">
        <v>2114</v>
      </c>
      <c r="K44" s="34" t="s">
        <v>2469</v>
      </c>
      <c r="L44" s="43">
        <v>0.5065</v>
      </c>
      <c r="M44" s="34" t="s">
        <v>1922</v>
      </c>
      <c r="N44" s="34" t="s">
        <v>2115</v>
      </c>
      <c r="O44" s="34" t="s">
        <v>1313</v>
      </c>
      <c r="P44" s="43">
        <v>0.4976</v>
      </c>
      <c r="Q44" s="34" t="s">
        <v>1872</v>
      </c>
      <c r="R44" s="34" t="s">
        <v>1315</v>
      </c>
      <c r="S44" s="34" t="s">
        <v>2510</v>
      </c>
      <c r="T44" s="43">
        <v>0.637</v>
      </c>
      <c r="U44" s="34" t="s">
        <v>1970</v>
      </c>
      <c r="V44" s="34" t="s">
        <v>1104</v>
      </c>
      <c r="W44" s="34" t="s">
        <v>909</v>
      </c>
      <c r="X44" s="43">
        <v>0.4991</v>
      </c>
      <c r="Y44" s="34" t="s">
        <v>1950</v>
      </c>
      <c r="Z44" s="34" t="s">
        <v>655</v>
      </c>
      <c r="AA44" s="34" t="s">
        <v>721</v>
      </c>
      <c r="AB44" s="43">
        <v>0.9488</v>
      </c>
      <c r="AC44" s="34" t="s">
        <v>1864</v>
      </c>
      <c r="AD44" s="34" t="s">
        <v>721</v>
      </c>
      <c r="AE44" s="34" t="s">
        <v>657</v>
      </c>
      <c r="AF44" s="43">
        <v>0.6684</v>
      </c>
      <c r="AG44" s="34" t="s">
        <v>1824</v>
      </c>
      <c r="AH44" s="34" t="s">
        <v>2511</v>
      </c>
      <c r="AI44" s="34" t="s">
        <v>1082</v>
      </c>
      <c r="AJ44" s="43">
        <v>0.6655</v>
      </c>
      <c r="AK44" s="34" t="s">
        <v>1875</v>
      </c>
      <c r="AL44" s="34" t="s">
        <v>2512</v>
      </c>
      <c r="AM44" s="34" t="s">
        <v>1468</v>
      </c>
      <c r="AN44" s="43">
        <v>1.0039</v>
      </c>
      <c r="AO44" s="34" t="s">
        <v>1794</v>
      </c>
      <c r="AP44" s="34" t="s">
        <v>2513</v>
      </c>
      <c r="AQ44" s="34" t="s">
        <v>626</v>
      </c>
      <c r="AR44" s="43">
        <v>0.9999</v>
      </c>
      <c r="AS44" s="34" t="s">
        <v>1848</v>
      </c>
      <c r="AT44" s="34" t="s">
        <v>807</v>
      </c>
      <c r="AU44" s="34" t="s">
        <v>1320</v>
      </c>
      <c r="AV44" s="43">
        <v>0.9995</v>
      </c>
      <c r="AW44" s="34" t="s">
        <v>1798</v>
      </c>
      <c r="AX44" s="34" t="s">
        <v>2514</v>
      </c>
      <c r="AY44" s="34" t="s">
        <v>2515</v>
      </c>
      <c r="AZ44" s="43">
        <v>1.0014</v>
      </c>
      <c r="BA44" s="34" t="s">
        <v>1801</v>
      </c>
      <c r="BB44" s="34" t="s">
        <v>658</v>
      </c>
      <c r="BC44" s="34" t="s">
        <v>486</v>
      </c>
      <c r="BD44" s="43">
        <v>0.9978</v>
      </c>
      <c r="BE44" s="34" t="s">
        <v>1804</v>
      </c>
      <c r="BF44" s="34" t="s">
        <v>2516</v>
      </c>
      <c r="BG44" s="34" t="s">
        <v>2517</v>
      </c>
      <c r="BH44" s="43">
        <v>1.0005</v>
      </c>
      <c r="BI44" s="34" t="s">
        <v>1824</v>
      </c>
      <c r="BJ44" s="34" t="s">
        <v>2518</v>
      </c>
      <c r="BK44" s="34" t="s">
        <v>1473</v>
      </c>
      <c r="BL44" s="43">
        <v>0.9159</v>
      </c>
      <c r="BM44" s="34" t="s">
        <v>2042</v>
      </c>
      <c r="BN44" s="34" t="s">
        <v>2519</v>
      </c>
      <c r="BO44" s="34" t="s">
        <v>2520</v>
      </c>
      <c r="BP44" s="43">
        <v>0.7989</v>
      </c>
      <c r="BQ44" s="34" t="s">
        <v>1851</v>
      </c>
    </row>
    <row r="45" ht="30" customHeight="1" spans="1:69">
      <c r="A45" s="36" t="s">
        <v>94</v>
      </c>
      <c r="B45" s="36" t="s">
        <v>95</v>
      </c>
      <c r="C45" s="36" t="s">
        <v>14</v>
      </c>
      <c r="D45" s="36" t="s">
        <v>15</v>
      </c>
      <c r="E45" s="36" t="s">
        <v>16</v>
      </c>
      <c r="F45" s="36" t="s">
        <v>2521</v>
      </c>
      <c r="G45" s="36" t="s">
        <v>1286</v>
      </c>
      <c r="H45" s="44">
        <v>1.0156</v>
      </c>
      <c r="I45" s="36" t="s">
        <v>1788</v>
      </c>
      <c r="J45" s="36" t="s">
        <v>1026</v>
      </c>
      <c r="K45" s="36" t="s">
        <v>748</v>
      </c>
      <c r="L45" s="44">
        <v>0.9986</v>
      </c>
      <c r="M45" s="36" t="s">
        <v>1916</v>
      </c>
      <c r="N45" s="36" t="s">
        <v>2522</v>
      </c>
      <c r="O45" s="36" t="s">
        <v>1347</v>
      </c>
      <c r="P45" s="44">
        <v>1.0072</v>
      </c>
      <c r="Q45" s="36" t="s">
        <v>1848</v>
      </c>
      <c r="R45" s="36" t="s">
        <v>1564</v>
      </c>
      <c r="S45" s="36" t="s">
        <v>2523</v>
      </c>
      <c r="T45" s="44">
        <v>1.0405</v>
      </c>
      <c r="U45" s="36" t="s">
        <v>2524</v>
      </c>
      <c r="V45" s="36" t="s">
        <v>977</v>
      </c>
      <c r="W45" s="36" t="s">
        <v>978</v>
      </c>
      <c r="X45" s="44">
        <v>0.9965</v>
      </c>
      <c r="Y45" s="36" t="s">
        <v>1785</v>
      </c>
      <c r="Z45" s="36" t="s">
        <v>979</v>
      </c>
      <c r="AA45" s="36" t="s">
        <v>487</v>
      </c>
      <c r="AB45" s="44">
        <v>1.0899</v>
      </c>
      <c r="AC45" s="36" t="s">
        <v>1885</v>
      </c>
      <c r="AD45" s="36" t="s">
        <v>1114</v>
      </c>
      <c r="AE45" s="36" t="s">
        <v>1162</v>
      </c>
      <c r="AF45" s="44">
        <v>1.1614</v>
      </c>
      <c r="AG45" s="36" t="s">
        <v>1864</v>
      </c>
      <c r="AH45" s="36" t="s">
        <v>738</v>
      </c>
      <c r="AI45" s="36" t="s">
        <v>2098</v>
      </c>
      <c r="AJ45" s="44">
        <v>0.9965</v>
      </c>
      <c r="AK45" s="36" t="s">
        <v>1791</v>
      </c>
      <c r="AL45" s="36" t="s">
        <v>492</v>
      </c>
      <c r="AM45" s="36" t="s">
        <v>1481</v>
      </c>
      <c r="AN45" s="44">
        <v>0.9968</v>
      </c>
      <c r="AO45" s="36" t="s">
        <v>1794</v>
      </c>
      <c r="AP45" s="36" t="s">
        <v>494</v>
      </c>
      <c r="AQ45" s="36" t="s">
        <v>587</v>
      </c>
      <c r="AR45" s="44">
        <v>0.9979</v>
      </c>
      <c r="AS45" s="36" t="s">
        <v>1848</v>
      </c>
      <c r="AT45" s="36" t="s">
        <v>2525</v>
      </c>
      <c r="AU45" s="36" t="s">
        <v>2526</v>
      </c>
      <c r="AV45" s="44">
        <v>1.0039</v>
      </c>
      <c r="AW45" s="36" t="s">
        <v>1885</v>
      </c>
      <c r="AX45" s="36" t="s">
        <v>2527</v>
      </c>
      <c r="AY45" s="36" t="s">
        <v>930</v>
      </c>
      <c r="AZ45" s="44">
        <v>0.9056</v>
      </c>
      <c r="BA45" s="36" t="s">
        <v>1826</v>
      </c>
      <c r="BB45" s="36" t="s">
        <v>931</v>
      </c>
      <c r="BC45" s="36" t="s">
        <v>932</v>
      </c>
      <c r="BD45" s="44">
        <v>0.8572</v>
      </c>
      <c r="BE45" s="36" t="s">
        <v>1875</v>
      </c>
      <c r="BF45" s="36" t="s">
        <v>2132</v>
      </c>
      <c r="BG45" s="36" t="s">
        <v>2528</v>
      </c>
      <c r="BH45" s="44">
        <v>0.8824</v>
      </c>
      <c r="BI45" s="36" t="s">
        <v>1875</v>
      </c>
      <c r="BJ45" s="36" t="s">
        <v>2199</v>
      </c>
      <c r="BK45" s="36" t="s">
        <v>935</v>
      </c>
      <c r="BL45" s="44">
        <v>0.9987</v>
      </c>
      <c r="BM45" s="36" t="s">
        <v>1828</v>
      </c>
      <c r="BN45" s="36" t="s">
        <v>935</v>
      </c>
      <c r="BO45" s="36" t="s">
        <v>2135</v>
      </c>
      <c r="BP45" s="44">
        <v>1.1562</v>
      </c>
      <c r="BQ45" s="36" t="s">
        <v>1861</v>
      </c>
    </row>
    <row r="46" ht="30" customHeight="1" spans="1:69">
      <c r="A46" s="34" t="s">
        <v>96</v>
      </c>
      <c r="B46" s="34" t="s">
        <v>97</v>
      </c>
      <c r="C46" s="34" t="s">
        <v>14</v>
      </c>
      <c r="D46" s="34" t="s">
        <v>15</v>
      </c>
      <c r="E46" s="34" t="s">
        <v>16</v>
      </c>
      <c r="F46" s="34" t="s">
        <v>2529</v>
      </c>
      <c r="G46" s="34" t="s">
        <v>1493</v>
      </c>
      <c r="H46" s="43">
        <v>0.9579</v>
      </c>
      <c r="I46" s="34" t="s">
        <v>1861</v>
      </c>
      <c r="J46" s="34" t="s">
        <v>2530</v>
      </c>
      <c r="K46" s="34" t="s">
        <v>1496</v>
      </c>
      <c r="L46" s="43">
        <v>1.1735</v>
      </c>
      <c r="M46" s="34" t="s">
        <v>2055</v>
      </c>
      <c r="N46" s="34" t="s">
        <v>2531</v>
      </c>
      <c r="O46" s="34" t="s">
        <v>2532</v>
      </c>
      <c r="P46" s="43">
        <v>1.007</v>
      </c>
      <c r="Q46" s="34" t="s">
        <v>1848</v>
      </c>
      <c r="R46" s="34" t="s">
        <v>2533</v>
      </c>
      <c r="S46" s="34" t="s">
        <v>2534</v>
      </c>
      <c r="T46" s="43">
        <v>1.0198</v>
      </c>
      <c r="U46" s="34" t="s">
        <v>2535</v>
      </c>
      <c r="V46" s="34" t="s">
        <v>2536</v>
      </c>
      <c r="W46" s="34" t="s">
        <v>2537</v>
      </c>
      <c r="X46" s="43">
        <v>0.9967</v>
      </c>
      <c r="Y46" s="34" t="s">
        <v>1785</v>
      </c>
      <c r="Z46" s="34" t="s">
        <v>2538</v>
      </c>
      <c r="AA46" s="34" t="s">
        <v>2539</v>
      </c>
      <c r="AB46" s="43">
        <v>0.9979</v>
      </c>
      <c r="AC46" s="34" t="s">
        <v>1778</v>
      </c>
      <c r="AD46" s="34" t="s">
        <v>2540</v>
      </c>
      <c r="AE46" s="34" t="s">
        <v>2541</v>
      </c>
      <c r="AF46" s="43">
        <v>0.997</v>
      </c>
      <c r="AG46" s="34" t="s">
        <v>1788</v>
      </c>
      <c r="AH46" s="34" t="s">
        <v>2542</v>
      </c>
      <c r="AI46" s="34" t="s">
        <v>2543</v>
      </c>
      <c r="AJ46" s="43">
        <v>0.9955</v>
      </c>
      <c r="AK46" s="34" t="s">
        <v>1925</v>
      </c>
      <c r="AL46" s="34" t="s">
        <v>2544</v>
      </c>
      <c r="AM46" s="34" t="s">
        <v>2545</v>
      </c>
      <c r="AN46" s="43">
        <v>0.9947</v>
      </c>
      <c r="AO46" s="34" t="s">
        <v>1794</v>
      </c>
      <c r="AP46" s="34" t="s">
        <v>2546</v>
      </c>
      <c r="AQ46" s="34" t="s">
        <v>2547</v>
      </c>
      <c r="AR46" s="43">
        <v>0.9991</v>
      </c>
      <c r="AS46" s="34" t="s">
        <v>1848</v>
      </c>
      <c r="AT46" s="34" t="s">
        <v>2548</v>
      </c>
      <c r="AU46" s="34" t="s">
        <v>1512</v>
      </c>
      <c r="AV46" s="43">
        <v>0.996</v>
      </c>
      <c r="AW46" s="34" t="s">
        <v>1798</v>
      </c>
      <c r="AX46" s="34" t="s">
        <v>2549</v>
      </c>
      <c r="AY46" s="34" t="s">
        <v>1514</v>
      </c>
      <c r="AZ46" s="43">
        <v>1.0002</v>
      </c>
      <c r="BA46" s="34" t="s">
        <v>1801</v>
      </c>
      <c r="BB46" s="34" t="s">
        <v>2550</v>
      </c>
      <c r="BC46" s="34" t="s">
        <v>2551</v>
      </c>
      <c r="BD46" s="43">
        <v>0.9942</v>
      </c>
      <c r="BE46" s="34" t="s">
        <v>1804</v>
      </c>
      <c r="BF46" s="34" t="s">
        <v>2552</v>
      </c>
      <c r="BG46" s="34" t="s">
        <v>2553</v>
      </c>
      <c r="BH46" s="43">
        <v>0.9959</v>
      </c>
      <c r="BI46" s="34" t="s">
        <v>1824</v>
      </c>
      <c r="BJ46" s="34" t="s">
        <v>2554</v>
      </c>
      <c r="BK46" s="34" t="s">
        <v>1520</v>
      </c>
      <c r="BL46" s="43">
        <v>0.9982</v>
      </c>
      <c r="BM46" s="34" t="s">
        <v>1828</v>
      </c>
      <c r="BN46" s="34" t="s">
        <v>2555</v>
      </c>
      <c r="BO46" s="34" t="s">
        <v>2556</v>
      </c>
      <c r="BP46" s="43">
        <v>0.9991</v>
      </c>
      <c r="BQ46" s="34" t="s">
        <v>1809</v>
      </c>
    </row>
    <row r="47" ht="30" customHeight="1" spans="1:69">
      <c r="A47" s="36" t="s">
        <v>98</v>
      </c>
      <c r="B47" s="36" t="s">
        <v>99</v>
      </c>
      <c r="C47" s="36" t="s">
        <v>14</v>
      </c>
      <c r="D47" s="36" t="s">
        <v>15</v>
      </c>
      <c r="E47" s="36" t="s">
        <v>16</v>
      </c>
      <c r="F47" s="36" t="s">
        <v>2557</v>
      </c>
      <c r="G47" s="36" t="s">
        <v>1526</v>
      </c>
      <c r="H47" s="44">
        <v>1.1122</v>
      </c>
      <c r="I47" s="36" t="s">
        <v>2033</v>
      </c>
      <c r="J47" s="36" t="s">
        <v>2558</v>
      </c>
      <c r="K47" s="36" t="s">
        <v>1528</v>
      </c>
      <c r="L47" s="44">
        <v>1.1622</v>
      </c>
      <c r="M47" s="36" t="s">
        <v>1815</v>
      </c>
      <c r="N47" s="36" t="s">
        <v>2559</v>
      </c>
      <c r="O47" s="36" t="s">
        <v>2560</v>
      </c>
      <c r="P47" s="44">
        <v>0.539</v>
      </c>
      <c r="Q47" s="36" t="s">
        <v>1875</v>
      </c>
      <c r="R47" s="36" t="s">
        <v>2560</v>
      </c>
      <c r="S47" s="36" t="s">
        <v>628</v>
      </c>
      <c r="T47" s="44">
        <v>1.3354</v>
      </c>
      <c r="U47" s="36" t="s">
        <v>2561</v>
      </c>
      <c r="V47" s="36" t="s">
        <v>2562</v>
      </c>
      <c r="W47" s="36" t="s">
        <v>2563</v>
      </c>
      <c r="X47" s="44">
        <v>0.778</v>
      </c>
      <c r="Y47" s="36" t="s">
        <v>1830</v>
      </c>
      <c r="Z47" s="36" t="s">
        <v>2564</v>
      </c>
      <c r="AA47" s="36" t="s">
        <v>1534</v>
      </c>
      <c r="AB47" s="44">
        <v>0.5277</v>
      </c>
      <c r="AC47" s="36" t="s">
        <v>1830</v>
      </c>
      <c r="AD47" s="36" t="s">
        <v>2565</v>
      </c>
      <c r="AE47" s="36" t="s">
        <v>1536</v>
      </c>
      <c r="AF47" s="44">
        <v>0.7272</v>
      </c>
      <c r="AG47" s="36" t="s">
        <v>2042</v>
      </c>
      <c r="AH47" s="36" t="s">
        <v>2566</v>
      </c>
      <c r="AI47" s="36" t="s">
        <v>1538</v>
      </c>
      <c r="AJ47" s="44">
        <v>0.5044</v>
      </c>
      <c r="AK47" s="36" t="s">
        <v>1951</v>
      </c>
      <c r="AL47" s="36" t="s">
        <v>2567</v>
      </c>
      <c r="AM47" s="36" t="s">
        <v>2568</v>
      </c>
      <c r="AN47" s="44">
        <v>0.7278</v>
      </c>
      <c r="AO47" s="36" t="s">
        <v>1832</v>
      </c>
      <c r="AP47" s="36" t="s">
        <v>2569</v>
      </c>
      <c r="AQ47" s="36" t="s">
        <v>2570</v>
      </c>
      <c r="AR47" s="44">
        <v>0.5307</v>
      </c>
      <c r="AS47" s="36" t="s">
        <v>1875</v>
      </c>
      <c r="AT47" s="36" t="s">
        <v>2571</v>
      </c>
      <c r="AU47" s="36" t="s">
        <v>2572</v>
      </c>
      <c r="AV47" s="44">
        <v>0.534</v>
      </c>
      <c r="AW47" s="36" t="s">
        <v>1804</v>
      </c>
      <c r="AX47" s="36" t="s">
        <v>2573</v>
      </c>
      <c r="AY47" s="36" t="s">
        <v>2574</v>
      </c>
      <c r="AZ47" s="44">
        <v>1.0018</v>
      </c>
      <c r="BA47" s="36" t="s">
        <v>1801</v>
      </c>
      <c r="BB47" s="36" t="s">
        <v>2575</v>
      </c>
      <c r="BC47" s="36" t="s">
        <v>1547</v>
      </c>
      <c r="BD47" s="44">
        <v>0.9531</v>
      </c>
      <c r="BE47" s="36" t="s">
        <v>1851</v>
      </c>
      <c r="BF47" s="36" t="s">
        <v>2576</v>
      </c>
      <c r="BG47" s="36" t="s">
        <v>1549</v>
      </c>
      <c r="BH47" s="44">
        <v>0.7604</v>
      </c>
      <c r="BI47" s="36" t="s">
        <v>1952</v>
      </c>
      <c r="BJ47" s="36" t="s">
        <v>2577</v>
      </c>
      <c r="BK47" s="36" t="s">
        <v>1551</v>
      </c>
      <c r="BL47" s="44">
        <v>0.5345</v>
      </c>
      <c r="BM47" s="36" t="s">
        <v>1950</v>
      </c>
      <c r="BN47" s="36" t="s">
        <v>2578</v>
      </c>
      <c r="BO47" s="36" t="s">
        <v>2579</v>
      </c>
      <c r="BP47" s="44">
        <v>0.5364</v>
      </c>
      <c r="BQ47" s="36" t="s">
        <v>1907</v>
      </c>
    </row>
    <row r="48" ht="30" customHeight="1" spans="1:69">
      <c r="A48" s="34" t="s">
        <v>100</v>
      </c>
      <c r="B48" s="34" t="s">
        <v>101</v>
      </c>
      <c r="C48" s="34" t="s">
        <v>14</v>
      </c>
      <c r="D48" s="34" t="s">
        <v>15</v>
      </c>
      <c r="E48" s="34" t="s">
        <v>16</v>
      </c>
      <c r="F48" s="34" t="s">
        <v>2580</v>
      </c>
      <c r="G48" s="34" t="s">
        <v>1554</v>
      </c>
      <c r="H48" s="43">
        <v>1.1396</v>
      </c>
      <c r="I48" s="34" t="s">
        <v>1979</v>
      </c>
      <c r="J48" s="34" t="s">
        <v>797</v>
      </c>
      <c r="K48" s="34" t="s">
        <v>1408</v>
      </c>
      <c r="L48" s="43">
        <v>0.9992</v>
      </c>
      <c r="M48" s="34" t="s">
        <v>1916</v>
      </c>
      <c r="N48" s="34" t="s">
        <v>717</v>
      </c>
      <c r="O48" s="34" t="s">
        <v>1200</v>
      </c>
      <c r="P48" s="43">
        <v>0.9993</v>
      </c>
      <c r="Q48" s="34" t="s">
        <v>1781</v>
      </c>
      <c r="R48" s="34" t="s">
        <v>2581</v>
      </c>
      <c r="S48" s="34" t="s">
        <v>2582</v>
      </c>
      <c r="T48" s="43">
        <v>1.0305</v>
      </c>
      <c r="U48" s="34" t="s">
        <v>2204</v>
      </c>
      <c r="V48" s="34" t="s">
        <v>2583</v>
      </c>
      <c r="W48" s="34" t="s">
        <v>2584</v>
      </c>
      <c r="X48" s="43">
        <v>0.9972</v>
      </c>
      <c r="Y48" s="34" t="s">
        <v>1785</v>
      </c>
      <c r="Z48" s="34" t="s">
        <v>2585</v>
      </c>
      <c r="AA48" s="34" t="s">
        <v>1560</v>
      </c>
      <c r="AB48" s="43">
        <v>0.9988</v>
      </c>
      <c r="AC48" s="34" t="s">
        <v>1778</v>
      </c>
      <c r="AD48" s="34" t="s">
        <v>2586</v>
      </c>
      <c r="AE48" s="34" t="s">
        <v>2587</v>
      </c>
      <c r="AF48" s="43">
        <v>0.9765</v>
      </c>
      <c r="AG48" s="34" t="s">
        <v>1893</v>
      </c>
      <c r="AH48" s="34" t="s">
        <v>2588</v>
      </c>
      <c r="AI48" s="34" t="s">
        <v>1069</v>
      </c>
      <c r="AJ48" s="43">
        <v>0.9973</v>
      </c>
      <c r="AK48" s="34" t="s">
        <v>1791</v>
      </c>
      <c r="AL48" s="34" t="s">
        <v>629</v>
      </c>
      <c r="AM48" s="34" t="s">
        <v>753</v>
      </c>
      <c r="AN48" s="43">
        <v>0.9961</v>
      </c>
      <c r="AO48" s="34" t="s">
        <v>1794</v>
      </c>
      <c r="AP48" s="34" t="s">
        <v>671</v>
      </c>
      <c r="AQ48" s="34" t="s">
        <v>1116</v>
      </c>
      <c r="AR48" s="43">
        <v>0.9984</v>
      </c>
      <c r="AS48" s="34" t="s">
        <v>1848</v>
      </c>
      <c r="AT48" s="34" t="s">
        <v>2589</v>
      </c>
      <c r="AU48" s="34" t="s">
        <v>2229</v>
      </c>
      <c r="AV48" s="43">
        <v>0.9967</v>
      </c>
      <c r="AW48" s="34" t="s">
        <v>1798</v>
      </c>
      <c r="AX48" s="34" t="s">
        <v>2590</v>
      </c>
      <c r="AY48" s="34" t="s">
        <v>2061</v>
      </c>
      <c r="AZ48" s="43">
        <v>1.0019</v>
      </c>
      <c r="BA48" s="34" t="s">
        <v>1801</v>
      </c>
      <c r="BB48" s="34" t="s">
        <v>2591</v>
      </c>
      <c r="BC48" s="34" t="s">
        <v>2592</v>
      </c>
      <c r="BD48" s="43">
        <v>1.1746</v>
      </c>
      <c r="BE48" s="34" t="s">
        <v>1809</v>
      </c>
      <c r="BF48" s="34" t="s">
        <v>2593</v>
      </c>
      <c r="BG48" s="34" t="s">
        <v>1571</v>
      </c>
      <c r="BH48" s="43">
        <v>1.0017</v>
      </c>
      <c r="BI48" s="34" t="s">
        <v>1824</v>
      </c>
      <c r="BJ48" s="34" t="s">
        <v>2594</v>
      </c>
      <c r="BK48" s="34" t="s">
        <v>585</v>
      </c>
      <c r="BL48" s="43">
        <v>0.9968</v>
      </c>
      <c r="BM48" s="34" t="s">
        <v>1828</v>
      </c>
      <c r="BN48" s="34" t="s">
        <v>493</v>
      </c>
      <c r="BO48" s="34" t="s">
        <v>494</v>
      </c>
      <c r="BP48" s="43">
        <v>1.0149</v>
      </c>
      <c r="BQ48" s="34" t="s">
        <v>1785</v>
      </c>
    </row>
    <row r="49" ht="30" customHeight="1" spans="1:69">
      <c r="A49" s="36" t="s">
        <v>102</v>
      </c>
      <c r="B49" s="36" t="s">
        <v>103</v>
      </c>
      <c r="C49" s="36" t="s">
        <v>14</v>
      </c>
      <c r="D49" s="36" t="s">
        <v>15</v>
      </c>
      <c r="E49" s="36" t="s">
        <v>16</v>
      </c>
      <c r="F49" s="36" t="s">
        <v>805</v>
      </c>
      <c r="G49" s="36" t="s">
        <v>2595</v>
      </c>
      <c r="H49" s="44">
        <v>0.6706</v>
      </c>
      <c r="I49" s="36" t="s">
        <v>1851</v>
      </c>
      <c r="J49" s="36" t="s">
        <v>2596</v>
      </c>
      <c r="K49" s="36" t="s">
        <v>1577</v>
      </c>
      <c r="L49" s="44">
        <v>0.6658</v>
      </c>
      <c r="M49" s="36" t="s">
        <v>1826</v>
      </c>
      <c r="N49" s="36" t="s">
        <v>2597</v>
      </c>
      <c r="O49" s="36" t="s">
        <v>2598</v>
      </c>
      <c r="P49" s="44">
        <v>0.6668</v>
      </c>
      <c r="Q49" s="36" t="s">
        <v>1832</v>
      </c>
      <c r="R49" s="36" t="s">
        <v>2599</v>
      </c>
      <c r="S49" s="36" t="s">
        <v>2600</v>
      </c>
      <c r="T49" s="44">
        <v>0.6654</v>
      </c>
      <c r="U49" s="36" t="s">
        <v>1915</v>
      </c>
      <c r="V49" s="36" t="s">
        <v>2601</v>
      </c>
      <c r="W49" s="36" t="s">
        <v>2602</v>
      </c>
      <c r="X49" s="44">
        <v>0.6657</v>
      </c>
      <c r="Y49" s="36" t="s">
        <v>1872</v>
      </c>
      <c r="Z49" s="36" t="s">
        <v>2603</v>
      </c>
      <c r="AA49" s="36" t="s">
        <v>2604</v>
      </c>
      <c r="AB49" s="44">
        <v>0.667</v>
      </c>
      <c r="AC49" s="36" t="s">
        <v>1826</v>
      </c>
      <c r="AD49" s="36" t="s">
        <v>2605</v>
      </c>
      <c r="AE49" s="36" t="s">
        <v>1586</v>
      </c>
      <c r="AF49" s="44">
        <v>0.6666</v>
      </c>
      <c r="AG49" s="36" t="s">
        <v>1851</v>
      </c>
      <c r="AH49" s="36" t="s">
        <v>2606</v>
      </c>
      <c r="AI49" s="36" t="s">
        <v>2607</v>
      </c>
      <c r="AJ49" s="44">
        <v>0.6661</v>
      </c>
      <c r="AK49" s="36" t="s">
        <v>1875</v>
      </c>
      <c r="AL49" s="36" t="s">
        <v>2608</v>
      </c>
      <c r="AM49" s="36" t="s">
        <v>2609</v>
      </c>
      <c r="AN49" s="44">
        <v>0.6584</v>
      </c>
      <c r="AO49" s="36" t="s">
        <v>1824</v>
      </c>
      <c r="AP49" s="36" t="s">
        <v>2610</v>
      </c>
      <c r="AQ49" s="36" t="s">
        <v>2611</v>
      </c>
      <c r="AR49" s="44">
        <v>0.6633</v>
      </c>
      <c r="AS49" s="36" t="s">
        <v>1832</v>
      </c>
      <c r="AT49" s="36" t="s">
        <v>2612</v>
      </c>
      <c r="AU49" s="36" t="s">
        <v>2613</v>
      </c>
      <c r="AV49" s="44">
        <v>0.6629</v>
      </c>
      <c r="AW49" s="36" t="s">
        <v>1977</v>
      </c>
      <c r="AX49" s="36" t="s">
        <v>2614</v>
      </c>
      <c r="AY49" s="36" t="s">
        <v>2615</v>
      </c>
      <c r="AZ49" s="44">
        <v>1.2265</v>
      </c>
      <c r="BA49" s="36" t="s">
        <v>2033</v>
      </c>
      <c r="BB49" s="36" t="s">
        <v>2616</v>
      </c>
      <c r="BC49" s="36" t="s">
        <v>2617</v>
      </c>
      <c r="BD49" s="44">
        <v>0.6611</v>
      </c>
      <c r="BE49" s="36" t="s">
        <v>1951</v>
      </c>
      <c r="BF49" s="36" t="s">
        <v>2618</v>
      </c>
      <c r="BG49" s="36" t="s">
        <v>1600</v>
      </c>
      <c r="BH49" s="44">
        <v>0.6677</v>
      </c>
      <c r="BI49" s="36" t="s">
        <v>1951</v>
      </c>
      <c r="BJ49" s="36" t="s">
        <v>2619</v>
      </c>
      <c r="BK49" s="36" t="s">
        <v>1602</v>
      </c>
      <c r="BL49" s="44">
        <v>0.6664</v>
      </c>
      <c r="BM49" s="36" t="s">
        <v>1952</v>
      </c>
      <c r="BN49" s="36" t="s">
        <v>2620</v>
      </c>
      <c r="BO49" s="36" t="s">
        <v>2621</v>
      </c>
      <c r="BP49" s="44">
        <v>0.6671</v>
      </c>
      <c r="BQ49" s="36" t="s">
        <v>2155</v>
      </c>
    </row>
    <row r="50" ht="30" customHeight="1" spans="1:69">
      <c r="A50" s="34" t="s">
        <v>104</v>
      </c>
      <c r="B50" s="34" t="s">
        <v>105</v>
      </c>
      <c r="C50" s="34" t="s">
        <v>14</v>
      </c>
      <c r="D50" s="34" t="s">
        <v>15</v>
      </c>
      <c r="E50" s="34" t="s">
        <v>16</v>
      </c>
      <c r="F50" s="34" t="s">
        <v>481</v>
      </c>
      <c r="G50" s="34" t="s">
        <v>1319</v>
      </c>
      <c r="H50" s="43">
        <v>0.5224</v>
      </c>
      <c r="I50" s="34" t="s">
        <v>1921</v>
      </c>
      <c r="J50" s="34" t="s">
        <v>482</v>
      </c>
      <c r="K50" s="34" t="s">
        <v>1320</v>
      </c>
      <c r="L50" s="43">
        <v>0.5114</v>
      </c>
      <c r="M50" s="34" t="s">
        <v>1922</v>
      </c>
      <c r="N50" s="34" t="s">
        <v>627</v>
      </c>
      <c r="O50" s="34" t="s">
        <v>733</v>
      </c>
      <c r="P50" s="43">
        <v>0.5131</v>
      </c>
      <c r="Q50" s="34" t="s">
        <v>1927</v>
      </c>
      <c r="R50" s="34" t="s">
        <v>734</v>
      </c>
      <c r="S50" s="34" t="s">
        <v>659</v>
      </c>
      <c r="T50" s="43">
        <v>0.9987</v>
      </c>
      <c r="U50" s="34" t="s">
        <v>1783</v>
      </c>
      <c r="V50" s="34" t="s">
        <v>630</v>
      </c>
      <c r="W50" s="34" t="s">
        <v>1382</v>
      </c>
      <c r="X50" s="43">
        <v>0.5172</v>
      </c>
      <c r="Y50" s="34" t="s">
        <v>1950</v>
      </c>
      <c r="Z50" s="34" t="s">
        <v>872</v>
      </c>
      <c r="AA50" s="34" t="s">
        <v>631</v>
      </c>
      <c r="AB50" s="43">
        <v>0.5855</v>
      </c>
      <c r="AC50" s="34" t="s">
        <v>1804</v>
      </c>
      <c r="AD50" s="34" t="s">
        <v>2118</v>
      </c>
      <c r="AE50" s="34" t="s">
        <v>912</v>
      </c>
      <c r="AF50" s="43">
        <v>0.6647</v>
      </c>
      <c r="AG50" s="34" t="s">
        <v>1851</v>
      </c>
      <c r="AH50" s="34" t="s">
        <v>634</v>
      </c>
      <c r="AI50" s="34" t="s">
        <v>1322</v>
      </c>
      <c r="AJ50" s="43">
        <v>0.5156</v>
      </c>
      <c r="AK50" s="34" t="s">
        <v>1982</v>
      </c>
      <c r="AL50" s="34" t="s">
        <v>635</v>
      </c>
      <c r="AM50" s="34" t="s">
        <v>1182</v>
      </c>
      <c r="AN50" s="43">
        <v>0.5087</v>
      </c>
      <c r="AO50" s="34" t="s">
        <v>1952</v>
      </c>
      <c r="AP50" s="34" t="s">
        <v>2622</v>
      </c>
      <c r="AQ50" s="34" t="s">
        <v>1610</v>
      </c>
      <c r="AR50" s="43">
        <v>0.4503</v>
      </c>
      <c r="AS50" s="34" t="s">
        <v>1952</v>
      </c>
      <c r="AT50" s="34" t="s">
        <v>2623</v>
      </c>
      <c r="AU50" s="34" t="s">
        <v>2624</v>
      </c>
      <c r="AV50" s="43">
        <v>0.5297</v>
      </c>
      <c r="AW50" s="34" t="s">
        <v>1804</v>
      </c>
      <c r="AX50" s="34" t="s">
        <v>2625</v>
      </c>
      <c r="AY50" s="34" t="s">
        <v>2626</v>
      </c>
      <c r="AZ50" s="43">
        <v>1.0346</v>
      </c>
      <c r="BA50" s="34" t="s">
        <v>1791</v>
      </c>
      <c r="BB50" s="34" t="s">
        <v>2626</v>
      </c>
      <c r="BC50" s="34" t="s">
        <v>1614</v>
      </c>
      <c r="BD50" s="43">
        <v>0.6416</v>
      </c>
      <c r="BE50" s="34" t="s">
        <v>1907</v>
      </c>
      <c r="BF50" s="34" t="s">
        <v>2627</v>
      </c>
      <c r="BG50" s="34" t="s">
        <v>2628</v>
      </c>
      <c r="BH50" s="43">
        <v>1.0849</v>
      </c>
      <c r="BI50" s="34" t="s">
        <v>1898</v>
      </c>
      <c r="BJ50" s="34" t="s">
        <v>2629</v>
      </c>
      <c r="BK50" s="34" t="s">
        <v>1617</v>
      </c>
      <c r="BL50" s="43">
        <v>0.7501</v>
      </c>
      <c r="BM50" s="34" t="s">
        <v>1927</v>
      </c>
      <c r="BN50" s="34" t="s">
        <v>1617</v>
      </c>
      <c r="BO50" s="34" t="s">
        <v>2630</v>
      </c>
      <c r="BP50" s="43">
        <v>0.5347</v>
      </c>
      <c r="BQ50" s="34" t="s">
        <v>1907</v>
      </c>
    </row>
    <row r="51" ht="30" customHeight="1" spans="1:69">
      <c r="A51" s="36" t="s">
        <v>106</v>
      </c>
      <c r="B51" s="36" t="s">
        <v>107</v>
      </c>
      <c r="C51" s="36" t="s">
        <v>14</v>
      </c>
      <c r="D51" s="36" t="s">
        <v>15</v>
      </c>
      <c r="E51" s="36" t="s">
        <v>16</v>
      </c>
      <c r="F51" s="36" t="s">
        <v>566</v>
      </c>
      <c r="G51" s="36" t="s">
        <v>598</v>
      </c>
      <c r="H51" s="44">
        <v>1.0877</v>
      </c>
      <c r="I51" s="36" t="s">
        <v>2130</v>
      </c>
      <c r="J51" s="36" t="s">
        <v>1621</v>
      </c>
      <c r="K51" s="36" t="s">
        <v>2631</v>
      </c>
      <c r="L51" s="44">
        <v>1.2764</v>
      </c>
      <c r="M51" s="36" t="s">
        <v>1915</v>
      </c>
      <c r="N51" s="36" t="s">
        <v>2632</v>
      </c>
      <c r="O51" s="36" t="s">
        <v>1625</v>
      </c>
      <c r="P51" s="44">
        <v>1.0006</v>
      </c>
      <c r="Q51" s="36" t="s">
        <v>1781</v>
      </c>
      <c r="R51" s="36" t="s">
        <v>2633</v>
      </c>
      <c r="S51" s="36" t="s">
        <v>2634</v>
      </c>
      <c r="T51" s="44">
        <v>0.9987</v>
      </c>
      <c r="U51" s="36" t="s">
        <v>1783</v>
      </c>
      <c r="V51" s="36" t="s">
        <v>2635</v>
      </c>
      <c r="W51" s="36" t="s">
        <v>1629</v>
      </c>
      <c r="X51" s="44">
        <v>1.0002</v>
      </c>
      <c r="Y51" s="36" t="s">
        <v>1785</v>
      </c>
      <c r="Z51" s="36" t="s">
        <v>2636</v>
      </c>
      <c r="AA51" s="36" t="s">
        <v>2637</v>
      </c>
      <c r="AB51" s="44">
        <v>0.9996</v>
      </c>
      <c r="AC51" s="36" t="s">
        <v>1778</v>
      </c>
      <c r="AD51" s="36" t="s">
        <v>2638</v>
      </c>
      <c r="AE51" s="36" t="s">
        <v>2639</v>
      </c>
      <c r="AF51" s="44">
        <v>1.1345</v>
      </c>
      <c r="AG51" s="36" t="s">
        <v>1848</v>
      </c>
      <c r="AH51" s="36" t="s">
        <v>2640</v>
      </c>
      <c r="AI51" s="36" t="s">
        <v>1635</v>
      </c>
      <c r="AJ51" s="44">
        <v>0.9975</v>
      </c>
      <c r="AK51" s="36" t="s">
        <v>1791</v>
      </c>
      <c r="AL51" s="36" t="s">
        <v>2641</v>
      </c>
      <c r="AM51" s="36" t="s">
        <v>2642</v>
      </c>
      <c r="AN51" s="44">
        <v>0.9985</v>
      </c>
      <c r="AO51" s="36" t="s">
        <v>1794</v>
      </c>
      <c r="AP51" s="36" t="s">
        <v>2643</v>
      </c>
      <c r="AQ51" s="36" t="s">
        <v>2644</v>
      </c>
      <c r="AR51" s="44">
        <v>0.9994</v>
      </c>
      <c r="AS51" s="36" t="s">
        <v>1848</v>
      </c>
      <c r="AT51" s="36" t="s">
        <v>2645</v>
      </c>
      <c r="AU51" s="36" t="s">
        <v>1640</v>
      </c>
      <c r="AV51" s="44">
        <v>0.9999</v>
      </c>
      <c r="AW51" s="36" t="s">
        <v>1798</v>
      </c>
      <c r="AX51" s="36" t="s">
        <v>2646</v>
      </c>
      <c r="AY51" s="36" t="s">
        <v>682</v>
      </c>
      <c r="AZ51" s="44">
        <v>0</v>
      </c>
      <c r="BA51" s="36" t="s">
        <v>2647</v>
      </c>
      <c r="BB51" s="36" t="s">
        <v>2648</v>
      </c>
      <c r="BC51" s="36" t="s">
        <v>2649</v>
      </c>
      <c r="BD51" s="44">
        <v>0.9988</v>
      </c>
      <c r="BE51" s="36" t="s">
        <v>1804</v>
      </c>
      <c r="BF51" s="36" t="s">
        <v>2650</v>
      </c>
      <c r="BG51" s="36" t="s">
        <v>2651</v>
      </c>
      <c r="BH51" s="44">
        <v>1.0341</v>
      </c>
      <c r="BI51" s="36" t="s">
        <v>1804</v>
      </c>
      <c r="BJ51" s="36" t="s">
        <v>2652</v>
      </c>
      <c r="BK51" s="36" t="s">
        <v>2653</v>
      </c>
      <c r="BL51" s="44">
        <v>0.9994</v>
      </c>
      <c r="BM51" s="36" t="s">
        <v>1828</v>
      </c>
      <c r="BN51" s="36" t="s">
        <v>2654</v>
      </c>
      <c r="BO51" s="36" t="s">
        <v>2655</v>
      </c>
      <c r="BP51" s="44">
        <v>0.9984</v>
      </c>
      <c r="BQ51" s="36" t="s">
        <v>1809</v>
      </c>
    </row>
    <row r="52" ht="30" customHeight="1" spans="1:69">
      <c r="A52" s="34" t="s">
        <v>108</v>
      </c>
      <c r="B52" s="34" t="s">
        <v>109</v>
      </c>
      <c r="C52" s="34" t="s">
        <v>14</v>
      </c>
      <c r="D52" s="34" t="s">
        <v>15</v>
      </c>
      <c r="E52" s="34" t="s">
        <v>16</v>
      </c>
      <c r="F52" s="34" t="s">
        <v>1025</v>
      </c>
      <c r="G52" s="34" t="s">
        <v>1868</v>
      </c>
      <c r="H52" s="43">
        <v>1.2046</v>
      </c>
      <c r="I52" s="34" t="s">
        <v>1812</v>
      </c>
      <c r="J52" s="34" t="s">
        <v>2656</v>
      </c>
      <c r="K52" s="34" t="s">
        <v>1620</v>
      </c>
      <c r="L52" s="43">
        <v>1.1703</v>
      </c>
      <c r="M52" s="34" t="s">
        <v>2055</v>
      </c>
      <c r="N52" s="34" t="s">
        <v>1413</v>
      </c>
      <c r="O52" s="34" t="s">
        <v>1414</v>
      </c>
      <c r="P52" s="43">
        <v>1.1014</v>
      </c>
      <c r="Q52" s="34" t="s">
        <v>1877</v>
      </c>
      <c r="R52" s="34" t="s">
        <v>484</v>
      </c>
      <c r="S52" s="34" t="s">
        <v>786</v>
      </c>
      <c r="T52" s="43">
        <v>1.3959</v>
      </c>
      <c r="U52" s="34" t="s">
        <v>2657</v>
      </c>
      <c r="V52" s="34" t="s">
        <v>2658</v>
      </c>
      <c r="W52" s="34" t="s">
        <v>2659</v>
      </c>
      <c r="X52" s="43">
        <v>1.163</v>
      </c>
      <c r="Y52" s="34" t="s">
        <v>1807</v>
      </c>
      <c r="Z52" s="34" t="s">
        <v>2660</v>
      </c>
      <c r="AA52" s="34" t="s">
        <v>2661</v>
      </c>
      <c r="AB52" s="43">
        <v>1.0005</v>
      </c>
      <c r="AC52" s="34" t="s">
        <v>1778</v>
      </c>
      <c r="AD52" s="34" t="s">
        <v>2662</v>
      </c>
      <c r="AE52" s="34" t="s">
        <v>1660</v>
      </c>
      <c r="AF52" s="43">
        <v>1.0011</v>
      </c>
      <c r="AG52" s="34" t="s">
        <v>1788</v>
      </c>
      <c r="AH52" s="34" t="s">
        <v>2663</v>
      </c>
      <c r="AI52" s="34" t="s">
        <v>1662</v>
      </c>
      <c r="AJ52" s="43">
        <v>0.998</v>
      </c>
      <c r="AK52" s="34" t="s">
        <v>1791</v>
      </c>
      <c r="AL52" s="34" t="s">
        <v>2664</v>
      </c>
      <c r="AM52" s="34" t="s">
        <v>2665</v>
      </c>
      <c r="AN52" s="43">
        <v>0.9983</v>
      </c>
      <c r="AO52" s="34" t="s">
        <v>1794</v>
      </c>
      <c r="AP52" s="34" t="s">
        <v>2666</v>
      </c>
      <c r="AQ52" s="34" t="s">
        <v>2667</v>
      </c>
      <c r="AR52" s="43">
        <v>0.5059</v>
      </c>
      <c r="AS52" s="34" t="s">
        <v>1927</v>
      </c>
      <c r="AT52" s="34" t="s">
        <v>2668</v>
      </c>
      <c r="AU52" s="34" t="s">
        <v>1668</v>
      </c>
      <c r="AV52" s="43">
        <v>0.4997</v>
      </c>
      <c r="AW52" s="34" t="s">
        <v>1851</v>
      </c>
      <c r="AX52" s="34" t="s">
        <v>2669</v>
      </c>
      <c r="AY52" s="34" t="s">
        <v>2670</v>
      </c>
      <c r="AZ52" s="43">
        <v>1.0021</v>
      </c>
      <c r="BA52" s="34" t="s">
        <v>1801</v>
      </c>
      <c r="BB52" s="34" t="s">
        <v>2671</v>
      </c>
      <c r="BC52" s="34" t="s">
        <v>2672</v>
      </c>
      <c r="BD52" s="43">
        <v>0.5003</v>
      </c>
      <c r="BE52" s="34" t="s">
        <v>1853</v>
      </c>
      <c r="BF52" s="34" t="s">
        <v>2673</v>
      </c>
      <c r="BG52" s="34" t="s">
        <v>2674</v>
      </c>
      <c r="BH52" s="43">
        <v>0.5012</v>
      </c>
      <c r="BI52" s="34" t="s">
        <v>1854</v>
      </c>
      <c r="BJ52" s="34" t="s">
        <v>2675</v>
      </c>
      <c r="BK52" s="34" t="s">
        <v>1675</v>
      </c>
      <c r="BL52" s="43">
        <v>0.4999</v>
      </c>
      <c r="BM52" s="34" t="s">
        <v>1856</v>
      </c>
      <c r="BN52" s="34" t="s">
        <v>2676</v>
      </c>
      <c r="BO52" s="34" t="s">
        <v>2677</v>
      </c>
      <c r="BP52" s="43">
        <v>0.6933</v>
      </c>
      <c r="BQ52" s="34" t="s">
        <v>1872</v>
      </c>
    </row>
    <row r="53" ht="30" customHeight="1" spans="1:69">
      <c r="A53" s="36" t="s">
        <v>110</v>
      </c>
      <c r="B53" s="36" t="s">
        <v>111</v>
      </c>
      <c r="C53" s="36" t="s">
        <v>14</v>
      </c>
      <c r="D53" s="36" t="s">
        <v>15</v>
      </c>
      <c r="E53" s="36" t="s">
        <v>16</v>
      </c>
      <c r="F53" s="36" t="s">
        <v>1022</v>
      </c>
      <c r="G53" s="36" t="s">
        <v>1197</v>
      </c>
      <c r="H53" s="44">
        <v>0.563</v>
      </c>
      <c r="I53" s="36" t="s">
        <v>2155</v>
      </c>
      <c r="J53" s="36" t="s">
        <v>800</v>
      </c>
      <c r="K53" s="36" t="s">
        <v>1355</v>
      </c>
      <c r="L53" s="44">
        <v>0.4945</v>
      </c>
      <c r="M53" s="36" t="s">
        <v>1875</v>
      </c>
      <c r="N53" s="36" t="s">
        <v>2678</v>
      </c>
      <c r="O53" s="36" t="s">
        <v>1683</v>
      </c>
      <c r="P53" s="44">
        <v>1.002</v>
      </c>
      <c r="Q53" s="36" t="s">
        <v>1781</v>
      </c>
      <c r="R53" s="36" t="s">
        <v>2679</v>
      </c>
      <c r="S53" s="36" t="s">
        <v>2680</v>
      </c>
      <c r="T53" s="44">
        <v>1.1275</v>
      </c>
      <c r="U53" s="36" t="s">
        <v>2681</v>
      </c>
      <c r="V53" s="36" t="s">
        <v>2682</v>
      </c>
      <c r="W53" s="36" t="s">
        <v>2683</v>
      </c>
      <c r="X53" s="44">
        <v>1.0769</v>
      </c>
      <c r="Y53" s="36" t="s">
        <v>1925</v>
      </c>
      <c r="Z53" s="36" t="s">
        <v>2684</v>
      </c>
      <c r="AA53" s="36" t="s">
        <v>2685</v>
      </c>
      <c r="AB53" s="44">
        <v>1.1175</v>
      </c>
      <c r="AC53" s="36" t="s">
        <v>1961</v>
      </c>
      <c r="AD53" s="36" t="s">
        <v>2685</v>
      </c>
      <c r="AE53" s="36" t="s">
        <v>1689</v>
      </c>
      <c r="AF53" s="44">
        <v>1.2341</v>
      </c>
      <c r="AG53" s="36" t="s">
        <v>1877</v>
      </c>
      <c r="AH53" s="36" t="s">
        <v>2686</v>
      </c>
      <c r="AI53" s="36" t="s">
        <v>2687</v>
      </c>
      <c r="AJ53" s="44">
        <v>1.1812</v>
      </c>
      <c r="AK53" s="36" t="s">
        <v>2033</v>
      </c>
      <c r="AL53" s="36" t="s">
        <v>2687</v>
      </c>
      <c r="AM53" s="36" t="s">
        <v>1692</v>
      </c>
      <c r="AN53" s="44">
        <v>0.9222</v>
      </c>
      <c r="AO53" s="36" t="s">
        <v>1807</v>
      </c>
      <c r="AP53" s="36" t="s">
        <v>2688</v>
      </c>
      <c r="AQ53" s="36" t="s">
        <v>2689</v>
      </c>
      <c r="AR53" s="44">
        <v>1.9661</v>
      </c>
      <c r="AS53" s="36" t="s">
        <v>2690</v>
      </c>
      <c r="AT53" s="36" t="s">
        <v>2691</v>
      </c>
      <c r="AU53" s="36" t="s">
        <v>2692</v>
      </c>
      <c r="AV53" s="44">
        <v>1.1912</v>
      </c>
      <c r="AW53" s="36" t="s">
        <v>1776</v>
      </c>
      <c r="AX53" s="36" t="s">
        <v>2693</v>
      </c>
      <c r="AY53" s="36" t="s">
        <v>2694</v>
      </c>
      <c r="AZ53" s="44">
        <v>1.0125</v>
      </c>
      <c r="BA53" s="36" t="s">
        <v>1925</v>
      </c>
      <c r="BB53" s="36" t="s">
        <v>2694</v>
      </c>
      <c r="BC53" s="36" t="s">
        <v>1699</v>
      </c>
      <c r="BD53" s="44">
        <v>1.3628</v>
      </c>
      <c r="BE53" s="36" t="s">
        <v>1807</v>
      </c>
      <c r="BF53" s="36" t="s">
        <v>2695</v>
      </c>
      <c r="BG53" s="36" t="s">
        <v>1701</v>
      </c>
      <c r="BH53" s="44">
        <v>1.0226</v>
      </c>
      <c r="BI53" s="36" t="s">
        <v>1804</v>
      </c>
      <c r="BJ53" s="36" t="s">
        <v>2696</v>
      </c>
      <c r="BK53" s="36" t="s">
        <v>2697</v>
      </c>
      <c r="BL53" s="44">
        <v>1.1538</v>
      </c>
      <c r="BM53" s="36" t="s">
        <v>1925</v>
      </c>
      <c r="BN53" s="36" t="s">
        <v>2698</v>
      </c>
      <c r="BO53" s="36" t="s">
        <v>2699</v>
      </c>
      <c r="BP53" s="44">
        <v>1.2469</v>
      </c>
      <c r="BQ53" s="36" t="s">
        <v>1823</v>
      </c>
    </row>
    <row r="54" ht="30" customHeight="1" spans="1:69">
      <c r="A54" s="34" t="s">
        <v>112</v>
      </c>
      <c r="B54" s="34" t="s">
        <v>113</v>
      </c>
      <c r="C54" s="34" t="s">
        <v>14</v>
      </c>
      <c r="D54" s="34" t="s">
        <v>15</v>
      </c>
      <c r="E54" s="34" t="s">
        <v>16</v>
      </c>
      <c r="F54" s="34" t="s">
        <v>2700</v>
      </c>
      <c r="G54" s="34" t="s">
        <v>969</v>
      </c>
      <c r="H54" s="43">
        <v>0.5085</v>
      </c>
      <c r="I54" s="34" t="s">
        <v>1921</v>
      </c>
      <c r="J54" s="34" t="s">
        <v>2276</v>
      </c>
      <c r="K54" s="34" t="s">
        <v>806</v>
      </c>
      <c r="L54" s="43">
        <v>0.5001</v>
      </c>
      <c r="M54" s="34" t="s">
        <v>1875</v>
      </c>
      <c r="N54" s="34" t="s">
        <v>2056</v>
      </c>
      <c r="O54" s="34" t="s">
        <v>2277</v>
      </c>
      <c r="P54" s="43">
        <v>0.9391</v>
      </c>
      <c r="Q54" s="34" t="s">
        <v>2130</v>
      </c>
      <c r="R54" s="34" t="s">
        <v>556</v>
      </c>
      <c r="S54" s="34" t="s">
        <v>2701</v>
      </c>
      <c r="T54" s="43">
        <v>0.5364</v>
      </c>
      <c r="U54" s="34" t="s">
        <v>1877</v>
      </c>
      <c r="V54" s="34" t="s">
        <v>481</v>
      </c>
      <c r="W54" s="34" t="s">
        <v>1319</v>
      </c>
      <c r="X54" s="43">
        <v>0.5055</v>
      </c>
      <c r="Y54" s="34" t="s">
        <v>1950</v>
      </c>
      <c r="Z54" s="34" t="s">
        <v>482</v>
      </c>
      <c r="AA54" s="34" t="s">
        <v>1320</v>
      </c>
      <c r="AB54" s="43">
        <v>0.4998</v>
      </c>
      <c r="AC54" s="34" t="s">
        <v>1875</v>
      </c>
      <c r="AD54" s="34" t="s">
        <v>627</v>
      </c>
      <c r="AE54" s="34" t="s">
        <v>808</v>
      </c>
      <c r="AF54" s="43">
        <v>1.0986</v>
      </c>
      <c r="AG54" s="34" t="s">
        <v>1979</v>
      </c>
      <c r="AH54" s="34" t="s">
        <v>484</v>
      </c>
      <c r="AI54" s="34" t="s">
        <v>658</v>
      </c>
      <c r="AJ54" s="43">
        <v>0.9987</v>
      </c>
      <c r="AK54" s="34" t="s">
        <v>1791</v>
      </c>
      <c r="AL54" s="34" t="s">
        <v>2702</v>
      </c>
      <c r="AM54" s="34" t="s">
        <v>2703</v>
      </c>
      <c r="AN54" s="43">
        <v>1.1122</v>
      </c>
      <c r="AO54" s="34" t="s">
        <v>1864</v>
      </c>
      <c r="AP54" s="34" t="s">
        <v>679</v>
      </c>
      <c r="AQ54" s="34" t="s">
        <v>2704</v>
      </c>
      <c r="AR54" s="43">
        <v>0.9993</v>
      </c>
      <c r="AS54" s="34" t="s">
        <v>1848</v>
      </c>
      <c r="AT54" s="34" t="s">
        <v>2705</v>
      </c>
      <c r="AU54" s="34" t="s">
        <v>1715</v>
      </c>
      <c r="AV54" s="43">
        <v>1.0142</v>
      </c>
      <c r="AW54" s="34" t="s">
        <v>1869</v>
      </c>
      <c r="AX54" s="34" t="s">
        <v>2706</v>
      </c>
      <c r="AY54" s="34" t="s">
        <v>2707</v>
      </c>
      <c r="AZ54" s="43">
        <v>1.0025</v>
      </c>
      <c r="BA54" s="34" t="s">
        <v>1801</v>
      </c>
      <c r="BB54" s="34" t="s">
        <v>2230</v>
      </c>
      <c r="BC54" s="34" t="s">
        <v>1718</v>
      </c>
      <c r="BD54" s="43">
        <v>0.9873</v>
      </c>
      <c r="BE54" s="34" t="s">
        <v>1804</v>
      </c>
      <c r="BF54" s="34" t="s">
        <v>581</v>
      </c>
      <c r="BG54" s="34" t="s">
        <v>2708</v>
      </c>
      <c r="BH54" s="43">
        <v>1.0044</v>
      </c>
      <c r="BI54" s="34" t="s">
        <v>1824</v>
      </c>
      <c r="BJ54" s="34" t="s">
        <v>2709</v>
      </c>
      <c r="BK54" s="34" t="s">
        <v>2710</v>
      </c>
      <c r="BL54" s="43">
        <v>0.9992</v>
      </c>
      <c r="BM54" s="34" t="s">
        <v>1828</v>
      </c>
      <c r="BN54" s="34" t="s">
        <v>2711</v>
      </c>
      <c r="BO54" s="34" t="s">
        <v>2712</v>
      </c>
      <c r="BP54" s="43">
        <v>0.9933</v>
      </c>
      <c r="BQ54" s="34" t="s">
        <v>1809</v>
      </c>
    </row>
    <row r="55" ht="30" customHeight="1" spans="1:69">
      <c r="A55" s="36" t="s">
        <v>114</v>
      </c>
      <c r="B55" s="36" t="s">
        <v>115</v>
      </c>
      <c r="C55" s="36" t="s">
        <v>14</v>
      </c>
      <c r="D55" s="36" t="s">
        <v>15</v>
      </c>
      <c r="E55" s="36" t="s">
        <v>16</v>
      </c>
      <c r="F55" s="36" t="s">
        <v>1705</v>
      </c>
      <c r="G55" s="36" t="s">
        <v>2713</v>
      </c>
      <c r="H55" s="44">
        <v>0.7467</v>
      </c>
      <c r="I55" s="36" t="s">
        <v>2042</v>
      </c>
      <c r="J55" s="36" t="s">
        <v>2714</v>
      </c>
      <c r="K55" s="36" t="s">
        <v>2715</v>
      </c>
      <c r="L55" s="44">
        <v>0.7191</v>
      </c>
      <c r="M55" s="36" t="s">
        <v>1977</v>
      </c>
      <c r="N55" s="36" t="s">
        <v>643</v>
      </c>
      <c r="O55" s="36" t="s">
        <v>2716</v>
      </c>
      <c r="P55" s="44">
        <v>0.5096</v>
      </c>
      <c r="Q55" s="36" t="s">
        <v>1927</v>
      </c>
      <c r="R55" s="36" t="s">
        <v>2717</v>
      </c>
      <c r="S55" s="36" t="s">
        <v>666</v>
      </c>
      <c r="T55" s="44">
        <v>0.5261</v>
      </c>
      <c r="U55" s="36" t="s">
        <v>1916</v>
      </c>
      <c r="V55" s="36" t="s">
        <v>1110</v>
      </c>
      <c r="W55" s="36" t="s">
        <v>1732</v>
      </c>
      <c r="X55" s="44">
        <v>0.4995</v>
      </c>
      <c r="Y55" s="36" t="s">
        <v>1950</v>
      </c>
      <c r="Z55" s="36" t="s">
        <v>645</v>
      </c>
      <c r="AA55" s="36" t="s">
        <v>647</v>
      </c>
      <c r="AB55" s="44">
        <v>0.497</v>
      </c>
      <c r="AC55" s="36" t="s">
        <v>1875</v>
      </c>
      <c r="AD55" s="36" t="s">
        <v>1959</v>
      </c>
      <c r="AE55" s="36" t="s">
        <v>2718</v>
      </c>
      <c r="AF55" s="44">
        <v>0.4971</v>
      </c>
      <c r="AG55" s="36" t="s">
        <v>1921</v>
      </c>
      <c r="AH55" s="36" t="s">
        <v>2719</v>
      </c>
      <c r="AI55" s="36" t="s">
        <v>2720</v>
      </c>
      <c r="AJ55" s="44">
        <v>0.9939</v>
      </c>
      <c r="AK55" s="36" t="s">
        <v>1925</v>
      </c>
      <c r="AL55" s="36" t="s">
        <v>2721</v>
      </c>
      <c r="AM55" s="36" t="s">
        <v>1739</v>
      </c>
      <c r="AN55" s="44">
        <v>0.5063</v>
      </c>
      <c r="AO55" s="36" t="s">
        <v>1952</v>
      </c>
      <c r="AP55" s="36" t="s">
        <v>2722</v>
      </c>
      <c r="AQ55" s="36" t="s">
        <v>1741</v>
      </c>
      <c r="AR55" s="44">
        <v>0.5002</v>
      </c>
      <c r="AS55" s="36" t="s">
        <v>1927</v>
      </c>
      <c r="AT55" s="36" t="s">
        <v>2723</v>
      </c>
      <c r="AU55" s="36" t="s">
        <v>2724</v>
      </c>
      <c r="AV55" s="44">
        <v>0.5</v>
      </c>
      <c r="AW55" s="36" t="s">
        <v>1851</v>
      </c>
      <c r="AX55" s="36" t="s">
        <v>2725</v>
      </c>
      <c r="AY55" s="36" t="s">
        <v>2726</v>
      </c>
      <c r="AZ55" s="44">
        <v>1.0988</v>
      </c>
      <c r="BA55" s="36" t="s">
        <v>1807</v>
      </c>
      <c r="BB55" s="36" t="s">
        <v>2727</v>
      </c>
      <c r="BC55" s="36" t="s">
        <v>1747</v>
      </c>
      <c r="BD55" s="44">
        <v>0.5355</v>
      </c>
      <c r="BE55" s="36" t="s">
        <v>1856</v>
      </c>
      <c r="BF55" s="36" t="s">
        <v>2728</v>
      </c>
      <c r="BG55" s="36" t="s">
        <v>1749</v>
      </c>
      <c r="BH55" s="44">
        <v>0.5039</v>
      </c>
      <c r="BI55" s="36" t="s">
        <v>1854</v>
      </c>
      <c r="BJ55" s="36" t="s">
        <v>2729</v>
      </c>
      <c r="BK55" s="36" t="s">
        <v>2730</v>
      </c>
      <c r="BL55" s="44">
        <v>0.521</v>
      </c>
      <c r="BM55" s="36" t="s">
        <v>1859</v>
      </c>
      <c r="BN55" s="36" t="s">
        <v>2731</v>
      </c>
      <c r="BO55" s="36" t="s">
        <v>2732</v>
      </c>
      <c r="BP55" s="44">
        <v>0.4903</v>
      </c>
      <c r="BQ55" s="36" t="s">
        <v>1859</v>
      </c>
    </row>
  </sheetData>
  <mergeCells count="39">
    <mergeCell ref="A1:BQ1"/>
    <mergeCell ref="A2:BQ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BB3:BE3"/>
    <mergeCell ref="BF3:BI3"/>
    <mergeCell ref="BJ3:BM3"/>
    <mergeCell ref="BN3:BQ3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BB4:BE4"/>
    <mergeCell ref="BF4:BI4"/>
    <mergeCell ref="BJ4:BM4"/>
    <mergeCell ref="BN4:BQ4"/>
    <mergeCell ref="A3:A5"/>
    <mergeCell ref="B3:B5"/>
    <mergeCell ref="C3:C5"/>
    <mergeCell ref="D3:D5"/>
    <mergeCell ref="E3:E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workbookViewId="0">
      <pane xSplit="1" ySplit="3" topLeftCell="B39" activePane="bottomRight" state="frozen"/>
      <selection/>
      <selection pane="topRight"/>
      <selection pane="bottomLeft"/>
      <selection pane="bottomRight" activeCell="A2" sqref="A2:U52"/>
    </sheetView>
  </sheetViews>
  <sheetFormatPr defaultColWidth="8.88888888888889" defaultRowHeight="14.4"/>
  <cols>
    <col min="1" max="1" width="11" customWidth="1"/>
    <col min="2" max="2" width="13" customWidth="1"/>
    <col min="3" max="3" width="33" customWidth="1"/>
    <col min="4" max="4" width="19" customWidth="1"/>
    <col min="5" max="8" width="11" customWidth="1"/>
    <col min="9" max="9" width="15" customWidth="1"/>
    <col min="10" max="10" width="11" customWidth="1"/>
  </cols>
  <sheetData>
    <row r="1" ht="30" customHeight="1" spans="1:10">
      <c r="A1" s="31" t="s">
        <v>2733</v>
      </c>
    </row>
    <row r="2" ht="30" customHeight="1" spans="1:10">
      <c r="A2" s="32" t="s">
        <v>1</v>
      </c>
    </row>
    <row r="3" ht="30" customHeight="1" spans="1:10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2734</v>
      </c>
      <c r="G3" s="33" t="s">
        <v>2735</v>
      </c>
      <c r="H3" s="33" t="s">
        <v>2736</v>
      </c>
      <c r="I3" s="33" t="s">
        <v>2737</v>
      </c>
      <c r="J3" s="33" t="s">
        <v>2738</v>
      </c>
    </row>
    <row r="4" ht="30" customHeight="1" spans="1:10">
      <c r="A4" s="34" t="s">
        <v>12</v>
      </c>
      <c r="B4" s="34" t="s">
        <v>13</v>
      </c>
      <c r="C4" s="34" t="s">
        <v>14</v>
      </c>
      <c r="D4" s="34" t="s">
        <v>15</v>
      </c>
      <c r="E4" s="34" t="s">
        <v>16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</row>
    <row r="5" ht="30" customHeight="1" spans="1:10">
      <c r="A5" s="36" t="s">
        <v>17</v>
      </c>
      <c r="B5" s="36" t="s">
        <v>18</v>
      </c>
      <c r="C5" s="36" t="s">
        <v>14</v>
      </c>
      <c r="D5" s="36" t="s">
        <v>15</v>
      </c>
      <c r="E5" s="36" t="s">
        <v>16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</row>
    <row r="6" ht="30" customHeight="1" spans="1:10">
      <c r="A6" s="34" t="s">
        <v>19</v>
      </c>
      <c r="B6" s="34" t="s">
        <v>20</v>
      </c>
      <c r="C6" s="34" t="s">
        <v>14</v>
      </c>
      <c r="D6" s="34" t="s">
        <v>15</v>
      </c>
      <c r="E6" s="34" t="s">
        <v>21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</row>
    <row r="7" ht="30" customHeight="1" spans="1:10">
      <c r="A7" s="36" t="s">
        <v>22</v>
      </c>
      <c r="B7" s="36" t="s">
        <v>23</v>
      </c>
      <c r="C7" s="36" t="s">
        <v>14</v>
      </c>
      <c r="D7" s="36" t="s">
        <v>15</v>
      </c>
      <c r="E7" s="36" t="s">
        <v>21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</row>
    <row r="8" ht="30" customHeight="1" spans="1:10">
      <c r="A8" s="34" t="s">
        <v>24</v>
      </c>
      <c r="B8" s="34" t="s">
        <v>25</v>
      </c>
      <c r="C8" s="34" t="s">
        <v>14</v>
      </c>
      <c r="D8" s="34" t="s">
        <v>15</v>
      </c>
      <c r="E8" s="34" t="s">
        <v>21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</row>
    <row r="9" ht="30" customHeight="1" spans="1:10">
      <c r="A9" s="36" t="s">
        <v>26</v>
      </c>
      <c r="B9" s="36" t="s">
        <v>27</v>
      </c>
      <c r="C9" s="36" t="s">
        <v>14</v>
      </c>
      <c r="D9" s="36" t="s">
        <v>15</v>
      </c>
      <c r="E9" s="36" t="s">
        <v>21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</row>
    <row r="10" ht="30" customHeight="1" spans="1:10">
      <c r="A10" s="34" t="s">
        <v>28</v>
      </c>
      <c r="B10" s="34" t="s">
        <v>29</v>
      </c>
      <c r="C10" s="34" t="s">
        <v>14</v>
      </c>
      <c r="D10" s="34" t="s">
        <v>15</v>
      </c>
      <c r="E10" s="34" t="s">
        <v>21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</row>
    <row r="11" ht="30" customHeight="1" spans="1:10">
      <c r="A11" s="36" t="s">
        <v>30</v>
      </c>
      <c r="B11" s="36" t="s">
        <v>31</v>
      </c>
      <c r="C11" s="36" t="s">
        <v>14</v>
      </c>
      <c r="D11" s="36" t="s">
        <v>15</v>
      </c>
      <c r="E11" s="36" t="s">
        <v>21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</row>
    <row r="12" ht="30" customHeight="1" spans="1:10">
      <c r="A12" s="34" t="s">
        <v>32</v>
      </c>
      <c r="B12" s="34" t="s">
        <v>33</v>
      </c>
      <c r="C12" s="34" t="s">
        <v>14</v>
      </c>
      <c r="D12" s="34" t="s">
        <v>15</v>
      </c>
      <c r="E12" s="34" t="s">
        <v>21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</row>
    <row r="13" ht="30" customHeight="1" spans="1:10">
      <c r="A13" s="36" t="s">
        <v>34</v>
      </c>
      <c r="B13" s="36" t="s">
        <v>35</v>
      </c>
      <c r="C13" s="36" t="s">
        <v>14</v>
      </c>
      <c r="D13" s="36" t="s">
        <v>15</v>
      </c>
      <c r="E13" s="36" t="s">
        <v>21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</row>
    <row r="14" ht="30" customHeight="1" spans="1:10">
      <c r="A14" s="34" t="s">
        <v>36</v>
      </c>
      <c r="B14" s="34" t="s">
        <v>37</v>
      </c>
      <c r="C14" s="34" t="s">
        <v>14</v>
      </c>
      <c r="D14" s="34" t="s">
        <v>15</v>
      </c>
      <c r="E14" s="34" t="s">
        <v>21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</row>
    <row r="15" ht="30" customHeight="1" spans="1:10">
      <c r="A15" s="36" t="s">
        <v>38</v>
      </c>
      <c r="B15" s="36" t="s">
        <v>39</v>
      </c>
      <c r="C15" s="36" t="s">
        <v>14</v>
      </c>
      <c r="D15" s="36" t="s">
        <v>15</v>
      </c>
      <c r="E15" s="36" t="s">
        <v>21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</row>
    <row r="16" ht="30" customHeight="1" spans="1:10">
      <c r="A16" s="34" t="s">
        <v>40</v>
      </c>
      <c r="B16" s="34" t="s">
        <v>41</v>
      </c>
      <c r="C16" s="34" t="s">
        <v>14</v>
      </c>
      <c r="D16" s="34" t="s">
        <v>15</v>
      </c>
      <c r="E16" s="34" t="s">
        <v>21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</row>
    <row r="17" ht="30" customHeight="1" spans="1:10">
      <c r="A17" s="36" t="s">
        <v>42</v>
      </c>
      <c r="B17" s="36" t="s">
        <v>43</v>
      </c>
      <c r="C17" s="36" t="s">
        <v>14</v>
      </c>
      <c r="D17" s="36" t="s">
        <v>15</v>
      </c>
      <c r="E17" s="36" t="s">
        <v>21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</row>
    <row r="18" ht="30" customHeight="1" spans="1:10">
      <c r="A18" s="34" t="s">
        <v>44</v>
      </c>
      <c r="B18" s="34" t="s">
        <v>45</v>
      </c>
      <c r="C18" s="34" t="s">
        <v>14</v>
      </c>
      <c r="D18" s="34" t="s">
        <v>15</v>
      </c>
      <c r="E18" s="34" t="s">
        <v>21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</row>
    <row r="19" ht="30" customHeight="1" spans="1:10">
      <c r="A19" s="36" t="s">
        <v>46</v>
      </c>
      <c r="B19" s="36" t="s">
        <v>47</v>
      </c>
      <c r="C19" s="36" t="s">
        <v>14</v>
      </c>
      <c r="D19" s="36" t="s">
        <v>15</v>
      </c>
      <c r="E19" s="36" t="s">
        <v>21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</row>
    <row r="20" ht="30" customHeight="1" spans="1:10">
      <c r="A20" s="34" t="s">
        <v>48</v>
      </c>
      <c r="B20" s="34" t="s">
        <v>49</v>
      </c>
      <c r="C20" s="34" t="s">
        <v>14</v>
      </c>
      <c r="D20" s="34" t="s">
        <v>15</v>
      </c>
      <c r="E20" s="34" t="s">
        <v>21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</row>
    <row r="21" ht="30" customHeight="1" spans="1:10">
      <c r="A21" s="36" t="s">
        <v>50</v>
      </c>
      <c r="B21" s="36" t="s">
        <v>51</v>
      </c>
      <c r="C21" s="36" t="s">
        <v>14</v>
      </c>
      <c r="D21" s="36" t="s">
        <v>15</v>
      </c>
      <c r="E21" s="36" t="s">
        <v>21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</row>
    <row r="22" ht="30" customHeight="1" spans="1:10">
      <c r="A22" s="34" t="s">
        <v>52</v>
      </c>
      <c r="B22" s="34" t="s">
        <v>53</v>
      </c>
      <c r="C22" s="34" t="s">
        <v>14</v>
      </c>
      <c r="D22" s="34" t="s">
        <v>15</v>
      </c>
      <c r="E22" s="34" t="s">
        <v>21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</row>
    <row r="23" ht="30" customHeight="1" spans="1:10">
      <c r="A23" s="36" t="s">
        <v>54</v>
      </c>
      <c r="B23" s="36" t="s">
        <v>55</v>
      </c>
      <c r="C23" s="36" t="s">
        <v>14</v>
      </c>
      <c r="D23" s="36" t="s">
        <v>15</v>
      </c>
      <c r="E23" s="36" t="s">
        <v>21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</row>
    <row r="24" ht="30" customHeight="1" spans="1:10">
      <c r="A24" s="34" t="s">
        <v>56</v>
      </c>
      <c r="B24" s="34" t="s">
        <v>57</v>
      </c>
      <c r="C24" s="34" t="s">
        <v>14</v>
      </c>
      <c r="D24" s="34" t="s">
        <v>15</v>
      </c>
      <c r="E24" s="34" t="s">
        <v>21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</row>
    <row r="25" ht="30" customHeight="1" spans="1:10">
      <c r="A25" s="36" t="s">
        <v>58</v>
      </c>
      <c r="B25" s="36" t="s">
        <v>59</v>
      </c>
      <c r="C25" s="36" t="s">
        <v>14</v>
      </c>
      <c r="D25" s="36" t="s">
        <v>15</v>
      </c>
      <c r="E25" s="36" t="s">
        <v>21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</row>
    <row r="26" ht="30" customHeight="1" spans="1:10">
      <c r="A26" s="34" t="s">
        <v>60</v>
      </c>
      <c r="B26" s="34" t="s">
        <v>61</v>
      </c>
      <c r="C26" s="34" t="s">
        <v>14</v>
      </c>
      <c r="D26" s="34" t="s">
        <v>15</v>
      </c>
      <c r="E26" s="34" t="s">
        <v>21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</row>
    <row r="27" ht="30" customHeight="1" spans="1:10">
      <c r="A27" s="36" t="s">
        <v>62</v>
      </c>
      <c r="B27" s="36" t="s">
        <v>63</v>
      </c>
      <c r="C27" s="36" t="s">
        <v>14</v>
      </c>
      <c r="D27" s="36" t="s">
        <v>15</v>
      </c>
      <c r="E27" s="36" t="s">
        <v>21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</row>
    <row r="28" ht="30" customHeight="1" spans="1:10">
      <c r="A28" s="34" t="s">
        <v>64</v>
      </c>
      <c r="B28" s="34" t="s">
        <v>65</v>
      </c>
      <c r="C28" s="34" t="s">
        <v>14</v>
      </c>
      <c r="D28" s="34" t="s">
        <v>15</v>
      </c>
      <c r="E28" s="34" t="s">
        <v>21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</row>
    <row r="29" ht="30" customHeight="1" spans="1:10">
      <c r="A29" s="36" t="s">
        <v>66</v>
      </c>
      <c r="B29" s="36" t="s">
        <v>67</v>
      </c>
      <c r="C29" s="36" t="s">
        <v>14</v>
      </c>
      <c r="D29" s="36" t="s">
        <v>15</v>
      </c>
      <c r="E29" s="36" t="s">
        <v>21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</row>
    <row r="30" ht="30" customHeight="1" spans="1:10">
      <c r="A30" s="34" t="s">
        <v>68</v>
      </c>
      <c r="B30" s="34" t="s">
        <v>69</v>
      </c>
      <c r="C30" s="34" t="s">
        <v>14</v>
      </c>
      <c r="D30" s="34" t="s">
        <v>15</v>
      </c>
      <c r="E30" s="34" t="s">
        <v>21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</row>
    <row r="31" ht="30" customHeight="1" spans="1:10">
      <c r="A31" s="36" t="s">
        <v>70</v>
      </c>
      <c r="B31" s="36" t="s">
        <v>71</v>
      </c>
      <c r="C31" s="36" t="s">
        <v>14</v>
      </c>
      <c r="D31" s="36" t="s">
        <v>15</v>
      </c>
      <c r="E31" s="36" t="s">
        <v>16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</row>
    <row r="32" ht="30" customHeight="1" spans="1:10">
      <c r="A32" s="34" t="s">
        <v>72</v>
      </c>
      <c r="B32" s="34" t="s">
        <v>73</v>
      </c>
      <c r="C32" s="34" t="s">
        <v>14</v>
      </c>
      <c r="D32" s="34" t="s">
        <v>15</v>
      </c>
      <c r="E32" s="34" t="s">
        <v>16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</row>
    <row r="33" ht="30" customHeight="1" spans="1:10">
      <c r="A33" s="36" t="s">
        <v>74</v>
      </c>
      <c r="B33" s="36" t="s">
        <v>75</v>
      </c>
      <c r="C33" s="36" t="s">
        <v>14</v>
      </c>
      <c r="D33" s="36" t="s">
        <v>15</v>
      </c>
      <c r="E33" s="36" t="s">
        <v>16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</row>
    <row r="34" ht="30" customHeight="1" spans="1:10">
      <c r="A34" s="34" t="s">
        <v>76</v>
      </c>
      <c r="B34" s="34" t="s">
        <v>77</v>
      </c>
      <c r="C34" s="34" t="s">
        <v>14</v>
      </c>
      <c r="D34" s="34" t="s">
        <v>15</v>
      </c>
      <c r="E34" s="34" t="s">
        <v>16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</row>
    <row r="35" ht="30" customHeight="1" spans="1:10">
      <c r="A35" s="36" t="s">
        <v>78</v>
      </c>
      <c r="B35" s="36" t="s">
        <v>79</v>
      </c>
      <c r="C35" s="36" t="s">
        <v>14</v>
      </c>
      <c r="D35" s="36" t="s">
        <v>15</v>
      </c>
      <c r="E35" s="36" t="s">
        <v>16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</row>
    <row r="36" ht="30" customHeight="1" spans="1:10">
      <c r="A36" s="34" t="s">
        <v>80</v>
      </c>
      <c r="B36" s="34" t="s">
        <v>81</v>
      </c>
      <c r="C36" s="34" t="s">
        <v>14</v>
      </c>
      <c r="D36" s="34" t="s">
        <v>15</v>
      </c>
      <c r="E36" s="34" t="s">
        <v>16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</row>
    <row r="37" ht="30" customHeight="1" spans="1:10">
      <c r="A37" s="36" t="s">
        <v>82</v>
      </c>
      <c r="B37" s="36" t="s">
        <v>83</v>
      </c>
      <c r="C37" s="36" t="s">
        <v>14</v>
      </c>
      <c r="D37" s="36" t="s">
        <v>15</v>
      </c>
      <c r="E37" s="36" t="s">
        <v>16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</row>
    <row r="38" ht="30" customHeight="1" spans="1:10">
      <c r="A38" s="34" t="s">
        <v>84</v>
      </c>
      <c r="B38" s="34" t="s">
        <v>85</v>
      </c>
      <c r="C38" s="34" t="s">
        <v>14</v>
      </c>
      <c r="D38" s="34" t="s">
        <v>15</v>
      </c>
      <c r="E38" s="34" t="s">
        <v>16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</row>
    <row r="39" ht="30" customHeight="1" spans="1:10">
      <c r="A39" s="36" t="s">
        <v>86</v>
      </c>
      <c r="B39" s="36" t="s">
        <v>87</v>
      </c>
      <c r="C39" s="36" t="s">
        <v>14</v>
      </c>
      <c r="D39" s="36" t="s">
        <v>15</v>
      </c>
      <c r="E39" s="36" t="s">
        <v>16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</row>
    <row r="40" ht="30" customHeight="1" spans="1:10">
      <c r="A40" s="34" t="s">
        <v>88</v>
      </c>
      <c r="B40" s="34" t="s">
        <v>89</v>
      </c>
      <c r="C40" s="34" t="s">
        <v>14</v>
      </c>
      <c r="D40" s="34" t="s">
        <v>15</v>
      </c>
      <c r="E40" s="34" t="s">
        <v>16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</row>
    <row r="41" ht="30" customHeight="1" spans="1:10">
      <c r="A41" s="36" t="s">
        <v>90</v>
      </c>
      <c r="B41" s="36" t="s">
        <v>91</v>
      </c>
      <c r="C41" s="36" t="s">
        <v>14</v>
      </c>
      <c r="D41" s="36" t="s">
        <v>15</v>
      </c>
      <c r="E41" s="36" t="s">
        <v>16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</row>
    <row r="42" ht="30" customHeight="1" spans="1:10">
      <c r="A42" s="34" t="s">
        <v>92</v>
      </c>
      <c r="B42" s="34" t="s">
        <v>93</v>
      </c>
      <c r="C42" s="34" t="s">
        <v>14</v>
      </c>
      <c r="D42" s="34" t="s">
        <v>15</v>
      </c>
      <c r="E42" s="34" t="s">
        <v>16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</row>
    <row r="43" ht="30" customHeight="1" spans="1:10">
      <c r="A43" s="36" t="s">
        <v>94</v>
      </c>
      <c r="B43" s="36" t="s">
        <v>95</v>
      </c>
      <c r="C43" s="36" t="s">
        <v>14</v>
      </c>
      <c r="D43" s="36" t="s">
        <v>15</v>
      </c>
      <c r="E43" s="36" t="s">
        <v>16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</row>
    <row r="44" ht="30" customHeight="1" spans="1:10">
      <c r="A44" s="34" t="s">
        <v>96</v>
      </c>
      <c r="B44" s="34" t="s">
        <v>97</v>
      </c>
      <c r="C44" s="34" t="s">
        <v>14</v>
      </c>
      <c r="D44" s="34" t="s">
        <v>15</v>
      </c>
      <c r="E44" s="34" t="s">
        <v>16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</row>
    <row r="45" ht="30" customHeight="1" spans="1:10">
      <c r="A45" s="36" t="s">
        <v>98</v>
      </c>
      <c r="B45" s="36" t="s">
        <v>99</v>
      </c>
      <c r="C45" s="36" t="s">
        <v>14</v>
      </c>
      <c r="D45" s="36" t="s">
        <v>15</v>
      </c>
      <c r="E45" s="36" t="s">
        <v>16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</row>
    <row r="46" ht="30" customHeight="1" spans="1:10">
      <c r="A46" s="34" t="s">
        <v>100</v>
      </c>
      <c r="B46" s="34" t="s">
        <v>101</v>
      </c>
      <c r="C46" s="34" t="s">
        <v>14</v>
      </c>
      <c r="D46" s="34" t="s">
        <v>15</v>
      </c>
      <c r="E46" s="34" t="s">
        <v>16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</row>
    <row r="47" ht="30" customHeight="1" spans="1:10">
      <c r="A47" s="36" t="s">
        <v>102</v>
      </c>
      <c r="B47" s="36" t="s">
        <v>103</v>
      </c>
      <c r="C47" s="36" t="s">
        <v>14</v>
      </c>
      <c r="D47" s="36" t="s">
        <v>15</v>
      </c>
      <c r="E47" s="36" t="s">
        <v>16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</row>
    <row r="48" ht="30" customHeight="1" spans="1:10">
      <c r="A48" s="34" t="s">
        <v>104</v>
      </c>
      <c r="B48" s="34" t="s">
        <v>105</v>
      </c>
      <c r="C48" s="34" t="s">
        <v>14</v>
      </c>
      <c r="D48" s="34" t="s">
        <v>15</v>
      </c>
      <c r="E48" s="34" t="s">
        <v>16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</row>
    <row r="49" ht="30" customHeight="1" spans="1:10">
      <c r="A49" s="36" t="s">
        <v>106</v>
      </c>
      <c r="B49" s="36" t="s">
        <v>107</v>
      </c>
      <c r="C49" s="36" t="s">
        <v>14</v>
      </c>
      <c r="D49" s="36" t="s">
        <v>15</v>
      </c>
      <c r="E49" s="36" t="s">
        <v>16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ht="30" customHeight="1" spans="1:10">
      <c r="A50" s="34" t="s">
        <v>108</v>
      </c>
      <c r="B50" s="34" t="s">
        <v>109</v>
      </c>
      <c r="C50" s="34" t="s">
        <v>14</v>
      </c>
      <c r="D50" s="34" t="s">
        <v>15</v>
      </c>
      <c r="E50" s="34" t="s">
        <v>16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</row>
    <row r="51" ht="30" customHeight="1" spans="1:10">
      <c r="A51" s="36" t="s">
        <v>110</v>
      </c>
      <c r="B51" s="36" t="s">
        <v>111</v>
      </c>
      <c r="C51" s="36" t="s">
        <v>14</v>
      </c>
      <c r="D51" s="36" t="s">
        <v>15</v>
      </c>
      <c r="E51" s="36" t="s">
        <v>16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ht="30" customHeight="1" spans="1:10">
      <c r="A52" s="34" t="s">
        <v>112</v>
      </c>
      <c r="B52" s="34" t="s">
        <v>113</v>
      </c>
      <c r="C52" s="34" t="s">
        <v>14</v>
      </c>
      <c r="D52" s="34" t="s">
        <v>15</v>
      </c>
      <c r="E52" s="34" t="s">
        <v>16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</row>
    <row r="53" ht="30" customHeight="1" spans="1:10">
      <c r="A53" s="36" t="s">
        <v>114</v>
      </c>
      <c r="B53" s="36" t="s">
        <v>115</v>
      </c>
      <c r="C53" s="36" t="s">
        <v>14</v>
      </c>
      <c r="D53" s="36" t="s">
        <v>15</v>
      </c>
      <c r="E53" s="36" t="s">
        <v>16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54"/>
  <sheetViews>
    <sheetView workbookViewId="0">
      <pane xSplit="1" ySplit="4" topLeftCell="BR50" activePane="bottomRight" state="frozen"/>
      <selection/>
      <selection pane="topRight"/>
      <selection pane="bottomLeft"/>
      <selection pane="bottomRight" activeCell="A2" sqref="A2:CE52"/>
    </sheetView>
  </sheetViews>
  <sheetFormatPr defaultColWidth="8.88888888888889" defaultRowHeight="14.4"/>
  <cols>
    <col min="1" max="1" width="11" customWidth="1"/>
    <col min="2" max="2" width="13" customWidth="1"/>
    <col min="3" max="3" width="33" customWidth="1"/>
    <col min="4" max="4" width="19" customWidth="1"/>
    <col min="5" max="5" width="11" customWidth="1"/>
    <col min="6" max="6" width="21" customWidth="1"/>
    <col min="7" max="8" width="19" customWidth="1"/>
    <col min="9" max="9" width="21" customWidth="1"/>
    <col min="10" max="10" width="19" customWidth="1"/>
    <col min="11" max="11" width="20" customWidth="1"/>
    <col min="12" max="12" width="24" customWidth="1"/>
    <col min="13" max="13" width="23" customWidth="1"/>
    <col min="14" max="14" width="30" customWidth="1"/>
    <col min="15" max="15" width="23" customWidth="1"/>
    <col min="16" max="16" width="24" customWidth="1"/>
    <col min="17" max="17" width="23" customWidth="1"/>
    <col min="18" max="18" width="25" customWidth="1"/>
    <col min="19" max="19" width="19" customWidth="1"/>
    <col min="20" max="20" width="25" customWidth="1"/>
    <col min="21" max="21" width="26" customWidth="1"/>
    <col min="22" max="22" width="23" customWidth="1"/>
    <col min="23" max="25" width="28" customWidth="1"/>
    <col min="26" max="29" width="22" customWidth="1"/>
    <col min="30" max="30" width="28" customWidth="1"/>
    <col min="31" max="31" width="19" customWidth="1"/>
    <col min="32" max="33" width="11" customWidth="1"/>
    <col min="34" max="34" width="19" customWidth="1"/>
    <col min="35" max="36" width="11" customWidth="1"/>
    <col min="37" max="37" width="19" customWidth="1"/>
    <col min="38" max="39" width="11" customWidth="1"/>
    <col min="40" max="40" width="19" customWidth="1"/>
    <col min="41" max="42" width="11" customWidth="1"/>
    <col min="43" max="43" width="19" customWidth="1"/>
    <col min="44" max="45" width="11" customWidth="1"/>
    <col min="46" max="46" width="19" customWidth="1"/>
    <col min="47" max="48" width="11" customWidth="1"/>
    <col min="49" max="49" width="19" customWidth="1"/>
    <col min="50" max="51" width="11" customWidth="1"/>
    <col min="52" max="52" width="19" customWidth="1"/>
    <col min="53" max="54" width="11" customWidth="1"/>
    <col min="55" max="55" width="19" customWidth="1"/>
    <col min="56" max="57" width="11" customWidth="1"/>
    <col min="58" max="58" width="19" customWidth="1"/>
    <col min="59" max="60" width="11" customWidth="1"/>
    <col min="61" max="61" width="19" customWidth="1"/>
    <col min="62" max="63" width="11" customWidth="1"/>
    <col min="64" max="64" width="19" customWidth="1"/>
    <col min="65" max="66" width="11" customWidth="1"/>
    <col min="67" max="67" width="19" customWidth="1"/>
    <col min="68" max="69" width="11" customWidth="1"/>
    <col min="70" max="70" width="19" customWidth="1"/>
    <col min="71" max="72" width="11" customWidth="1"/>
    <col min="73" max="73" width="19" customWidth="1"/>
    <col min="74" max="75" width="11" customWidth="1"/>
    <col min="76" max="76" width="19" customWidth="1"/>
    <col min="77" max="78" width="11" customWidth="1"/>
    <col min="79" max="79" width="19" customWidth="1"/>
    <col min="80" max="81" width="11" customWidth="1"/>
    <col min="82" max="82" width="19" customWidth="1"/>
    <col min="83" max="83" width="11" customWidth="1"/>
    <col min="84" max="84" width="17.5740740740741" customWidth="1"/>
  </cols>
  <sheetData>
    <row r="1" ht="30" customHeight="1" spans="1:83">
      <c r="A1" s="31" t="s">
        <v>2739</v>
      </c>
    </row>
    <row r="2" ht="30" customHeight="1" spans="1:83">
      <c r="A2" s="32" t="s">
        <v>1</v>
      </c>
    </row>
    <row r="3" ht="15.6" spans="1:83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2740</v>
      </c>
      <c r="G3" s="33"/>
      <c r="H3" s="33"/>
      <c r="I3" s="33" t="s">
        <v>2741</v>
      </c>
      <c r="J3" s="33"/>
      <c r="K3" s="33"/>
      <c r="L3" s="33" t="s">
        <v>2742</v>
      </c>
      <c r="M3" s="33"/>
      <c r="N3" s="33"/>
      <c r="O3" s="33" t="s">
        <v>2743</v>
      </c>
      <c r="P3" s="33"/>
      <c r="Q3" s="33"/>
      <c r="R3" s="33" t="s">
        <v>2744</v>
      </c>
      <c r="S3" s="33"/>
      <c r="T3" s="33"/>
      <c r="U3" s="33" t="s">
        <v>2745</v>
      </c>
      <c r="V3" s="33"/>
      <c r="W3" s="33"/>
      <c r="X3" s="33" t="s">
        <v>2746</v>
      </c>
      <c r="Y3" s="33"/>
      <c r="Z3" s="33"/>
      <c r="AA3" s="33" t="s">
        <v>2747</v>
      </c>
      <c r="AB3" s="33"/>
      <c r="AC3" s="33"/>
      <c r="AD3" s="33" t="s">
        <v>2748</v>
      </c>
      <c r="AE3" s="33"/>
      <c r="AF3" s="33"/>
      <c r="AG3" s="33" t="s">
        <v>2749</v>
      </c>
      <c r="AH3" s="33"/>
      <c r="AI3" s="33"/>
      <c r="AJ3" s="33" t="s">
        <v>2750</v>
      </c>
      <c r="AK3" s="33"/>
      <c r="AL3" s="33"/>
      <c r="AM3" s="33" t="s">
        <v>2751</v>
      </c>
      <c r="AN3" s="33"/>
      <c r="AO3" s="33"/>
      <c r="AP3" s="33" t="s">
        <v>2752</v>
      </c>
      <c r="AQ3" s="33"/>
      <c r="AR3" s="33"/>
      <c r="AS3" s="33" t="s">
        <v>2753</v>
      </c>
      <c r="AT3" s="33"/>
      <c r="AU3" s="33"/>
      <c r="AV3" s="33" t="s">
        <v>2754</v>
      </c>
      <c r="AW3" s="33"/>
      <c r="AX3" s="33"/>
      <c r="AY3" s="33" t="s">
        <v>2755</v>
      </c>
      <c r="AZ3" s="33"/>
      <c r="BA3" s="33"/>
      <c r="BB3" s="33" t="s">
        <v>2756</v>
      </c>
      <c r="BC3" s="33"/>
      <c r="BD3" s="33"/>
      <c r="BE3" s="33" t="s">
        <v>2757</v>
      </c>
      <c r="BF3" s="33"/>
      <c r="BG3" s="33"/>
      <c r="BH3" s="33" t="s">
        <v>2758</v>
      </c>
      <c r="BI3" s="33"/>
      <c r="BJ3" s="33"/>
      <c r="BK3" s="33" t="s">
        <v>2759</v>
      </c>
      <c r="BL3" s="33"/>
      <c r="BM3" s="33"/>
      <c r="BN3" s="33" t="s">
        <v>2760</v>
      </c>
      <c r="BO3" s="33"/>
      <c r="BP3" s="33"/>
      <c r="BQ3" s="33" t="s">
        <v>2761</v>
      </c>
      <c r="BR3" s="33"/>
      <c r="BS3" s="33"/>
      <c r="BT3" s="33" t="s">
        <v>2762</v>
      </c>
      <c r="BU3" s="33"/>
      <c r="BV3" s="33"/>
      <c r="BW3" s="33" t="s">
        <v>2763</v>
      </c>
      <c r="BX3" s="33"/>
      <c r="BY3" s="33"/>
      <c r="BZ3" s="33" t="s">
        <v>2764</v>
      </c>
      <c r="CA3" s="33"/>
      <c r="CB3" s="33"/>
      <c r="CC3" s="33" t="s">
        <v>2765</v>
      </c>
      <c r="CD3" s="33"/>
      <c r="CE3" s="33"/>
    </row>
    <row r="4" ht="15.6" spans="1:83">
      <c r="A4" s="33"/>
      <c r="B4" s="33"/>
      <c r="C4" s="33"/>
      <c r="D4" s="33"/>
      <c r="E4" s="33"/>
      <c r="F4" s="33" t="s">
        <v>2766</v>
      </c>
      <c r="G4" s="33" t="s">
        <v>2767</v>
      </c>
      <c r="H4" s="33" t="s">
        <v>427</v>
      </c>
      <c r="I4" s="33" t="s">
        <v>2766</v>
      </c>
      <c r="J4" s="33" t="s">
        <v>2767</v>
      </c>
      <c r="K4" s="33" t="s">
        <v>427</v>
      </c>
      <c r="L4" s="33" t="s">
        <v>2766</v>
      </c>
      <c r="M4" s="33" t="s">
        <v>2767</v>
      </c>
      <c r="N4" s="33" t="s">
        <v>427</v>
      </c>
      <c r="O4" s="33" t="s">
        <v>2766</v>
      </c>
      <c r="P4" s="33" t="s">
        <v>2767</v>
      </c>
      <c r="Q4" s="33" t="s">
        <v>427</v>
      </c>
      <c r="R4" s="33" t="s">
        <v>2766</v>
      </c>
      <c r="S4" s="33" t="s">
        <v>2767</v>
      </c>
      <c r="T4" s="33" t="s">
        <v>427</v>
      </c>
      <c r="U4" s="33" t="s">
        <v>2766</v>
      </c>
      <c r="V4" s="33" t="s">
        <v>2767</v>
      </c>
      <c r="W4" s="33" t="s">
        <v>427</v>
      </c>
      <c r="X4" s="33" t="s">
        <v>2766</v>
      </c>
      <c r="Y4" s="33" t="s">
        <v>2767</v>
      </c>
      <c r="Z4" s="33" t="s">
        <v>427</v>
      </c>
      <c r="AA4" s="33" t="s">
        <v>2766</v>
      </c>
      <c r="AB4" s="33" t="s">
        <v>2767</v>
      </c>
      <c r="AC4" s="33" t="s">
        <v>427</v>
      </c>
      <c r="AD4" s="33" t="s">
        <v>2766</v>
      </c>
      <c r="AE4" s="33" t="s">
        <v>2767</v>
      </c>
      <c r="AF4" s="33" t="s">
        <v>427</v>
      </c>
      <c r="AG4" s="33" t="s">
        <v>2766</v>
      </c>
      <c r="AH4" s="33" t="s">
        <v>2767</v>
      </c>
      <c r="AI4" s="33" t="s">
        <v>427</v>
      </c>
      <c r="AJ4" s="33" t="s">
        <v>2766</v>
      </c>
      <c r="AK4" s="33" t="s">
        <v>2767</v>
      </c>
      <c r="AL4" s="33" t="s">
        <v>427</v>
      </c>
      <c r="AM4" s="33" t="s">
        <v>2766</v>
      </c>
      <c r="AN4" s="33" t="s">
        <v>2767</v>
      </c>
      <c r="AO4" s="33" t="s">
        <v>427</v>
      </c>
      <c r="AP4" s="33" t="s">
        <v>2766</v>
      </c>
      <c r="AQ4" s="33" t="s">
        <v>2767</v>
      </c>
      <c r="AR4" s="33" t="s">
        <v>427</v>
      </c>
      <c r="AS4" s="33" t="s">
        <v>2766</v>
      </c>
      <c r="AT4" s="33" t="s">
        <v>2767</v>
      </c>
      <c r="AU4" s="33" t="s">
        <v>427</v>
      </c>
      <c r="AV4" s="33" t="s">
        <v>2766</v>
      </c>
      <c r="AW4" s="33" t="s">
        <v>2767</v>
      </c>
      <c r="AX4" s="33" t="s">
        <v>427</v>
      </c>
      <c r="AY4" s="33" t="s">
        <v>2766</v>
      </c>
      <c r="AZ4" s="33" t="s">
        <v>2767</v>
      </c>
      <c r="BA4" s="33" t="s">
        <v>427</v>
      </c>
      <c r="BB4" s="33" t="s">
        <v>2766</v>
      </c>
      <c r="BC4" s="33" t="s">
        <v>2767</v>
      </c>
      <c r="BD4" s="33" t="s">
        <v>427</v>
      </c>
      <c r="BE4" s="33" t="s">
        <v>2766</v>
      </c>
      <c r="BF4" s="33" t="s">
        <v>2767</v>
      </c>
      <c r="BG4" s="33" t="s">
        <v>427</v>
      </c>
      <c r="BH4" s="33" t="s">
        <v>2766</v>
      </c>
      <c r="BI4" s="33" t="s">
        <v>2767</v>
      </c>
      <c r="BJ4" s="33" t="s">
        <v>427</v>
      </c>
      <c r="BK4" s="33" t="s">
        <v>2766</v>
      </c>
      <c r="BL4" s="33" t="s">
        <v>2767</v>
      </c>
      <c r="BM4" s="33" t="s">
        <v>427</v>
      </c>
      <c r="BN4" s="33" t="s">
        <v>2766</v>
      </c>
      <c r="BO4" s="33" t="s">
        <v>2767</v>
      </c>
      <c r="BP4" s="33" t="s">
        <v>427</v>
      </c>
      <c r="BQ4" s="33" t="s">
        <v>2766</v>
      </c>
      <c r="BR4" s="33" t="s">
        <v>2767</v>
      </c>
      <c r="BS4" s="33" t="s">
        <v>427</v>
      </c>
      <c r="BT4" s="33" t="s">
        <v>2766</v>
      </c>
      <c r="BU4" s="33" t="s">
        <v>2767</v>
      </c>
      <c r="BV4" s="33" t="s">
        <v>427</v>
      </c>
      <c r="BW4" s="33" t="s">
        <v>2766</v>
      </c>
      <c r="BX4" s="33" t="s">
        <v>2767</v>
      </c>
      <c r="BY4" s="33" t="s">
        <v>427</v>
      </c>
      <c r="BZ4" s="33" t="s">
        <v>2766</v>
      </c>
      <c r="CA4" s="33" t="s">
        <v>2767</v>
      </c>
      <c r="CB4" s="33" t="s">
        <v>427</v>
      </c>
      <c r="CC4" s="33" t="s">
        <v>2766</v>
      </c>
      <c r="CD4" s="33" t="s">
        <v>2767</v>
      </c>
      <c r="CE4" s="33" t="s">
        <v>427</v>
      </c>
    </row>
    <row r="5" ht="30" customHeight="1" spans="1:83">
      <c r="A5" s="36" t="s">
        <v>12</v>
      </c>
      <c r="B5" s="36" t="s">
        <v>13</v>
      </c>
      <c r="C5" s="36" t="s">
        <v>14</v>
      </c>
      <c r="D5" s="36" t="s">
        <v>15</v>
      </c>
      <c r="E5" s="36" t="s">
        <v>16</v>
      </c>
      <c r="F5" s="39">
        <v>80</v>
      </c>
      <c r="G5" s="36" t="s">
        <v>2768</v>
      </c>
      <c r="H5" s="36" t="s">
        <v>429</v>
      </c>
      <c r="I5" s="39">
        <v>80</v>
      </c>
      <c r="J5" s="36" t="s">
        <v>2769</v>
      </c>
      <c r="K5" s="36" t="s">
        <v>429</v>
      </c>
      <c r="L5" s="39">
        <v>80</v>
      </c>
      <c r="M5" s="36" t="s">
        <v>2770</v>
      </c>
      <c r="N5" s="36" t="s">
        <v>429</v>
      </c>
      <c r="O5" s="39">
        <v>80</v>
      </c>
      <c r="P5" s="36" t="s">
        <v>2771</v>
      </c>
      <c r="Q5" s="36" t="s">
        <v>429</v>
      </c>
      <c r="R5" s="39">
        <v>100</v>
      </c>
      <c r="S5" s="36" t="s">
        <v>2772</v>
      </c>
      <c r="T5" s="36" t="s">
        <v>429</v>
      </c>
      <c r="U5" s="39">
        <v>80</v>
      </c>
      <c r="V5" s="36" t="s">
        <v>2773</v>
      </c>
      <c r="W5" s="36" t="s">
        <v>429</v>
      </c>
      <c r="X5" s="39">
        <v>80</v>
      </c>
      <c r="Y5" s="36" t="s">
        <v>2774</v>
      </c>
      <c r="Z5" s="36" t="s">
        <v>429</v>
      </c>
      <c r="AA5" s="39">
        <v>80</v>
      </c>
      <c r="AB5" s="36" t="s">
        <v>2460</v>
      </c>
      <c r="AC5" s="36" t="s">
        <v>429</v>
      </c>
      <c r="AD5" s="39">
        <v>80</v>
      </c>
      <c r="AE5" s="36" t="s">
        <v>448</v>
      </c>
      <c r="AF5" s="36" t="s">
        <v>429</v>
      </c>
      <c r="AG5" s="39">
        <v>100</v>
      </c>
      <c r="AH5" s="36" t="s">
        <v>1852</v>
      </c>
      <c r="AI5" s="36" t="s">
        <v>429</v>
      </c>
      <c r="AJ5" s="36" t="s">
        <v>682</v>
      </c>
      <c r="AK5" s="36" t="s">
        <v>682</v>
      </c>
      <c r="AL5" s="36" t="s">
        <v>681</v>
      </c>
      <c r="AM5" s="39">
        <v>70</v>
      </c>
      <c r="AN5" s="36" t="s">
        <v>2775</v>
      </c>
      <c r="AO5" s="36" t="s">
        <v>429</v>
      </c>
      <c r="AP5" s="39">
        <v>70</v>
      </c>
      <c r="AQ5" s="36" t="s">
        <v>2776</v>
      </c>
      <c r="AR5" s="36" t="s">
        <v>429</v>
      </c>
      <c r="AS5" s="39">
        <v>100</v>
      </c>
      <c r="AT5" s="36" t="s">
        <v>2777</v>
      </c>
      <c r="AU5" s="36" t="s">
        <v>429</v>
      </c>
      <c r="AV5" s="39">
        <v>100</v>
      </c>
      <c r="AW5" s="36" t="s">
        <v>2778</v>
      </c>
      <c r="AX5" s="36" t="s">
        <v>429</v>
      </c>
      <c r="AY5" s="36" t="s">
        <v>682</v>
      </c>
      <c r="AZ5" s="36" t="s">
        <v>682</v>
      </c>
      <c r="BA5" s="36" t="s">
        <v>681</v>
      </c>
      <c r="BB5" s="39">
        <v>70</v>
      </c>
      <c r="BC5" s="36" t="s">
        <v>2779</v>
      </c>
      <c r="BD5" s="36" t="s">
        <v>429</v>
      </c>
      <c r="BE5" s="39">
        <v>80</v>
      </c>
      <c r="BF5" s="36" t="s">
        <v>2780</v>
      </c>
      <c r="BG5" s="36" t="s">
        <v>429</v>
      </c>
      <c r="BH5" s="39">
        <v>60</v>
      </c>
      <c r="BI5" s="36" t="s">
        <v>2781</v>
      </c>
      <c r="BJ5" s="36" t="s">
        <v>429</v>
      </c>
      <c r="BK5" s="39">
        <v>90</v>
      </c>
      <c r="BL5" s="36" t="s">
        <v>2782</v>
      </c>
      <c r="BM5" s="36" t="s">
        <v>429</v>
      </c>
      <c r="BN5" s="39">
        <v>80</v>
      </c>
      <c r="BO5" s="36" t="s">
        <v>2783</v>
      </c>
      <c r="BP5" s="36" t="s">
        <v>429</v>
      </c>
      <c r="BQ5" s="39">
        <v>100</v>
      </c>
      <c r="BR5" s="36" t="s">
        <v>2784</v>
      </c>
      <c r="BS5" s="36" t="s">
        <v>429</v>
      </c>
      <c r="BT5" s="39">
        <v>80</v>
      </c>
      <c r="BU5" s="36" t="s">
        <v>2785</v>
      </c>
      <c r="BV5" s="36" t="s">
        <v>429</v>
      </c>
      <c r="BW5" s="39">
        <v>80</v>
      </c>
      <c r="BX5" s="36" t="s">
        <v>2786</v>
      </c>
      <c r="BY5" s="36" t="s">
        <v>429</v>
      </c>
      <c r="BZ5" s="39">
        <v>90</v>
      </c>
      <c r="CA5" s="36" t="s">
        <v>2787</v>
      </c>
      <c r="CB5" s="36" t="s">
        <v>429</v>
      </c>
      <c r="CC5" s="36" t="s">
        <v>682</v>
      </c>
      <c r="CD5" s="36" t="s">
        <v>682</v>
      </c>
      <c r="CE5" s="36" t="s">
        <v>681</v>
      </c>
    </row>
    <row r="6" ht="30" customHeight="1" spans="1:83">
      <c r="A6" s="34" t="s">
        <v>17</v>
      </c>
      <c r="B6" s="34" t="s">
        <v>18</v>
      </c>
      <c r="C6" s="34" t="s">
        <v>14</v>
      </c>
      <c r="D6" s="34" t="s">
        <v>15</v>
      </c>
      <c r="E6" s="34" t="s">
        <v>16</v>
      </c>
      <c r="F6" s="38">
        <v>90</v>
      </c>
      <c r="G6" s="34" t="s">
        <v>2788</v>
      </c>
      <c r="H6" s="34" t="s">
        <v>429</v>
      </c>
      <c r="I6" s="38">
        <v>100</v>
      </c>
      <c r="J6" s="34" t="s">
        <v>2789</v>
      </c>
      <c r="K6" s="34" t="s">
        <v>429</v>
      </c>
      <c r="L6" s="38">
        <v>100</v>
      </c>
      <c r="M6" s="34" t="s">
        <v>2790</v>
      </c>
      <c r="N6" s="34" t="s">
        <v>429</v>
      </c>
      <c r="O6" s="38">
        <v>90</v>
      </c>
      <c r="P6" s="34" t="s">
        <v>2791</v>
      </c>
      <c r="Q6" s="34" t="s">
        <v>429</v>
      </c>
      <c r="R6" s="38">
        <v>100</v>
      </c>
      <c r="S6" s="34" t="s">
        <v>780</v>
      </c>
      <c r="T6" s="34" t="s">
        <v>429</v>
      </c>
      <c r="U6" s="38">
        <v>90</v>
      </c>
      <c r="V6" s="34" t="s">
        <v>2792</v>
      </c>
      <c r="W6" s="34" t="s">
        <v>429</v>
      </c>
      <c r="X6" s="38">
        <v>80</v>
      </c>
      <c r="Y6" s="34" t="s">
        <v>2793</v>
      </c>
      <c r="Z6" s="34" t="s">
        <v>429</v>
      </c>
      <c r="AA6" s="38">
        <v>100</v>
      </c>
      <c r="AB6" s="34" t="s">
        <v>1888</v>
      </c>
      <c r="AC6" s="34" t="s">
        <v>429</v>
      </c>
      <c r="AD6" s="38">
        <v>100</v>
      </c>
      <c r="AE6" s="34" t="s">
        <v>1708</v>
      </c>
      <c r="AF6" s="34" t="s">
        <v>429</v>
      </c>
      <c r="AG6" s="38">
        <v>100</v>
      </c>
      <c r="AH6" s="34" t="s">
        <v>2794</v>
      </c>
      <c r="AI6" s="34" t="s">
        <v>429</v>
      </c>
      <c r="AJ6" s="38">
        <v>100</v>
      </c>
      <c r="AK6" s="34" t="s">
        <v>487</v>
      </c>
      <c r="AL6" s="34" t="s">
        <v>429</v>
      </c>
      <c r="AM6" s="38">
        <v>60</v>
      </c>
      <c r="AN6" s="34" t="s">
        <v>2795</v>
      </c>
      <c r="AO6" s="34" t="s">
        <v>429</v>
      </c>
      <c r="AP6" s="38">
        <v>90</v>
      </c>
      <c r="AQ6" s="34" t="s">
        <v>2796</v>
      </c>
      <c r="AR6" s="34" t="s">
        <v>429</v>
      </c>
      <c r="AS6" s="38">
        <v>100</v>
      </c>
      <c r="AT6" s="34" t="s">
        <v>2280</v>
      </c>
      <c r="AU6" s="34" t="s">
        <v>429</v>
      </c>
      <c r="AV6" s="38">
        <v>100</v>
      </c>
      <c r="AW6" s="34" t="s">
        <v>1566</v>
      </c>
      <c r="AX6" s="34" t="s">
        <v>429</v>
      </c>
      <c r="AY6" s="38">
        <v>100</v>
      </c>
      <c r="AZ6" s="34" t="s">
        <v>1034</v>
      </c>
      <c r="BA6" s="34" t="s">
        <v>429</v>
      </c>
      <c r="BB6" s="38">
        <v>70</v>
      </c>
      <c r="BC6" s="34" t="s">
        <v>2797</v>
      </c>
      <c r="BD6" s="34" t="s">
        <v>429</v>
      </c>
      <c r="BE6" s="38">
        <v>80</v>
      </c>
      <c r="BF6" s="34" t="s">
        <v>2798</v>
      </c>
      <c r="BG6" s="34" t="s">
        <v>429</v>
      </c>
      <c r="BH6" s="38">
        <v>70</v>
      </c>
      <c r="BI6" s="34" t="s">
        <v>2799</v>
      </c>
      <c r="BJ6" s="34" t="s">
        <v>429</v>
      </c>
      <c r="BK6" s="38">
        <v>70</v>
      </c>
      <c r="BL6" s="34" t="s">
        <v>2800</v>
      </c>
      <c r="BM6" s="34" t="s">
        <v>429</v>
      </c>
      <c r="BN6" s="38">
        <v>80</v>
      </c>
      <c r="BO6" s="34" t="s">
        <v>2801</v>
      </c>
      <c r="BP6" s="34" t="s">
        <v>429</v>
      </c>
      <c r="BQ6" s="38">
        <v>70</v>
      </c>
      <c r="BR6" s="34" t="s">
        <v>2802</v>
      </c>
      <c r="BS6" s="34" t="s">
        <v>429</v>
      </c>
      <c r="BT6" s="38">
        <v>70</v>
      </c>
      <c r="BU6" s="34" t="s">
        <v>2803</v>
      </c>
      <c r="BV6" s="34" t="s">
        <v>429</v>
      </c>
      <c r="BW6" s="38">
        <v>80</v>
      </c>
      <c r="BX6" s="34" t="s">
        <v>2804</v>
      </c>
      <c r="BY6" s="34" t="s">
        <v>429</v>
      </c>
      <c r="BZ6" s="38">
        <v>90</v>
      </c>
      <c r="CA6" s="34" t="s">
        <v>2805</v>
      </c>
      <c r="CB6" s="34" t="s">
        <v>429</v>
      </c>
      <c r="CC6" s="34" t="s">
        <v>682</v>
      </c>
      <c r="CD6" s="34" t="s">
        <v>682</v>
      </c>
      <c r="CE6" s="34" t="s">
        <v>681</v>
      </c>
    </row>
    <row r="7" ht="30" customHeight="1" spans="1:83">
      <c r="A7" s="36" t="s">
        <v>19</v>
      </c>
      <c r="B7" s="36" t="s">
        <v>20</v>
      </c>
      <c r="C7" s="36" t="s">
        <v>14</v>
      </c>
      <c r="D7" s="36" t="s">
        <v>15</v>
      </c>
      <c r="E7" s="36" t="s">
        <v>21</v>
      </c>
      <c r="F7" s="39">
        <v>100</v>
      </c>
      <c r="G7" s="36" t="s">
        <v>2806</v>
      </c>
      <c r="H7" s="36" t="s">
        <v>429</v>
      </c>
      <c r="I7" s="39">
        <v>100</v>
      </c>
      <c r="J7" s="36" t="s">
        <v>2807</v>
      </c>
      <c r="K7" s="36" t="s">
        <v>429</v>
      </c>
      <c r="L7" s="39">
        <v>100</v>
      </c>
      <c r="M7" s="36" t="s">
        <v>2808</v>
      </c>
      <c r="N7" s="36" t="s">
        <v>429</v>
      </c>
      <c r="O7" s="39">
        <v>90</v>
      </c>
      <c r="P7" s="36" t="s">
        <v>2809</v>
      </c>
      <c r="Q7" s="36" t="s">
        <v>429</v>
      </c>
      <c r="R7" s="39">
        <v>100</v>
      </c>
      <c r="S7" s="36" t="s">
        <v>2810</v>
      </c>
      <c r="T7" s="36" t="s">
        <v>429</v>
      </c>
      <c r="U7" s="39">
        <v>80</v>
      </c>
      <c r="V7" s="36" t="s">
        <v>2811</v>
      </c>
      <c r="W7" s="36" t="s">
        <v>429</v>
      </c>
      <c r="X7" s="39">
        <v>100</v>
      </c>
      <c r="Y7" s="36" t="s">
        <v>1628</v>
      </c>
      <c r="Z7" s="36" t="s">
        <v>429</v>
      </c>
      <c r="AA7" s="39">
        <v>100</v>
      </c>
      <c r="AB7" s="36" t="s">
        <v>2156</v>
      </c>
      <c r="AC7" s="36" t="s">
        <v>429</v>
      </c>
      <c r="AD7" s="39">
        <v>100</v>
      </c>
      <c r="AE7" s="36" t="s">
        <v>1155</v>
      </c>
      <c r="AF7" s="36" t="s">
        <v>429</v>
      </c>
      <c r="AG7" s="39">
        <v>100</v>
      </c>
      <c r="AH7" s="36" t="s">
        <v>2812</v>
      </c>
      <c r="AI7" s="36" t="s">
        <v>429</v>
      </c>
      <c r="AJ7" s="39">
        <v>80</v>
      </c>
      <c r="AK7" s="36" t="s">
        <v>2813</v>
      </c>
      <c r="AL7" s="36" t="s">
        <v>429</v>
      </c>
      <c r="AM7" s="39">
        <v>70</v>
      </c>
      <c r="AN7" s="36" t="s">
        <v>2814</v>
      </c>
      <c r="AO7" s="36" t="s">
        <v>429</v>
      </c>
      <c r="AP7" s="39">
        <v>80</v>
      </c>
      <c r="AQ7" s="36" t="s">
        <v>2815</v>
      </c>
      <c r="AR7" s="36" t="s">
        <v>429</v>
      </c>
      <c r="AS7" s="39">
        <v>100</v>
      </c>
      <c r="AT7" s="36" t="s">
        <v>2816</v>
      </c>
      <c r="AU7" s="36" t="s">
        <v>429</v>
      </c>
      <c r="AV7" s="39">
        <v>100</v>
      </c>
      <c r="AW7" s="36" t="s">
        <v>2817</v>
      </c>
      <c r="AX7" s="36" t="s">
        <v>429</v>
      </c>
      <c r="AY7" s="39">
        <v>100</v>
      </c>
      <c r="AZ7" s="36" t="s">
        <v>2818</v>
      </c>
      <c r="BA7" s="36" t="s">
        <v>429</v>
      </c>
      <c r="BB7" s="39">
        <v>70</v>
      </c>
      <c r="BC7" s="36" t="s">
        <v>2819</v>
      </c>
      <c r="BD7" s="36" t="s">
        <v>429</v>
      </c>
      <c r="BE7" s="39">
        <v>80</v>
      </c>
      <c r="BF7" s="36" t="s">
        <v>2820</v>
      </c>
      <c r="BG7" s="36" t="s">
        <v>429</v>
      </c>
      <c r="BH7" s="39">
        <v>70</v>
      </c>
      <c r="BI7" s="36" t="s">
        <v>2821</v>
      </c>
      <c r="BJ7" s="36" t="s">
        <v>429</v>
      </c>
      <c r="BK7" s="39">
        <v>70</v>
      </c>
      <c r="BL7" s="36" t="s">
        <v>2822</v>
      </c>
      <c r="BM7" s="36" t="s">
        <v>429</v>
      </c>
      <c r="BN7" s="39">
        <v>100</v>
      </c>
      <c r="BO7" s="36" t="s">
        <v>2823</v>
      </c>
      <c r="BP7" s="36" t="s">
        <v>429</v>
      </c>
      <c r="BQ7" s="39">
        <v>80</v>
      </c>
      <c r="BR7" s="36" t="s">
        <v>2824</v>
      </c>
      <c r="BS7" s="36" t="s">
        <v>429</v>
      </c>
      <c r="BT7" s="39">
        <v>80</v>
      </c>
      <c r="BU7" s="36" t="s">
        <v>2825</v>
      </c>
      <c r="BV7" s="36" t="s">
        <v>429</v>
      </c>
      <c r="BW7" s="39">
        <v>80</v>
      </c>
      <c r="BX7" s="36" t="s">
        <v>2826</v>
      </c>
      <c r="BY7" s="36" t="s">
        <v>429</v>
      </c>
      <c r="BZ7" s="39">
        <v>90</v>
      </c>
      <c r="CA7" s="36" t="s">
        <v>2827</v>
      </c>
      <c r="CB7" s="36" t="s">
        <v>429</v>
      </c>
      <c r="CC7" s="39">
        <v>80</v>
      </c>
      <c r="CD7" s="36" t="s">
        <v>2828</v>
      </c>
      <c r="CE7" s="36" t="s">
        <v>429</v>
      </c>
    </row>
    <row r="8" ht="30" customHeight="1" spans="1:83">
      <c r="A8" s="34" t="s">
        <v>22</v>
      </c>
      <c r="B8" s="34" t="s">
        <v>23</v>
      </c>
      <c r="C8" s="34" t="s">
        <v>14</v>
      </c>
      <c r="D8" s="34" t="s">
        <v>15</v>
      </c>
      <c r="E8" s="34" t="s">
        <v>21</v>
      </c>
      <c r="F8" s="38">
        <v>100</v>
      </c>
      <c r="G8" s="34" t="s">
        <v>2829</v>
      </c>
      <c r="H8" s="34" t="s">
        <v>429</v>
      </c>
      <c r="I8" s="38">
        <v>100</v>
      </c>
      <c r="J8" s="34" t="s">
        <v>2582</v>
      </c>
      <c r="K8" s="34" t="s">
        <v>429</v>
      </c>
      <c r="L8" s="38">
        <v>100</v>
      </c>
      <c r="M8" s="34" t="s">
        <v>2830</v>
      </c>
      <c r="N8" s="34" t="s">
        <v>429</v>
      </c>
      <c r="O8" s="38">
        <v>90</v>
      </c>
      <c r="P8" s="34" t="s">
        <v>2831</v>
      </c>
      <c r="Q8" s="34" t="s">
        <v>429</v>
      </c>
      <c r="R8" s="38">
        <v>100</v>
      </c>
      <c r="S8" s="34" t="s">
        <v>2832</v>
      </c>
      <c r="T8" s="34" t="s">
        <v>429</v>
      </c>
      <c r="U8" s="38">
        <v>100</v>
      </c>
      <c r="V8" s="34" t="s">
        <v>2833</v>
      </c>
      <c r="W8" s="34" t="s">
        <v>429</v>
      </c>
      <c r="X8" s="38">
        <v>70</v>
      </c>
      <c r="Y8" s="34" t="s">
        <v>2834</v>
      </c>
      <c r="Z8" s="34" t="s">
        <v>429</v>
      </c>
      <c r="AA8" s="38">
        <v>100</v>
      </c>
      <c r="AB8" s="34" t="s">
        <v>1155</v>
      </c>
      <c r="AC8" s="34" t="s">
        <v>429</v>
      </c>
      <c r="AD8" s="38">
        <v>100</v>
      </c>
      <c r="AE8" s="34" t="s">
        <v>2241</v>
      </c>
      <c r="AF8" s="34" t="s">
        <v>429</v>
      </c>
      <c r="AG8" s="38">
        <v>100</v>
      </c>
      <c r="AH8" s="34" t="s">
        <v>2835</v>
      </c>
      <c r="AI8" s="34" t="s">
        <v>429</v>
      </c>
      <c r="AJ8" s="38">
        <v>100</v>
      </c>
      <c r="AK8" s="34" t="s">
        <v>1385</v>
      </c>
      <c r="AL8" s="34" t="s">
        <v>429</v>
      </c>
      <c r="AM8" s="38">
        <v>80</v>
      </c>
      <c r="AN8" s="34" t="s">
        <v>2836</v>
      </c>
      <c r="AO8" s="34" t="s">
        <v>429</v>
      </c>
      <c r="AP8" s="38">
        <v>90</v>
      </c>
      <c r="AQ8" s="34" t="s">
        <v>2837</v>
      </c>
      <c r="AR8" s="34" t="s">
        <v>429</v>
      </c>
      <c r="AS8" s="38">
        <v>100</v>
      </c>
      <c r="AT8" s="34" t="s">
        <v>2712</v>
      </c>
      <c r="AU8" s="34" t="s">
        <v>429</v>
      </c>
      <c r="AV8" s="38">
        <v>100</v>
      </c>
      <c r="AW8" s="34" t="s">
        <v>2838</v>
      </c>
      <c r="AX8" s="34" t="s">
        <v>429</v>
      </c>
      <c r="AY8" s="38">
        <v>100</v>
      </c>
      <c r="AZ8" s="34" t="s">
        <v>2839</v>
      </c>
      <c r="BA8" s="34" t="s">
        <v>429</v>
      </c>
      <c r="BB8" s="38">
        <v>70</v>
      </c>
      <c r="BC8" s="34" t="s">
        <v>2840</v>
      </c>
      <c r="BD8" s="34" t="s">
        <v>429</v>
      </c>
      <c r="BE8" s="38">
        <v>80</v>
      </c>
      <c r="BF8" s="34" t="s">
        <v>2841</v>
      </c>
      <c r="BG8" s="34" t="s">
        <v>429</v>
      </c>
      <c r="BH8" s="38">
        <v>100</v>
      </c>
      <c r="BI8" s="34" t="s">
        <v>2842</v>
      </c>
      <c r="BJ8" s="34" t="s">
        <v>429</v>
      </c>
      <c r="BK8" s="38">
        <v>80</v>
      </c>
      <c r="BL8" s="34" t="s">
        <v>2843</v>
      </c>
      <c r="BM8" s="34" t="s">
        <v>429</v>
      </c>
      <c r="BN8" s="38">
        <v>100</v>
      </c>
      <c r="BO8" s="34" t="s">
        <v>2844</v>
      </c>
      <c r="BP8" s="34" t="s">
        <v>429</v>
      </c>
      <c r="BQ8" s="38">
        <v>90</v>
      </c>
      <c r="BR8" s="34" t="s">
        <v>2845</v>
      </c>
      <c r="BS8" s="34" t="s">
        <v>429</v>
      </c>
      <c r="BT8" s="38">
        <v>90</v>
      </c>
      <c r="BU8" s="34" t="s">
        <v>2846</v>
      </c>
      <c r="BV8" s="34" t="s">
        <v>429</v>
      </c>
      <c r="BW8" s="38">
        <v>90</v>
      </c>
      <c r="BX8" s="34" t="s">
        <v>2847</v>
      </c>
      <c r="BY8" s="34" t="s">
        <v>429</v>
      </c>
      <c r="BZ8" s="38">
        <v>90</v>
      </c>
      <c r="CA8" s="34" t="s">
        <v>2848</v>
      </c>
      <c r="CB8" s="34" t="s">
        <v>429</v>
      </c>
      <c r="CC8" s="38">
        <v>80</v>
      </c>
      <c r="CD8" s="34" t="s">
        <v>2849</v>
      </c>
      <c r="CE8" s="34" t="s">
        <v>429</v>
      </c>
    </row>
    <row r="9" ht="30" customHeight="1" spans="1:83">
      <c r="A9" s="36" t="s">
        <v>24</v>
      </c>
      <c r="B9" s="36" t="s">
        <v>25</v>
      </c>
      <c r="C9" s="36" t="s">
        <v>14</v>
      </c>
      <c r="D9" s="36" t="s">
        <v>15</v>
      </c>
      <c r="E9" s="36" t="s">
        <v>21</v>
      </c>
      <c r="F9" s="39">
        <v>100</v>
      </c>
      <c r="G9" s="36" t="s">
        <v>2850</v>
      </c>
      <c r="H9" s="36" t="s">
        <v>429</v>
      </c>
      <c r="I9" s="39">
        <v>80</v>
      </c>
      <c r="J9" s="36" t="s">
        <v>2851</v>
      </c>
      <c r="K9" s="36" t="s">
        <v>429</v>
      </c>
      <c r="L9" s="39">
        <v>80</v>
      </c>
      <c r="M9" s="36" t="s">
        <v>2852</v>
      </c>
      <c r="N9" s="36" t="s">
        <v>429</v>
      </c>
      <c r="O9" s="39">
        <v>60</v>
      </c>
      <c r="P9" s="36" t="s">
        <v>2853</v>
      </c>
      <c r="Q9" s="36" t="s">
        <v>429</v>
      </c>
      <c r="R9" s="39">
        <v>100</v>
      </c>
      <c r="S9" s="36" t="s">
        <v>2854</v>
      </c>
      <c r="T9" s="36" t="s">
        <v>429</v>
      </c>
      <c r="U9" s="39">
        <v>90</v>
      </c>
      <c r="V9" s="36" t="s">
        <v>2855</v>
      </c>
      <c r="W9" s="36" t="s">
        <v>429</v>
      </c>
      <c r="X9" s="39">
        <v>70</v>
      </c>
      <c r="Y9" s="36" t="s">
        <v>2856</v>
      </c>
      <c r="Z9" s="36" t="s">
        <v>429</v>
      </c>
      <c r="AA9" s="39">
        <v>100</v>
      </c>
      <c r="AB9" s="36" t="s">
        <v>2857</v>
      </c>
      <c r="AC9" s="36" t="s">
        <v>429</v>
      </c>
      <c r="AD9" s="39">
        <v>100</v>
      </c>
      <c r="AE9" s="36" t="s">
        <v>1264</v>
      </c>
      <c r="AF9" s="36" t="s">
        <v>429</v>
      </c>
      <c r="AG9" s="39">
        <v>80</v>
      </c>
      <c r="AH9" s="36" t="s">
        <v>2196</v>
      </c>
      <c r="AI9" s="36" t="s">
        <v>429</v>
      </c>
      <c r="AJ9" s="39">
        <v>100</v>
      </c>
      <c r="AK9" s="36" t="s">
        <v>977</v>
      </c>
      <c r="AL9" s="36" t="s">
        <v>429</v>
      </c>
      <c r="AM9" s="39">
        <v>95</v>
      </c>
      <c r="AN9" s="36" t="s">
        <v>2858</v>
      </c>
      <c r="AO9" s="36" t="s">
        <v>429</v>
      </c>
      <c r="AP9" s="39">
        <v>90</v>
      </c>
      <c r="AQ9" s="36" t="s">
        <v>2859</v>
      </c>
      <c r="AR9" s="36" t="s">
        <v>429</v>
      </c>
      <c r="AS9" s="36" t="s">
        <v>682</v>
      </c>
      <c r="AT9" s="36" t="s">
        <v>682</v>
      </c>
      <c r="AU9" s="36" t="s">
        <v>681</v>
      </c>
      <c r="AV9" s="39">
        <v>100</v>
      </c>
      <c r="AW9" s="36" t="s">
        <v>2231</v>
      </c>
      <c r="AX9" s="36" t="s">
        <v>429</v>
      </c>
      <c r="AY9" s="39">
        <v>100</v>
      </c>
      <c r="AZ9" s="36" t="s">
        <v>2860</v>
      </c>
      <c r="BA9" s="36" t="s">
        <v>429</v>
      </c>
      <c r="BB9" s="39">
        <v>60</v>
      </c>
      <c r="BC9" s="36" t="s">
        <v>2861</v>
      </c>
      <c r="BD9" s="36" t="s">
        <v>429</v>
      </c>
      <c r="BE9" s="39">
        <v>80</v>
      </c>
      <c r="BF9" s="36" t="s">
        <v>1740</v>
      </c>
      <c r="BG9" s="36" t="s">
        <v>429</v>
      </c>
      <c r="BH9" s="39">
        <v>100</v>
      </c>
      <c r="BI9" s="36" t="s">
        <v>2862</v>
      </c>
      <c r="BJ9" s="36" t="s">
        <v>429</v>
      </c>
      <c r="BK9" s="39">
        <v>80</v>
      </c>
      <c r="BL9" s="36" t="s">
        <v>2863</v>
      </c>
      <c r="BM9" s="36" t="s">
        <v>429</v>
      </c>
      <c r="BN9" s="39">
        <v>100</v>
      </c>
      <c r="BO9" s="36" t="s">
        <v>2864</v>
      </c>
      <c r="BP9" s="36" t="s">
        <v>429</v>
      </c>
      <c r="BQ9" s="39">
        <v>100</v>
      </c>
      <c r="BR9" s="36" t="s">
        <v>2865</v>
      </c>
      <c r="BS9" s="36" t="s">
        <v>429</v>
      </c>
      <c r="BT9" s="39">
        <v>90</v>
      </c>
      <c r="BU9" s="36" t="s">
        <v>2866</v>
      </c>
      <c r="BV9" s="36" t="s">
        <v>429</v>
      </c>
      <c r="BW9" s="39">
        <v>90</v>
      </c>
      <c r="BX9" s="36" t="s">
        <v>2867</v>
      </c>
      <c r="BY9" s="36" t="s">
        <v>429</v>
      </c>
      <c r="BZ9" s="39">
        <v>90</v>
      </c>
      <c r="CA9" s="36" t="s">
        <v>2868</v>
      </c>
      <c r="CB9" s="36" t="s">
        <v>429</v>
      </c>
      <c r="CC9" s="39">
        <v>80</v>
      </c>
      <c r="CD9" s="36" t="s">
        <v>2869</v>
      </c>
      <c r="CE9" s="36" t="s">
        <v>429</v>
      </c>
    </row>
    <row r="10" ht="30" customHeight="1" spans="1:83">
      <c r="A10" s="34" t="s">
        <v>26</v>
      </c>
      <c r="B10" s="34" t="s">
        <v>27</v>
      </c>
      <c r="C10" s="34" t="s">
        <v>14</v>
      </c>
      <c r="D10" s="34" t="s">
        <v>15</v>
      </c>
      <c r="E10" s="34" t="s">
        <v>21</v>
      </c>
      <c r="F10" s="38">
        <v>80</v>
      </c>
      <c r="G10" s="34" t="s">
        <v>2870</v>
      </c>
      <c r="H10" s="34" t="s">
        <v>429</v>
      </c>
      <c r="I10" s="38">
        <v>100</v>
      </c>
      <c r="J10" s="34" t="s">
        <v>538</v>
      </c>
      <c r="K10" s="34" t="s">
        <v>429</v>
      </c>
      <c r="L10" s="38">
        <v>100</v>
      </c>
      <c r="M10" s="34" t="s">
        <v>2871</v>
      </c>
      <c r="N10" s="34" t="s">
        <v>429</v>
      </c>
      <c r="O10" s="38">
        <v>100</v>
      </c>
      <c r="P10" s="34" t="s">
        <v>2872</v>
      </c>
      <c r="Q10" s="34" t="s">
        <v>429</v>
      </c>
      <c r="R10" s="38">
        <v>100</v>
      </c>
      <c r="S10" s="34" t="s">
        <v>2873</v>
      </c>
      <c r="T10" s="34" t="s">
        <v>429</v>
      </c>
      <c r="U10" s="38">
        <v>90</v>
      </c>
      <c r="V10" s="34" t="s">
        <v>2855</v>
      </c>
      <c r="W10" s="34" t="s">
        <v>429</v>
      </c>
      <c r="X10" s="38">
        <v>100</v>
      </c>
      <c r="Y10" s="34" t="s">
        <v>2874</v>
      </c>
      <c r="Z10" s="34" t="s">
        <v>429</v>
      </c>
      <c r="AA10" s="38">
        <v>100</v>
      </c>
      <c r="AB10" s="34" t="s">
        <v>2275</v>
      </c>
      <c r="AC10" s="34" t="s">
        <v>429</v>
      </c>
      <c r="AD10" s="38">
        <v>100</v>
      </c>
      <c r="AE10" s="34" t="s">
        <v>2275</v>
      </c>
      <c r="AF10" s="34" t="s">
        <v>429</v>
      </c>
      <c r="AG10" s="38">
        <v>100</v>
      </c>
      <c r="AH10" s="34" t="s">
        <v>2875</v>
      </c>
      <c r="AI10" s="34" t="s">
        <v>429</v>
      </c>
      <c r="AJ10" s="38">
        <v>100</v>
      </c>
      <c r="AK10" s="34" t="s">
        <v>2876</v>
      </c>
      <c r="AL10" s="34" t="s">
        <v>429</v>
      </c>
      <c r="AM10" s="38">
        <v>80</v>
      </c>
      <c r="AN10" s="34" t="s">
        <v>2877</v>
      </c>
      <c r="AO10" s="34" t="s">
        <v>429</v>
      </c>
      <c r="AP10" s="38">
        <v>80</v>
      </c>
      <c r="AQ10" s="34" t="s">
        <v>2878</v>
      </c>
      <c r="AR10" s="34" t="s">
        <v>429</v>
      </c>
      <c r="AS10" s="38">
        <v>100</v>
      </c>
      <c r="AT10" s="34" t="s">
        <v>2879</v>
      </c>
      <c r="AU10" s="34" t="s">
        <v>429</v>
      </c>
      <c r="AV10" s="38">
        <v>100</v>
      </c>
      <c r="AW10" s="34" t="s">
        <v>2880</v>
      </c>
      <c r="AX10" s="34" t="s">
        <v>429</v>
      </c>
      <c r="AY10" s="38">
        <v>100</v>
      </c>
      <c r="AZ10" s="34" t="s">
        <v>1032</v>
      </c>
      <c r="BA10" s="34" t="s">
        <v>429</v>
      </c>
      <c r="BB10" s="38">
        <v>80</v>
      </c>
      <c r="BC10" s="34" t="s">
        <v>2881</v>
      </c>
      <c r="BD10" s="34" t="s">
        <v>429</v>
      </c>
      <c r="BE10" s="38">
        <v>80</v>
      </c>
      <c r="BF10" s="34" t="s">
        <v>1126</v>
      </c>
      <c r="BG10" s="34" t="s">
        <v>429</v>
      </c>
      <c r="BH10" s="38">
        <v>80</v>
      </c>
      <c r="BI10" s="34" t="s">
        <v>2882</v>
      </c>
      <c r="BJ10" s="34" t="s">
        <v>429</v>
      </c>
      <c r="BK10" s="38">
        <v>70</v>
      </c>
      <c r="BL10" s="34" t="s">
        <v>2883</v>
      </c>
      <c r="BM10" s="34" t="s">
        <v>429</v>
      </c>
      <c r="BN10" s="38">
        <v>100</v>
      </c>
      <c r="BO10" s="34" t="s">
        <v>2884</v>
      </c>
      <c r="BP10" s="34" t="s">
        <v>429</v>
      </c>
      <c r="BQ10" s="38">
        <v>90</v>
      </c>
      <c r="BR10" s="34" t="s">
        <v>2885</v>
      </c>
      <c r="BS10" s="34" t="s">
        <v>429</v>
      </c>
      <c r="BT10" s="38">
        <v>80</v>
      </c>
      <c r="BU10" s="34" t="s">
        <v>2886</v>
      </c>
      <c r="BV10" s="34" t="s">
        <v>429</v>
      </c>
      <c r="BW10" s="38">
        <v>80</v>
      </c>
      <c r="BX10" s="34" t="s">
        <v>2887</v>
      </c>
      <c r="BY10" s="34" t="s">
        <v>429</v>
      </c>
      <c r="BZ10" s="38">
        <v>90</v>
      </c>
      <c r="CA10" s="34" t="s">
        <v>2888</v>
      </c>
      <c r="CB10" s="34" t="s">
        <v>429</v>
      </c>
      <c r="CC10" s="38">
        <v>80</v>
      </c>
      <c r="CD10" s="34" t="s">
        <v>2889</v>
      </c>
      <c r="CE10" s="34" t="s">
        <v>429</v>
      </c>
    </row>
    <row r="11" ht="30" customHeight="1" spans="1:83">
      <c r="A11" s="36" t="s">
        <v>28</v>
      </c>
      <c r="B11" s="36" t="s">
        <v>29</v>
      </c>
      <c r="C11" s="36" t="s">
        <v>14</v>
      </c>
      <c r="D11" s="36" t="s">
        <v>15</v>
      </c>
      <c r="E11" s="36" t="s">
        <v>21</v>
      </c>
      <c r="F11" s="39">
        <v>100</v>
      </c>
      <c r="G11" s="36" t="s">
        <v>2890</v>
      </c>
      <c r="H11" s="36" t="s">
        <v>429</v>
      </c>
      <c r="I11" s="39">
        <v>100</v>
      </c>
      <c r="J11" s="36" t="s">
        <v>2582</v>
      </c>
      <c r="K11" s="36" t="s">
        <v>429</v>
      </c>
      <c r="L11" s="39">
        <v>80</v>
      </c>
      <c r="M11" s="36" t="s">
        <v>1433</v>
      </c>
      <c r="N11" s="36" t="s">
        <v>429</v>
      </c>
      <c r="O11" s="39">
        <v>90</v>
      </c>
      <c r="P11" s="36" t="s">
        <v>2891</v>
      </c>
      <c r="Q11" s="36" t="s">
        <v>429</v>
      </c>
      <c r="R11" s="39">
        <v>100</v>
      </c>
      <c r="S11" s="36" t="s">
        <v>503</v>
      </c>
      <c r="T11" s="36" t="s">
        <v>429</v>
      </c>
      <c r="U11" s="39">
        <v>80</v>
      </c>
      <c r="V11" s="36" t="s">
        <v>553</v>
      </c>
      <c r="W11" s="36" t="s">
        <v>429</v>
      </c>
      <c r="X11" s="39">
        <v>80</v>
      </c>
      <c r="Y11" s="36" t="s">
        <v>2892</v>
      </c>
      <c r="Z11" s="36" t="s">
        <v>429</v>
      </c>
      <c r="AA11" s="39">
        <v>100</v>
      </c>
      <c r="AB11" s="36" t="s">
        <v>2893</v>
      </c>
      <c r="AC11" s="36" t="s">
        <v>429</v>
      </c>
      <c r="AD11" s="39">
        <v>100</v>
      </c>
      <c r="AE11" s="36" t="s">
        <v>557</v>
      </c>
      <c r="AF11" s="36" t="s">
        <v>429</v>
      </c>
      <c r="AG11" s="39">
        <v>100</v>
      </c>
      <c r="AH11" s="36" t="s">
        <v>2894</v>
      </c>
      <c r="AI11" s="36" t="s">
        <v>429</v>
      </c>
      <c r="AJ11" s="36" t="s">
        <v>682</v>
      </c>
      <c r="AK11" s="36" t="s">
        <v>682</v>
      </c>
      <c r="AL11" s="36" t="s">
        <v>681</v>
      </c>
      <c r="AM11" s="39">
        <v>80</v>
      </c>
      <c r="AN11" s="36" t="s">
        <v>2895</v>
      </c>
      <c r="AO11" s="36" t="s">
        <v>429</v>
      </c>
      <c r="AP11" s="39">
        <v>70</v>
      </c>
      <c r="AQ11" s="36" t="s">
        <v>2896</v>
      </c>
      <c r="AR11" s="36" t="s">
        <v>429</v>
      </c>
      <c r="AS11" s="39">
        <v>100</v>
      </c>
      <c r="AT11" s="36" t="s">
        <v>2897</v>
      </c>
      <c r="AU11" s="36" t="s">
        <v>429</v>
      </c>
      <c r="AV11" s="39">
        <v>100</v>
      </c>
      <c r="AW11" s="36" t="s">
        <v>2898</v>
      </c>
      <c r="AX11" s="36" t="s">
        <v>429</v>
      </c>
      <c r="AY11" s="39">
        <v>100</v>
      </c>
      <c r="AZ11" s="36" t="s">
        <v>2592</v>
      </c>
      <c r="BA11" s="36" t="s">
        <v>429</v>
      </c>
      <c r="BB11" s="39">
        <v>70</v>
      </c>
      <c r="BC11" s="36" t="s">
        <v>2899</v>
      </c>
      <c r="BD11" s="36" t="s">
        <v>429</v>
      </c>
      <c r="BE11" s="39">
        <v>70</v>
      </c>
      <c r="BF11" s="36" t="s">
        <v>2900</v>
      </c>
      <c r="BG11" s="36" t="s">
        <v>429</v>
      </c>
      <c r="BH11" s="39">
        <v>50</v>
      </c>
      <c r="BI11" s="36" t="s">
        <v>2901</v>
      </c>
      <c r="BJ11" s="36" t="s">
        <v>429</v>
      </c>
      <c r="BK11" s="39">
        <v>60</v>
      </c>
      <c r="BL11" s="36" t="s">
        <v>2902</v>
      </c>
      <c r="BM11" s="36" t="s">
        <v>429</v>
      </c>
      <c r="BN11" s="39">
        <v>90</v>
      </c>
      <c r="BO11" s="36" t="s">
        <v>2903</v>
      </c>
      <c r="BP11" s="36" t="s">
        <v>429</v>
      </c>
      <c r="BQ11" s="39">
        <v>90</v>
      </c>
      <c r="BR11" s="36" t="s">
        <v>2904</v>
      </c>
      <c r="BS11" s="36" t="s">
        <v>429</v>
      </c>
      <c r="BT11" s="39">
        <v>80</v>
      </c>
      <c r="BU11" s="36" t="s">
        <v>2905</v>
      </c>
      <c r="BV11" s="36" t="s">
        <v>429</v>
      </c>
      <c r="BW11" s="39">
        <v>90</v>
      </c>
      <c r="BX11" s="36" t="s">
        <v>2905</v>
      </c>
      <c r="BY11" s="36" t="s">
        <v>429</v>
      </c>
      <c r="BZ11" s="39">
        <v>90</v>
      </c>
      <c r="CA11" s="36" t="s">
        <v>2906</v>
      </c>
      <c r="CB11" s="36" t="s">
        <v>429</v>
      </c>
      <c r="CC11" s="39">
        <v>80</v>
      </c>
      <c r="CD11" s="36" t="s">
        <v>2907</v>
      </c>
      <c r="CE11" s="36" t="s">
        <v>429</v>
      </c>
    </row>
    <row r="12" ht="30" customHeight="1" spans="1:83">
      <c r="A12" s="34" t="s">
        <v>30</v>
      </c>
      <c r="B12" s="34" t="s">
        <v>31</v>
      </c>
      <c r="C12" s="34" t="s">
        <v>14</v>
      </c>
      <c r="D12" s="34" t="s">
        <v>15</v>
      </c>
      <c r="E12" s="34" t="s">
        <v>21</v>
      </c>
      <c r="F12" s="38">
        <v>100</v>
      </c>
      <c r="G12" s="34" t="s">
        <v>2908</v>
      </c>
      <c r="H12" s="34" t="s">
        <v>429</v>
      </c>
      <c r="I12" s="38">
        <v>100</v>
      </c>
      <c r="J12" s="34" t="s">
        <v>2909</v>
      </c>
      <c r="K12" s="34" t="s">
        <v>429</v>
      </c>
      <c r="L12" s="38">
        <v>80</v>
      </c>
      <c r="M12" s="34" t="s">
        <v>2910</v>
      </c>
      <c r="N12" s="34" t="s">
        <v>429</v>
      </c>
      <c r="O12" s="38">
        <v>80</v>
      </c>
      <c r="P12" s="34" t="s">
        <v>2911</v>
      </c>
      <c r="Q12" s="34" t="s">
        <v>429</v>
      </c>
      <c r="R12" s="38">
        <v>100</v>
      </c>
      <c r="S12" s="34" t="s">
        <v>2912</v>
      </c>
      <c r="T12" s="34" t="s">
        <v>429</v>
      </c>
      <c r="U12" s="38">
        <v>80</v>
      </c>
      <c r="V12" s="34" t="s">
        <v>2913</v>
      </c>
      <c r="W12" s="34" t="s">
        <v>429</v>
      </c>
      <c r="X12" s="38">
        <v>95</v>
      </c>
      <c r="Y12" s="34" t="s">
        <v>2914</v>
      </c>
      <c r="Z12" s="34" t="s">
        <v>429</v>
      </c>
      <c r="AA12" s="38">
        <v>100</v>
      </c>
      <c r="AB12" s="34" t="s">
        <v>2915</v>
      </c>
      <c r="AC12" s="34" t="s">
        <v>429</v>
      </c>
      <c r="AD12" s="38">
        <v>100</v>
      </c>
      <c r="AE12" s="34" t="s">
        <v>2916</v>
      </c>
      <c r="AF12" s="34" t="s">
        <v>429</v>
      </c>
      <c r="AG12" s="38">
        <v>90</v>
      </c>
      <c r="AH12" s="34" t="s">
        <v>667</v>
      </c>
      <c r="AI12" s="34" t="s">
        <v>429</v>
      </c>
      <c r="AJ12" s="38">
        <v>90</v>
      </c>
      <c r="AK12" s="34" t="s">
        <v>979</v>
      </c>
      <c r="AL12" s="34" t="s">
        <v>429</v>
      </c>
      <c r="AM12" s="38">
        <v>80</v>
      </c>
      <c r="AN12" s="34" t="s">
        <v>2917</v>
      </c>
      <c r="AO12" s="34" t="s">
        <v>429</v>
      </c>
      <c r="AP12" s="38">
        <v>60</v>
      </c>
      <c r="AQ12" s="34" t="s">
        <v>2918</v>
      </c>
      <c r="AR12" s="34" t="s">
        <v>429</v>
      </c>
      <c r="AS12" s="38">
        <v>100</v>
      </c>
      <c r="AT12" s="34" t="s">
        <v>2919</v>
      </c>
      <c r="AU12" s="34" t="s">
        <v>429</v>
      </c>
      <c r="AV12" s="38">
        <v>100</v>
      </c>
      <c r="AW12" s="34" t="s">
        <v>2920</v>
      </c>
      <c r="AX12" s="34" t="s">
        <v>429</v>
      </c>
      <c r="AY12" s="38">
        <v>90</v>
      </c>
      <c r="AZ12" s="34" t="s">
        <v>2197</v>
      </c>
      <c r="BA12" s="34" t="s">
        <v>429</v>
      </c>
      <c r="BB12" s="38">
        <v>70</v>
      </c>
      <c r="BC12" s="34" t="s">
        <v>2921</v>
      </c>
      <c r="BD12" s="34" t="s">
        <v>429</v>
      </c>
      <c r="BE12" s="38">
        <v>80</v>
      </c>
      <c r="BF12" s="34" t="s">
        <v>2922</v>
      </c>
      <c r="BG12" s="34" t="s">
        <v>429</v>
      </c>
      <c r="BH12" s="38">
        <v>60</v>
      </c>
      <c r="BI12" s="34" t="s">
        <v>2923</v>
      </c>
      <c r="BJ12" s="34" t="s">
        <v>429</v>
      </c>
      <c r="BK12" s="38">
        <v>60</v>
      </c>
      <c r="BL12" s="34" t="s">
        <v>2924</v>
      </c>
      <c r="BM12" s="34" t="s">
        <v>429</v>
      </c>
      <c r="BN12" s="38">
        <v>100</v>
      </c>
      <c r="BO12" s="34" t="s">
        <v>2925</v>
      </c>
      <c r="BP12" s="34" t="s">
        <v>429</v>
      </c>
      <c r="BQ12" s="38">
        <v>90</v>
      </c>
      <c r="BR12" s="34" t="s">
        <v>2926</v>
      </c>
      <c r="BS12" s="34" t="s">
        <v>429</v>
      </c>
      <c r="BT12" s="38">
        <v>80</v>
      </c>
      <c r="BU12" s="34" t="s">
        <v>2927</v>
      </c>
      <c r="BV12" s="34" t="s">
        <v>429</v>
      </c>
      <c r="BW12" s="38">
        <v>90</v>
      </c>
      <c r="BX12" s="34" t="s">
        <v>2927</v>
      </c>
      <c r="BY12" s="34" t="s">
        <v>429</v>
      </c>
      <c r="BZ12" s="38">
        <v>90</v>
      </c>
      <c r="CA12" s="34" t="s">
        <v>2928</v>
      </c>
      <c r="CB12" s="34" t="s">
        <v>429</v>
      </c>
      <c r="CC12" s="38">
        <v>80</v>
      </c>
      <c r="CD12" s="34" t="s">
        <v>2929</v>
      </c>
      <c r="CE12" s="34" t="s">
        <v>429</v>
      </c>
    </row>
    <row r="13" ht="30" customHeight="1" spans="1:83">
      <c r="A13" s="36" t="s">
        <v>32</v>
      </c>
      <c r="B13" s="36" t="s">
        <v>33</v>
      </c>
      <c r="C13" s="36" t="s">
        <v>14</v>
      </c>
      <c r="D13" s="36" t="s">
        <v>15</v>
      </c>
      <c r="E13" s="36" t="s">
        <v>21</v>
      </c>
      <c r="F13" s="36" t="s">
        <v>682</v>
      </c>
      <c r="G13" s="36" t="s">
        <v>682</v>
      </c>
      <c r="H13" s="36" t="s">
        <v>681</v>
      </c>
      <c r="I13" s="39">
        <v>80</v>
      </c>
      <c r="J13" s="36" t="s">
        <v>2930</v>
      </c>
      <c r="K13" s="36" t="s">
        <v>429</v>
      </c>
      <c r="L13" s="39">
        <v>80</v>
      </c>
      <c r="M13" s="36" t="s">
        <v>2931</v>
      </c>
      <c r="N13" s="36" t="s">
        <v>429</v>
      </c>
      <c r="O13" s="36" t="s">
        <v>682</v>
      </c>
      <c r="P13" s="36" t="s">
        <v>682</v>
      </c>
      <c r="Q13" s="36" t="s">
        <v>681</v>
      </c>
      <c r="R13" s="36" t="s">
        <v>682</v>
      </c>
      <c r="S13" s="36" t="s">
        <v>682</v>
      </c>
      <c r="T13" s="36" t="s">
        <v>681</v>
      </c>
      <c r="U13" s="36" t="s">
        <v>682</v>
      </c>
      <c r="V13" s="36" t="s">
        <v>682</v>
      </c>
      <c r="W13" s="36" t="s">
        <v>681</v>
      </c>
      <c r="X13" s="36" t="s">
        <v>682</v>
      </c>
      <c r="Y13" s="36" t="s">
        <v>682</v>
      </c>
      <c r="Z13" s="36" t="s">
        <v>681</v>
      </c>
      <c r="AA13" s="36" t="s">
        <v>682</v>
      </c>
      <c r="AB13" s="36" t="s">
        <v>682</v>
      </c>
      <c r="AC13" s="36" t="s">
        <v>681</v>
      </c>
      <c r="AD13" s="36" t="s">
        <v>682</v>
      </c>
      <c r="AE13" s="36" t="s">
        <v>682</v>
      </c>
      <c r="AF13" s="36" t="s">
        <v>681</v>
      </c>
      <c r="AG13" s="36" t="s">
        <v>682</v>
      </c>
      <c r="AH13" s="36" t="s">
        <v>682</v>
      </c>
      <c r="AI13" s="36" t="s">
        <v>681</v>
      </c>
      <c r="AJ13" s="36" t="s">
        <v>682</v>
      </c>
      <c r="AK13" s="36" t="s">
        <v>682</v>
      </c>
      <c r="AL13" s="36" t="s">
        <v>681</v>
      </c>
      <c r="AM13" s="36" t="s">
        <v>682</v>
      </c>
      <c r="AN13" s="36" t="s">
        <v>682</v>
      </c>
      <c r="AO13" s="36" t="s">
        <v>681</v>
      </c>
      <c r="AP13" s="36" t="s">
        <v>682</v>
      </c>
      <c r="AQ13" s="36" t="s">
        <v>682</v>
      </c>
      <c r="AR13" s="36" t="s">
        <v>681</v>
      </c>
      <c r="AS13" s="36" t="s">
        <v>682</v>
      </c>
      <c r="AT13" s="36" t="s">
        <v>682</v>
      </c>
      <c r="AU13" s="36" t="s">
        <v>681</v>
      </c>
      <c r="AV13" s="36" t="s">
        <v>682</v>
      </c>
      <c r="AW13" s="36" t="s">
        <v>682</v>
      </c>
      <c r="AX13" s="36" t="s">
        <v>681</v>
      </c>
      <c r="AY13" s="36" t="s">
        <v>682</v>
      </c>
      <c r="AZ13" s="36" t="s">
        <v>682</v>
      </c>
      <c r="BA13" s="36" t="s">
        <v>681</v>
      </c>
      <c r="BB13" s="36" t="s">
        <v>682</v>
      </c>
      <c r="BC13" s="36" t="s">
        <v>682</v>
      </c>
      <c r="BD13" s="36" t="s">
        <v>681</v>
      </c>
      <c r="BE13" s="36" t="s">
        <v>682</v>
      </c>
      <c r="BF13" s="36" t="s">
        <v>682</v>
      </c>
      <c r="BG13" s="36" t="s">
        <v>681</v>
      </c>
      <c r="BH13" s="36" t="s">
        <v>682</v>
      </c>
      <c r="BI13" s="36" t="s">
        <v>682</v>
      </c>
      <c r="BJ13" s="36" t="s">
        <v>681</v>
      </c>
      <c r="BK13" s="36" t="s">
        <v>682</v>
      </c>
      <c r="BL13" s="36" t="s">
        <v>682</v>
      </c>
      <c r="BM13" s="36" t="s">
        <v>681</v>
      </c>
      <c r="BN13" s="36" t="s">
        <v>682</v>
      </c>
      <c r="BO13" s="36" t="s">
        <v>682</v>
      </c>
      <c r="BP13" s="36" t="s">
        <v>681</v>
      </c>
      <c r="BQ13" s="36" t="s">
        <v>682</v>
      </c>
      <c r="BR13" s="36" t="s">
        <v>682</v>
      </c>
      <c r="BS13" s="36" t="s">
        <v>681</v>
      </c>
      <c r="BT13" s="36" t="s">
        <v>682</v>
      </c>
      <c r="BU13" s="36" t="s">
        <v>682</v>
      </c>
      <c r="BV13" s="36" t="s">
        <v>681</v>
      </c>
      <c r="BW13" s="36" t="s">
        <v>682</v>
      </c>
      <c r="BX13" s="36" t="s">
        <v>682</v>
      </c>
      <c r="BY13" s="36" t="s">
        <v>681</v>
      </c>
      <c r="BZ13" s="36" t="s">
        <v>682</v>
      </c>
      <c r="CA13" s="36" t="s">
        <v>682</v>
      </c>
      <c r="CB13" s="36" t="s">
        <v>681</v>
      </c>
      <c r="CC13" s="36" t="s">
        <v>682</v>
      </c>
      <c r="CD13" s="36" t="s">
        <v>682</v>
      </c>
      <c r="CE13" s="36" t="s">
        <v>681</v>
      </c>
    </row>
    <row r="14" ht="30" customHeight="1" spans="1:83">
      <c r="A14" s="34" t="s">
        <v>34</v>
      </c>
      <c r="B14" s="34" t="s">
        <v>35</v>
      </c>
      <c r="C14" s="34" t="s">
        <v>14</v>
      </c>
      <c r="D14" s="34" t="s">
        <v>15</v>
      </c>
      <c r="E14" s="34" t="s">
        <v>21</v>
      </c>
      <c r="F14" s="38">
        <v>100</v>
      </c>
      <c r="G14" s="34" t="s">
        <v>2932</v>
      </c>
      <c r="H14" s="34" t="s">
        <v>429</v>
      </c>
      <c r="I14" s="38">
        <v>100</v>
      </c>
      <c r="J14" s="34" t="s">
        <v>2933</v>
      </c>
      <c r="K14" s="34" t="s">
        <v>429</v>
      </c>
      <c r="L14" s="38">
        <v>100</v>
      </c>
      <c r="M14" s="34" t="s">
        <v>2934</v>
      </c>
      <c r="N14" s="34" t="s">
        <v>429</v>
      </c>
      <c r="O14" s="38">
        <v>80</v>
      </c>
      <c r="P14" s="34" t="s">
        <v>2935</v>
      </c>
      <c r="Q14" s="34" t="s">
        <v>429</v>
      </c>
      <c r="R14" s="38">
        <v>100</v>
      </c>
      <c r="S14" s="34" t="s">
        <v>2936</v>
      </c>
      <c r="T14" s="34" t="s">
        <v>429</v>
      </c>
      <c r="U14" s="38">
        <v>80</v>
      </c>
      <c r="V14" s="34" t="s">
        <v>2937</v>
      </c>
      <c r="W14" s="34" t="s">
        <v>429</v>
      </c>
      <c r="X14" s="38">
        <v>90</v>
      </c>
      <c r="Y14" s="34" t="s">
        <v>2638</v>
      </c>
      <c r="Z14" s="34" t="s">
        <v>429</v>
      </c>
      <c r="AA14" s="38">
        <v>100</v>
      </c>
      <c r="AB14" s="34" t="s">
        <v>2938</v>
      </c>
      <c r="AC14" s="34" t="s">
        <v>429</v>
      </c>
      <c r="AD14" s="38">
        <v>100</v>
      </c>
      <c r="AE14" s="34" t="s">
        <v>2939</v>
      </c>
      <c r="AF14" s="34" t="s">
        <v>429</v>
      </c>
      <c r="AG14" s="38">
        <v>80</v>
      </c>
      <c r="AH14" s="34" t="s">
        <v>2940</v>
      </c>
      <c r="AI14" s="34" t="s">
        <v>429</v>
      </c>
      <c r="AJ14" s="38">
        <v>90</v>
      </c>
      <c r="AK14" s="34" t="s">
        <v>2941</v>
      </c>
      <c r="AL14" s="34" t="s">
        <v>429</v>
      </c>
      <c r="AM14" s="38">
        <v>70</v>
      </c>
      <c r="AN14" s="34" t="s">
        <v>2942</v>
      </c>
      <c r="AO14" s="34" t="s">
        <v>429</v>
      </c>
      <c r="AP14" s="38">
        <v>80</v>
      </c>
      <c r="AQ14" s="34" t="s">
        <v>2943</v>
      </c>
      <c r="AR14" s="34" t="s">
        <v>429</v>
      </c>
      <c r="AS14" s="38">
        <v>100</v>
      </c>
      <c r="AT14" s="34" t="s">
        <v>2944</v>
      </c>
      <c r="AU14" s="34" t="s">
        <v>429</v>
      </c>
      <c r="AV14" s="38">
        <v>100</v>
      </c>
      <c r="AW14" s="34" t="s">
        <v>2945</v>
      </c>
      <c r="AX14" s="34" t="s">
        <v>429</v>
      </c>
      <c r="AY14" s="38">
        <v>100</v>
      </c>
      <c r="AZ14" s="34" t="s">
        <v>2057</v>
      </c>
      <c r="BA14" s="34" t="s">
        <v>429</v>
      </c>
      <c r="BB14" s="38">
        <v>70</v>
      </c>
      <c r="BC14" s="34" t="s">
        <v>2946</v>
      </c>
      <c r="BD14" s="34" t="s">
        <v>429</v>
      </c>
      <c r="BE14" s="38">
        <v>80</v>
      </c>
      <c r="BF14" s="34" t="s">
        <v>2947</v>
      </c>
      <c r="BG14" s="34" t="s">
        <v>429</v>
      </c>
      <c r="BH14" s="38">
        <v>70</v>
      </c>
      <c r="BI14" s="34" t="s">
        <v>2948</v>
      </c>
      <c r="BJ14" s="34" t="s">
        <v>429</v>
      </c>
      <c r="BK14" s="38">
        <v>60</v>
      </c>
      <c r="BL14" s="34" t="s">
        <v>2949</v>
      </c>
      <c r="BM14" s="34" t="s">
        <v>429</v>
      </c>
      <c r="BN14" s="38">
        <v>100</v>
      </c>
      <c r="BO14" s="34" t="s">
        <v>2950</v>
      </c>
      <c r="BP14" s="34" t="s">
        <v>429</v>
      </c>
      <c r="BQ14" s="38">
        <v>70</v>
      </c>
      <c r="BR14" s="34" t="s">
        <v>2951</v>
      </c>
      <c r="BS14" s="34" t="s">
        <v>429</v>
      </c>
      <c r="BT14" s="38">
        <v>80</v>
      </c>
      <c r="BU14" s="34" t="s">
        <v>2952</v>
      </c>
      <c r="BV14" s="34" t="s">
        <v>429</v>
      </c>
      <c r="BW14" s="38">
        <v>90</v>
      </c>
      <c r="BX14" s="34" t="s">
        <v>2952</v>
      </c>
      <c r="BY14" s="34" t="s">
        <v>429</v>
      </c>
      <c r="BZ14" s="38">
        <v>90</v>
      </c>
      <c r="CA14" s="34" t="s">
        <v>2953</v>
      </c>
      <c r="CB14" s="34" t="s">
        <v>429</v>
      </c>
      <c r="CC14" s="38">
        <v>70</v>
      </c>
      <c r="CD14" s="34" t="s">
        <v>2954</v>
      </c>
      <c r="CE14" s="34" t="s">
        <v>429</v>
      </c>
    </row>
    <row r="15" ht="30" customHeight="1" spans="1:83">
      <c r="A15" s="36" t="s">
        <v>36</v>
      </c>
      <c r="B15" s="36" t="s">
        <v>37</v>
      </c>
      <c r="C15" s="36" t="s">
        <v>14</v>
      </c>
      <c r="D15" s="36" t="s">
        <v>15</v>
      </c>
      <c r="E15" s="36" t="s">
        <v>21</v>
      </c>
      <c r="F15" s="39">
        <v>100</v>
      </c>
      <c r="G15" s="36" t="s">
        <v>2955</v>
      </c>
      <c r="H15" s="36" t="s">
        <v>429</v>
      </c>
      <c r="I15" s="39">
        <v>100</v>
      </c>
      <c r="J15" s="36" t="s">
        <v>2956</v>
      </c>
      <c r="K15" s="36" t="s">
        <v>429</v>
      </c>
      <c r="L15" s="39">
        <v>80</v>
      </c>
      <c r="M15" s="36" t="s">
        <v>2957</v>
      </c>
      <c r="N15" s="36" t="s">
        <v>429</v>
      </c>
      <c r="O15" s="39">
        <v>100</v>
      </c>
      <c r="P15" s="36" t="s">
        <v>2958</v>
      </c>
      <c r="Q15" s="36" t="s">
        <v>429</v>
      </c>
      <c r="R15" s="39">
        <v>100</v>
      </c>
      <c r="S15" s="36" t="s">
        <v>2116</v>
      </c>
      <c r="T15" s="36" t="s">
        <v>429</v>
      </c>
      <c r="U15" s="39">
        <v>100</v>
      </c>
      <c r="V15" s="36" t="s">
        <v>2959</v>
      </c>
      <c r="W15" s="36" t="s">
        <v>429</v>
      </c>
      <c r="X15" s="39">
        <v>80</v>
      </c>
      <c r="Y15" s="36" t="s">
        <v>2960</v>
      </c>
      <c r="Z15" s="36" t="s">
        <v>429</v>
      </c>
      <c r="AA15" s="39">
        <v>100</v>
      </c>
      <c r="AB15" s="36" t="s">
        <v>602</v>
      </c>
      <c r="AC15" s="36" t="s">
        <v>429</v>
      </c>
      <c r="AD15" s="39">
        <v>100</v>
      </c>
      <c r="AE15" s="36" t="s">
        <v>1926</v>
      </c>
      <c r="AF15" s="36" t="s">
        <v>429</v>
      </c>
      <c r="AG15" s="39">
        <v>100</v>
      </c>
      <c r="AH15" s="36" t="s">
        <v>2961</v>
      </c>
      <c r="AI15" s="36" t="s">
        <v>429</v>
      </c>
      <c r="AJ15" s="39">
        <v>80</v>
      </c>
      <c r="AK15" s="36" t="s">
        <v>2962</v>
      </c>
      <c r="AL15" s="36" t="s">
        <v>429</v>
      </c>
      <c r="AM15" s="39">
        <v>80</v>
      </c>
      <c r="AN15" s="36" t="s">
        <v>2963</v>
      </c>
      <c r="AO15" s="36" t="s">
        <v>429</v>
      </c>
      <c r="AP15" s="39">
        <v>80</v>
      </c>
      <c r="AQ15" s="36" t="s">
        <v>2964</v>
      </c>
      <c r="AR15" s="36" t="s">
        <v>429</v>
      </c>
      <c r="AS15" s="39">
        <v>80</v>
      </c>
      <c r="AT15" s="36" t="s">
        <v>2965</v>
      </c>
      <c r="AU15" s="36" t="s">
        <v>429</v>
      </c>
      <c r="AV15" s="39">
        <v>100</v>
      </c>
      <c r="AW15" s="36" t="s">
        <v>2966</v>
      </c>
      <c r="AX15" s="36" t="s">
        <v>429</v>
      </c>
      <c r="AY15" s="39">
        <v>100</v>
      </c>
      <c r="AZ15" s="36" t="s">
        <v>585</v>
      </c>
      <c r="BA15" s="36" t="s">
        <v>429</v>
      </c>
      <c r="BB15" s="39">
        <v>95</v>
      </c>
      <c r="BC15" s="36" t="s">
        <v>2967</v>
      </c>
      <c r="BD15" s="36" t="s">
        <v>429</v>
      </c>
      <c r="BE15" s="39">
        <v>60</v>
      </c>
      <c r="BF15" s="36" t="s">
        <v>2968</v>
      </c>
      <c r="BG15" s="36" t="s">
        <v>429</v>
      </c>
      <c r="BH15" s="39">
        <v>50</v>
      </c>
      <c r="BI15" s="36" t="s">
        <v>2969</v>
      </c>
      <c r="BJ15" s="36" t="s">
        <v>429</v>
      </c>
      <c r="BK15" s="39">
        <v>70</v>
      </c>
      <c r="BL15" s="36" t="s">
        <v>2970</v>
      </c>
      <c r="BM15" s="36" t="s">
        <v>429</v>
      </c>
      <c r="BN15" s="39">
        <v>100</v>
      </c>
      <c r="BO15" s="36" t="s">
        <v>2971</v>
      </c>
      <c r="BP15" s="36" t="s">
        <v>429</v>
      </c>
      <c r="BQ15" s="39">
        <v>100</v>
      </c>
      <c r="BR15" s="36" t="s">
        <v>2972</v>
      </c>
      <c r="BS15" s="36" t="s">
        <v>429</v>
      </c>
      <c r="BT15" s="39">
        <v>80</v>
      </c>
      <c r="BU15" s="36" t="s">
        <v>2973</v>
      </c>
      <c r="BV15" s="36" t="s">
        <v>429</v>
      </c>
      <c r="BW15" s="39">
        <v>80</v>
      </c>
      <c r="BX15" s="36" t="s">
        <v>2974</v>
      </c>
      <c r="BY15" s="36" t="s">
        <v>429</v>
      </c>
      <c r="BZ15" s="39">
        <v>90</v>
      </c>
      <c r="CA15" s="36" t="s">
        <v>2975</v>
      </c>
      <c r="CB15" s="36" t="s">
        <v>429</v>
      </c>
      <c r="CC15" s="39">
        <v>80</v>
      </c>
      <c r="CD15" s="36" t="s">
        <v>2976</v>
      </c>
      <c r="CE15" s="36" t="s">
        <v>429</v>
      </c>
    </row>
    <row r="16" ht="30" customHeight="1" spans="1:83">
      <c r="A16" s="34" t="s">
        <v>38</v>
      </c>
      <c r="B16" s="34" t="s">
        <v>39</v>
      </c>
      <c r="C16" s="34" t="s">
        <v>14</v>
      </c>
      <c r="D16" s="34" t="s">
        <v>15</v>
      </c>
      <c r="E16" s="34" t="s">
        <v>21</v>
      </c>
      <c r="F16" s="38">
        <v>100</v>
      </c>
      <c r="G16" s="34" t="s">
        <v>2977</v>
      </c>
      <c r="H16" s="34" t="s">
        <v>429</v>
      </c>
      <c r="I16" s="38">
        <v>100</v>
      </c>
      <c r="J16" s="34" t="s">
        <v>2978</v>
      </c>
      <c r="K16" s="34" t="s">
        <v>429</v>
      </c>
      <c r="L16" s="38">
        <v>100</v>
      </c>
      <c r="M16" s="34" t="s">
        <v>2979</v>
      </c>
      <c r="N16" s="34" t="s">
        <v>429</v>
      </c>
      <c r="O16" s="38">
        <v>80</v>
      </c>
      <c r="P16" s="34" t="s">
        <v>2980</v>
      </c>
      <c r="Q16" s="34" t="s">
        <v>429</v>
      </c>
      <c r="R16" s="38">
        <v>100</v>
      </c>
      <c r="S16" s="34" t="s">
        <v>2981</v>
      </c>
      <c r="T16" s="34" t="s">
        <v>429</v>
      </c>
      <c r="U16" s="38">
        <v>100</v>
      </c>
      <c r="V16" s="34" t="s">
        <v>2982</v>
      </c>
      <c r="W16" s="34" t="s">
        <v>429</v>
      </c>
      <c r="X16" s="38">
        <v>90</v>
      </c>
      <c r="Y16" s="34" t="s">
        <v>1400</v>
      </c>
      <c r="Z16" s="34" t="s">
        <v>429</v>
      </c>
      <c r="AA16" s="38">
        <v>100</v>
      </c>
      <c r="AB16" s="34" t="s">
        <v>2983</v>
      </c>
      <c r="AC16" s="34" t="s">
        <v>429</v>
      </c>
      <c r="AD16" s="38">
        <v>100</v>
      </c>
      <c r="AE16" s="34" t="s">
        <v>2983</v>
      </c>
      <c r="AF16" s="34" t="s">
        <v>429</v>
      </c>
      <c r="AG16" s="38">
        <v>95</v>
      </c>
      <c r="AH16" s="34" t="s">
        <v>2717</v>
      </c>
      <c r="AI16" s="34" t="s">
        <v>429</v>
      </c>
      <c r="AJ16" s="38">
        <v>100</v>
      </c>
      <c r="AK16" s="34" t="s">
        <v>981</v>
      </c>
      <c r="AL16" s="34" t="s">
        <v>429</v>
      </c>
      <c r="AM16" s="38">
        <v>80</v>
      </c>
      <c r="AN16" s="34" t="s">
        <v>2984</v>
      </c>
      <c r="AO16" s="34" t="s">
        <v>429</v>
      </c>
      <c r="AP16" s="38">
        <v>80</v>
      </c>
      <c r="AQ16" s="34" t="s">
        <v>2985</v>
      </c>
      <c r="AR16" s="34" t="s">
        <v>429</v>
      </c>
      <c r="AS16" s="38">
        <v>100</v>
      </c>
      <c r="AT16" s="34" t="s">
        <v>1163</v>
      </c>
      <c r="AU16" s="34" t="s">
        <v>429</v>
      </c>
      <c r="AV16" s="38">
        <v>100</v>
      </c>
      <c r="AW16" s="34" t="s">
        <v>2966</v>
      </c>
      <c r="AX16" s="34" t="s">
        <v>429</v>
      </c>
      <c r="AY16" s="38">
        <v>100</v>
      </c>
      <c r="AZ16" s="34" t="s">
        <v>2986</v>
      </c>
      <c r="BA16" s="34" t="s">
        <v>429</v>
      </c>
      <c r="BB16" s="38">
        <v>70</v>
      </c>
      <c r="BC16" s="34" t="s">
        <v>2987</v>
      </c>
      <c r="BD16" s="34" t="s">
        <v>429</v>
      </c>
      <c r="BE16" s="38">
        <v>80</v>
      </c>
      <c r="BF16" s="34" t="s">
        <v>2988</v>
      </c>
      <c r="BG16" s="34" t="s">
        <v>429</v>
      </c>
      <c r="BH16" s="38">
        <v>70</v>
      </c>
      <c r="BI16" s="34" t="s">
        <v>2989</v>
      </c>
      <c r="BJ16" s="34" t="s">
        <v>429</v>
      </c>
      <c r="BK16" s="38">
        <v>60</v>
      </c>
      <c r="BL16" s="34" t="s">
        <v>2949</v>
      </c>
      <c r="BM16" s="34" t="s">
        <v>429</v>
      </c>
      <c r="BN16" s="38">
        <v>100</v>
      </c>
      <c r="BO16" s="34" t="s">
        <v>2990</v>
      </c>
      <c r="BP16" s="34" t="s">
        <v>429</v>
      </c>
      <c r="BQ16" s="38">
        <v>100</v>
      </c>
      <c r="BR16" s="34" t="s">
        <v>2950</v>
      </c>
      <c r="BS16" s="34" t="s">
        <v>429</v>
      </c>
      <c r="BT16" s="38">
        <v>90</v>
      </c>
      <c r="BU16" s="34" t="s">
        <v>2991</v>
      </c>
      <c r="BV16" s="34" t="s">
        <v>429</v>
      </c>
      <c r="BW16" s="38">
        <v>90</v>
      </c>
      <c r="BX16" s="34" t="s">
        <v>2991</v>
      </c>
      <c r="BY16" s="34" t="s">
        <v>429</v>
      </c>
      <c r="BZ16" s="38">
        <v>100</v>
      </c>
      <c r="CA16" s="34" t="s">
        <v>2992</v>
      </c>
      <c r="CB16" s="34" t="s">
        <v>429</v>
      </c>
      <c r="CC16" s="38">
        <v>80</v>
      </c>
      <c r="CD16" s="34" t="s">
        <v>2993</v>
      </c>
      <c r="CE16" s="34" t="s">
        <v>429</v>
      </c>
    </row>
    <row r="17" ht="30" customHeight="1" spans="1:83">
      <c r="A17" s="36" t="s">
        <v>40</v>
      </c>
      <c r="B17" s="36" t="s">
        <v>41</v>
      </c>
      <c r="C17" s="36" t="s">
        <v>14</v>
      </c>
      <c r="D17" s="36" t="s">
        <v>15</v>
      </c>
      <c r="E17" s="36" t="s">
        <v>21</v>
      </c>
      <c r="F17" s="39">
        <v>100</v>
      </c>
      <c r="G17" s="36" t="s">
        <v>2908</v>
      </c>
      <c r="H17" s="36" t="s">
        <v>429</v>
      </c>
      <c r="I17" s="39">
        <v>100</v>
      </c>
      <c r="J17" s="36" t="s">
        <v>2397</v>
      </c>
      <c r="K17" s="36" t="s">
        <v>429</v>
      </c>
      <c r="L17" s="39">
        <v>80</v>
      </c>
      <c r="M17" s="36" t="s">
        <v>2994</v>
      </c>
      <c r="N17" s="36" t="s">
        <v>429</v>
      </c>
      <c r="O17" s="39">
        <v>90</v>
      </c>
      <c r="P17" s="36" t="s">
        <v>2995</v>
      </c>
      <c r="Q17" s="36" t="s">
        <v>429</v>
      </c>
      <c r="R17" s="39">
        <v>100</v>
      </c>
      <c r="S17" s="36" t="s">
        <v>2996</v>
      </c>
      <c r="T17" s="36" t="s">
        <v>429</v>
      </c>
      <c r="U17" s="39">
        <v>80</v>
      </c>
      <c r="V17" s="36" t="s">
        <v>2997</v>
      </c>
      <c r="W17" s="36" t="s">
        <v>429</v>
      </c>
      <c r="X17" s="39">
        <v>70</v>
      </c>
      <c r="Y17" s="36" t="s">
        <v>2998</v>
      </c>
      <c r="Z17" s="36" t="s">
        <v>429</v>
      </c>
      <c r="AA17" s="39">
        <v>100</v>
      </c>
      <c r="AB17" s="36" t="s">
        <v>2277</v>
      </c>
      <c r="AC17" s="36" t="s">
        <v>429</v>
      </c>
      <c r="AD17" s="39">
        <v>100</v>
      </c>
      <c r="AE17" s="36" t="s">
        <v>1707</v>
      </c>
      <c r="AF17" s="36" t="s">
        <v>429</v>
      </c>
      <c r="AG17" s="39">
        <v>100</v>
      </c>
      <c r="AH17" s="36" t="s">
        <v>2999</v>
      </c>
      <c r="AI17" s="36" t="s">
        <v>429</v>
      </c>
      <c r="AJ17" s="39">
        <v>90</v>
      </c>
      <c r="AK17" s="36" t="s">
        <v>810</v>
      </c>
      <c r="AL17" s="36" t="s">
        <v>429</v>
      </c>
      <c r="AM17" s="39">
        <v>80</v>
      </c>
      <c r="AN17" s="36" t="s">
        <v>3000</v>
      </c>
      <c r="AO17" s="36" t="s">
        <v>429</v>
      </c>
      <c r="AP17" s="39">
        <v>70</v>
      </c>
      <c r="AQ17" s="36" t="s">
        <v>3001</v>
      </c>
      <c r="AR17" s="36" t="s">
        <v>429</v>
      </c>
      <c r="AS17" s="39">
        <v>80</v>
      </c>
      <c r="AT17" s="36" t="s">
        <v>812</v>
      </c>
      <c r="AU17" s="36" t="s">
        <v>429</v>
      </c>
      <c r="AV17" s="39">
        <v>100</v>
      </c>
      <c r="AW17" s="36" t="s">
        <v>3002</v>
      </c>
      <c r="AX17" s="36" t="s">
        <v>429</v>
      </c>
      <c r="AY17" s="39">
        <v>80</v>
      </c>
      <c r="AZ17" s="36" t="s">
        <v>1034</v>
      </c>
      <c r="BA17" s="36" t="s">
        <v>429</v>
      </c>
      <c r="BB17" s="39">
        <v>70</v>
      </c>
      <c r="BC17" s="36" t="s">
        <v>3003</v>
      </c>
      <c r="BD17" s="36" t="s">
        <v>429</v>
      </c>
      <c r="BE17" s="39">
        <v>80</v>
      </c>
      <c r="BF17" s="36" t="s">
        <v>3004</v>
      </c>
      <c r="BG17" s="36" t="s">
        <v>429</v>
      </c>
      <c r="BH17" s="39">
        <v>60</v>
      </c>
      <c r="BI17" s="36" t="s">
        <v>3005</v>
      </c>
      <c r="BJ17" s="36" t="s">
        <v>429</v>
      </c>
      <c r="BK17" s="39">
        <v>60</v>
      </c>
      <c r="BL17" s="36" t="s">
        <v>3006</v>
      </c>
      <c r="BM17" s="36" t="s">
        <v>429</v>
      </c>
      <c r="BN17" s="39">
        <v>100</v>
      </c>
      <c r="BO17" s="36" t="s">
        <v>3007</v>
      </c>
      <c r="BP17" s="36" t="s">
        <v>429</v>
      </c>
      <c r="BQ17" s="39">
        <v>90</v>
      </c>
      <c r="BR17" s="36" t="s">
        <v>3008</v>
      </c>
      <c r="BS17" s="36" t="s">
        <v>429</v>
      </c>
      <c r="BT17" s="39">
        <v>80</v>
      </c>
      <c r="BU17" s="36" t="s">
        <v>3009</v>
      </c>
      <c r="BV17" s="36" t="s">
        <v>429</v>
      </c>
      <c r="BW17" s="39">
        <v>90</v>
      </c>
      <c r="BX17" s="36" t="s">
        <v>3009</v>
      </c>
      <c r="BY17" s="36" t="s">
        <v>429</v>
      </c>
      <c r="BZ17" s="39">
        <v>90</v>
      </c>
      <c r="CA17" s="36" t="s">
        <v>3010</v>
      </c>
      <c r="CB17" s="36" t="s">
        <v>429</v>
      </c>
      <c r="CC17" s="39">
        <v>70</v>
      </c>
      <c r="CD17" s="36" t="s">
        <v>3011</v>
      </c>
      <c r="CE17" s="36" t="s">
        <v>429</v>
      </c>
    </row>
    <row r="18" ht="30" customHeight="1" spans="1:83">
      <c r="A18" s="34" t="s">
        <v>42</v>
      </c>
      <c r="B18" s="34" t="s">
        <v>43</v>
      </c>
      <c r="C18" s="34" t="s">
        <v>14</v>
      </c>
      <c r="D18" s="34" t="s">
        <v>15</v>
      </c>
      <c r="E18" s="34" t="s">
        <v>21</v>
      </c>
      <c r="F18" s="38">
        <v>100</v>
      </c>
      <c r="G18" s="34" t="s">
        <v>3012</v>
      </c>
      <c r="H18" s="34" t="s">
        <v>429</v>
      </c>
      <c r="I18" s="38">
        <v>100</v>
      </c>
      <c r="J18" s="34" t="s">
        <v>3013</v>
      </c>
      <c r="K18" s="34" t="s">
        <v>429</v>
      </c>
      <c r="L18" s="38">
        <v>100</v>
      </c>
      <c r="M18" s="34" t="s">
        <v>3014</v>
      </c>
      <c r="N18" s="34" t="s">
        <v>429</v>
      </c>
      <c r="O18" s="38">
        <v>100</v>
      </c>
      <c r="P18" s="34" t="s">
        <v>3015</v>
      </c>
      <c r="Q18" s="34" t="s">
        <v>429</v>
      </c>
      <c r="R18" s="38">
        <v>100</v>
      </c>
      <c r="S18" s="34" t="s">
        <v>3016</v>
      </c>
      <c r="T18" s="34" t="s">
        <v>429</v>
      </c>
      <c r="U18" s="38">
        <v>80</v>
      </c>
      <c r="V18" s="34" t="s">
        <v>3017</v>
      </c>
      <c r="W18" s="34" t="s">
        <v>429</v>
      </c>
      <c r="X18" s="38">
        <v>80</v>
      </c>
      <c r="Y18" s="34" t="s">
        <v>444</v>
      </c>
      <c r="Z18" s="34" t="s">
        <v>429</v>
      </c>
      <c r="AA18" s="38">
        <v>80</v>
      </c>
      <c r="AB18" s="34" t="s">
        <v>1790</v>
      </c>
      <c r="AC18" s="34" t="s">
        <v>429</v>
      </c>
      <c r="AD18" s="38">
        <v>80</v>
      </c>
      <c r="AE18" s="34" t="s">
        <v>447</v>
      </c>
      <c r="AF18" s="34" t="s">
        <v>429</v>
      </c>
      <c r="AG18" s="38">
        <v>100</v>
      </c>
      <c r="AH18" s="34" t="s">
        <v>3018</v>
      </c>
      <c r="AI18" s="34" t="s">
        <v>429</v>
      </c>
      <c r="AJ18" s="38">
        <v>80</v>
      </c>
      <c r="AK18" s="34" t="s">
        <v>3019</v>
      </c>
      <c r="AL18" s="34" t="s">
        <v>429</v>
      </c>
      <c r="AM18" s="38">
        <v>70</v>
      </c>
      <c r="AN18" s="34" t="s">
        <v>3020</v>
      </c>
      <c r="AO18" s="34" t="s">
        <v>429</v>
      </c>
      <c r="AP18" s="38">
        <v>80</v>
      </c>
      <c r="AQ18" s="34" t="s">
        <v>3021</v>
      </c>
      <c r="AR18" s="34" t="s">
        <v>429</v>
      </c>
      <c r="AS18" s="38">
        <v>100</v>
      </c>
      <c r="AT18" s="34" t="s">
        <v>3022</v>
      </c>
      <c r="AU18" s="34" t="s">
        <v>429</v>
      </c>
      <c r="AV18" s="38">
        <v>100</v>
      </c>
      <c r="AW18" s="34" t="s">
        <v>3023</v>
      </c>
      <c r="AX18" s="34" t="s">
        <v>429</v>
      </c>
      <c r="AY18" s="38">
        <v>100</v>
      </c>
      <c r="AZ18" s="34" t="s">
        <v>492</v>
      </c>
      <c r="BA18" s="34" t="s">
        <v>429</v>
      </c>
      <c r="BB18" s="38">
        <v>95</v>
      </c>
      <c r="BC18" s="34" t="s">
        <v>3024</v>
      </c>
      <c r="BD18" s="34" t="s">
        <v>429</v>
      </c>
      <c r="BE18" s="38">
        <v>60</v>
      </c>
      <c r="BF18" s="34" t="s">
        <v>3025</v>
      </c>
      <c r="BG18" s="34" t="s">
        <v>429</v>
      </c>
      <c r="BH18" s="38">
        <v>60</v>
      </c>
      <c r="BI18" s="34" t="s">
        <v>3026</v>
      </c>
      <c r="BJ18" s="34" t="s">
        <v>429</v>
      </c>
      <c r="BK18" s="38">
        <v>70</v>
      </c>
      <c r="BL18" s="34" t="s">
        <v>3027</v>
      </c>
      <c r="BM18" s="34" t="s">
        <v>429</v>
      </c>
      <c r="BN18" s="38">
        <v>100</v>
      </c>
      <c r="BO18" s="34" t="s">
        <v>3028</v>
      </c>
      <c r="BP18" s="34" t="s">
        <v>429</v>
      </c>
      <c r="BQ18" s="38">
        <v>100</v>
      </c>
      <c r="BR18" s="34" t="s">
        <v>3029</v>
      </c>
      <c r="BS18" s="34" t="s">
        <v>429</v>
      </c>
      <c r="BT18" s="38">
        <v>90</v>
      </c>
      <c r="BU18" s="34" t="s">
        <v>3030</v>
      </c>
      <c r="BV18" s="34" t="s">
        <v>429</v>
      </c>
      <c r="BW18" s="38">
        <v>80</v>
      </c>
      <c r="BX18" s="34" t="s">
        <v>3031</v>
      </c>
      <c r="BY18" s="34" t="s">
        <v>429</v>
      </c>
      <c r="BZ18" s="38">
        <v>90</v>
      </c>
      <c r="CA18" s="34" t="s">
        <v>3032</v>
      </c>
      <c r="CB18" s="34" t="s">
        <v>429</v>
      </c>
      <c r="CC18" s="38">
        <v>80</v>
      </c>
      <c r="CD18" s="34" t="s">
        <v>3033</v>
      </c>
      <c r="CE18" s="34" t="s">
        <v>429</v>
      </c>
    </row>
    <row r="19" ht="30" customHeight="1" spans="1:83">
      <c r="A19" s="36" t="s">
        <v>44</v>
      </c>
      <c r="B19" s="36" t="s">
        <v>45</v>
      </c>
      <c r="C19" s="36" t="s">
        <v>14</v>
      </c>
      <c r="D19" s="36" t="s">
        <v>15</v>
      </c>
      <c r="E19" s="36" t="s">
        <v>21</v>
      </c>
      <c r="F19" s="39">
        <v>100</v>
      </c>
      <c r="G19" s="36" t="s">
        <v>3034</v>
      </c>
      <c r="H19" s="36" t="s">
        <v>429</v>
      </c>
      <c r="I19" s="39">
        <v>100</v>
      </c>
      <c r="J19" s="36" t="s">
        <v>3035</v>
      </c>
      <c r="K19" s="36" t="s">
        <v>429</v>
      </c>
      <c r="L19" s="39">
        <v>100</v>
      </c>
      <c r="M19" s="36" t="s">
        <v>3036</v>
      </c>
      <c r="N19" s="36" t="s">
        <v>429</v>
      </c>
      <c r="O19" s="39">
        <v>90</v>
      </c>
      <c r="P19" s="36" t="s">
        <v>3037</v>
      </c>
      <c r="Q19" s="36" t="s">
        <v>429</v>
      </c>
      <c r="R19" s="39">
        <v>100</v>
      </c>
      <c r="S19" s="36" t="s">
        <v>3038</v>
      </c>
      <c r="T19" s="36" t="s">
        <v>429</v>
      </c>
      <c r="U19" s="39">
        <v>90</v>
      </c>
      <c r="V19" s="36" t="s">
        <v>3039</v>
      </c>
      <c r="W19" s="36" t="s">
        <v>429</v>
      </c>
      <c r="X19" s="39">
        <v>90</v>
      </c>
      <c r="Y19" s="36" t="s">
        <v>3040</v>
      </c>
      <c r="Z19" s="36" t="s">
        <v>429</v>
      </c>
      <c r="AA19" s="39">
        <v>100</v>
      </c>
      <c r="AB19" s="36" t="s">
        <v>3041</v>
      </c>
      <c r="AC19" s="36" t="s">
        <v>429</v>
      </c>
      <c r="AD19" s="39">
        <v>100</v>
      </c>
      <c r="AE19" s="36" t="s">
        <v>3041</v>
      </c>
      <c r="AF19" s="36" t="s">
        <v>429</v>
      </c>
      <c r="AG19" s="39">
        <v>95</v>
      </c>
      <c r="AH19" s="36" t="s">
        <v>645</v>
      </c>
      <c r="AI19" s="36" t="s">
        <v>429</v>
      </c>
      <c r="AJ19" s="39">
        <v>100</v>
      </c>
      <c r="AK19" s="36" t="s">
        <v>1969</v>
      </c>
      <c r="AL19" s="36" t="s">
        <v>429</v>
      </c>
      <c r="AM19" s="39">
        <v>90</v>
      </c>
      <c r="AN19" s="36" t="s">
        <v>3042</v>
      </c>
      <c r="AO19" s="36" t="s">
        <v>429</v>
      </c>
      <c r="AP19" s="39">
        <v>80</v>
      </c>
      <c r="AQ19" s="36" t="s">
        <v>3043</v>
      </c>
      <c r="AR19" s="36" t="s">
        <v>429</v>
      </c>
      <c r="AS19" s="39">
        <v>100</v>
      </c>
      <c r="AT19" s="36" t="s">
        <v>3044</v>
      </c>
      <c r="AU19" s="36" t="s">
        <v>429</v>
      </c>
      <c r="AV19" s="39">
        <v>100</v>
      </c>
      <c r="AW19" s="36" t="s">
        <v>3045</v>
      </c>
      <c r="AX19" s="36" t="s">
        <v>429</v>
      </c>
      <c r="AY19" s="39">
        <v>100</v>
      </c>
      <c r="AZ19" s="36" t="s">
        <v>3046</v>
      </c>
      <c r="BA19" s="36" t="s">
        <v>429</v>
      </c>
      <c r="BB19" s="39">
        <v>70</v>
      </c>
      <c r="BC19" s="36" t="s">
        <v>3047</v>
      </c>
      <c r="BD19" s="36" t="s">
        <v>429</v>
      </c>
      <c r="BE19" s="39">
        <v>80</v>
      </c>
      <c r="BF19" s="36" t="s">
        <v>3047</v>
      </c>
      <c r="BG19" s="36" t="s">
        <v>429</v>
      </c>
      <c r="BH19" s="39">
        <v>70</v>
      </c>
      <c r="BI19" s="36" t="s">
        <v>2948</v>
      </c>
      <c r="BJ19" s="36" t="s">
        <v>429</v>
      </c>
      <c r="BK19" s="39">
        <v>60</v>
      </c>
      <c r="BL19" s="36" t="s">
        <v>2800</v>
      </c>
      <c r="BM19" s="36" t="s">
        <v>429</v>
      </c>
      <c r="BN19" s="39">
        <v>100</v>
      </c>
      <c r="BO19" s="36" t="s">
        <v>3048</v>
      </c>
      <c r="BP19" s="36" t="s">
        <v>429</v>
      </c>
      <c r="BQ19" s="39">
        <v>100</v>
      </c>
      <c r="BR19" s="36" t="s">
        <v>3049</v>
      </c>
      <c r="BS19" s="36" t="s">
        <v>429</v>
      </c>
      <c r="BT19" s="39">
        <v>90</v>
      </c>
      <c r="BU19" s="36" t="s">
        <v>3050</v>
      </c>
      <c r="BV19" s="36" t="s">
        <v>429</v>
      </c>
      <c r="BW19" s="39">
        <v>90</v>
      </c>
      <c r="BX19" s="36" t="s">
        <v>3051</v>
      </c>
      <c r="BY19" s="36" t="s">
        <v>429</v>
      </c>
      <c r="BZ19" s="39">
        <v>90</v>
      </c>
      <c r="CA19" s="36" t="s">
        <v>3052</v>
      </c>
      <c r="CB19" s="36" t="s">
        <v>429</v>
      </c>
      <c r="CC19" s="39">
        <v>80</v>
      </c>
      <c r="CD19" s="36" t="s">
        <v>2976</v>
      </c>
      <c r="CE19" s="36" t="s">
        <v>429</v>
      </c>
    </row>
    <row r="20" ht="30" customHeight="1" spans="1:83">
      <c r="A20" s="34" t="s">
        <v>46</v>
      </c>
      <c r="B20" s="34" t="s">
        <v>47</v>
      </c>
      <c r="C20" s="34" t="s">
        <v>14</v>
      </c>
      <c r="D20" s="34" t="s">
        <v>15</v>
      </c>
      <c r="E20" s="34" t="s">
        <v>21</v>
      </c>
      <c r="F20" s="38">
        <v>100</v>
      </c>
      <c r="G20" s="34" t="s">
        <v>3053</v>
      </c>
      <c r="H20" s="34" t="s">
        <v>429</v>
      </c>
      <c r="I20" s="38">
        <v>100</v>
      </c>
      <c r="J20" s="34" t="s">
        <v>2955</v>
      </c>
      <c r="K20" s="34" t="s">
        <v>429</v>
      </c>
      <c r="L20" s="38">
        <v>100</v>
      </c>
      <c r="M20" s="34" t="s">
        <v>3054</v>
      </c>
      <c r="N20" s="34" t="s">
        <v>429</v>
      </c>
      <c r="O20" s="38">
        <v>80</v>
      </c>
      <c r="P20" s="34" t="s">
        <v>3055</v>
      </c>
      <c r="Q20" s="34" t="s">
        <v>429</v>
      </c>
      <c r="R20" s="38">
        <v>100</v>
      </c>
      <c r="S20" s="34" t="s">
        <v>3056</v>
      </c>
      <c r="T20" s="34" t="s">
        <v>429</v>
      </c>
      <c r="U20" s="38">
        <v>90</v>
      </c>
      <c r="V20" s="34" t="s">
        <v>3057</v>
      </c>
      <c r="W20" s="34" t="s">
        <v>429</v>
      </c>
      <c r="X20" s="38">
        <v>70</v>
      </c>
      <c r="Y20" s="34" t="s">
        <v>3058</v>
      </c>
      <c r="Z20" s="34" t="s">
        <v>429</v>
      </c>
      <c r="AA20" s="38">
        <v>90</v>
      </c>
      <c r="AB20" s="34" t="s">
        <v>2017</v>
      </c>
      <c r="AC20" s="34" t="s">
        <v>429</v>
      </c>
      <c r="AD20" s="38">
        <v>90</v>
      </c>
      <c r="AE20" s="34" t="s">
        <v>3059</v>
      </c>
      <c r="AF20" s="34" t="s">
        <v>429</v>
      </c>
      <c r="AG20" s="38">
        <v>100</v>
      </c>
      <c r="AH20" s="34" t="s">
        <v>3060</v>
      </c>
      <c r="AI20" s="34" t="s">
        <v>429</v>
      </c>
      <c r="AJ20" s="38">
        <v>90</v>
      </c>
      <c r="AK20" s="34" t="s">
        <v>3061</v>
      </c>
      <c r="AL20" s="34" t="s">
        <v>429</v>
      </c>
      <c r="AM20" s="38">
        <v>80</v>
      </c>
      <c r="AN20" s="34" t="s">
        <v>3062</v>
      </c>
      <c r="AO20" s="34" t="s">
        <v>429</v>
      </c>
      <c r="AP20" s="38">
        <v>70</v>
      </c>
      <c r="AQ20" s="34" t="s">
        <v>2776</v>
      </c>
      <c r="AR20" s="34" t="s">
        <v>429</v>
      </c>
      <c r="AS20" s="38">
        <v>100</v>
      </c>
      <c r="AT20" s="34" t="s">
        <v>3063</v>
      </c>
      <c r="AU20" s="34" t="s">
        <v>429</v>
      </c>
      <c r="AV20" s="38">
        <v>100</v>
      </c>
      <c r="AW20" s="34" t="s">
        <v>3064</v>
      </c>
      <c r="AX20" s="34" t="s">
        <v>429</v>
      </c>
      <c r="AY20" s="38">
        <v>80</v>
      </c>
      <c r="AZ20" s="34" t="s">
        <v>2920</v>
      </c>
      <c r="BA20" s="34" t="s">
        <v>429</v>
      </c>
      <c r="BB20" s="38">
        <v>70</v>
      </c>
      <c r="BC20" s="34" t="s">
        <v>3065</v>
      </c>
      <c r="BD20" s="34" t="s">
        <v>429</v>
      </c>
      <c r="BE20" s="38">
        <v>80</v>
      </c>
      <c r="BF20" s="34" t="s">
        <v>3066</v>
      </c>
      <c r="BG20" s="34" t="s">
        <v>429</v>
      </c>
      <c r="BH20" s="38">
        <v>100</v>
      </c>
      <c r="BI20" s="34" t="s">
        <v>3026</v>
      </c>
      <c r="BJ20" s="34" t="s">
        <v>429</v>
      </c>
      <c r="BK20" s="38">
        <v>80</v>
      </c>
      <c r="BL20" s="34" t="s">
        <v>3067</v>
      </c>
      <c r="BM20" s="34" t="s">
        <v>429</v>
      </c>
      <c r="BN20" s="38">
        <v>80</v>
      </c>
      <c r="BO20" s="34" t="s">
        <v>3068</v>
      </c>
      <c r="BP20" s="34" t="s">
        <v>429</v>
      </c>
      <c r="BQ20" s="38">
        <v>100</v>
      </c>
      <c r="BR20" s="34" t="s">
        <v>3069</v>
      </c>
      <c r="BS20" s="34" t="s">
        <v>429</v>
      </c>
      <c r="BT20" s="38">
        <v>80</v>
      </c>
      <c r="BU20" s="34" t="s">
        <v>3070</v>
      </c>
      <c r="BV20" s="34" t="s">
        <v>429</v>
      </c>
      <c r="BW20" s="38">
        <v>90</v>
      </c>
      <c r="BX20" s="34" t="s">
        <v>3071</v>
      </c>
      <c r="BY20" s="34" t="s">
        <v>429</v>
      </c>
      <c r="BZ20" s="38">
        <v>90</v>
      </c>
      <c r="CA20" s="34" t="s">
        <v>3072</v>
      </c>
      <c r="CB20" s="34" t="s">
        <v>429</v>
      </c>
      <c r="CC20" s="38">
        <v>80</v>
      </c>
      <c r="CD20" s="34" t="s">
        <v>3073</v>
      </c>
      <c r="CE20" s="34" t="s">
        <v>429</v>
      </c>
    </row>
    <row r="21" ht="30" customHeight="1" spans="1:83">
      <c r="A21" s="36" t="s">
        <v>48</v>
      </c>
      <c r="B21" s="36" t="s">
        <v>49</v>
      </c>
      <c r="C21" s="36" t="s">
        <v>14</v>
      </c>
      <c r="D21" s="36" t="s">
        <v>15</v>
      </c>
      <c r="E21" s="36" t="s">
        <v>21</v>
      </c>
      <c r="F21" s="39">
        <v>100</v>
      </c>
      <c r="G21" s="36" t="s">
        <v>3074</v>
      </c>
      <c r="H21" s="36" t="s">
        <v>429</v>
      </c>
      <c r="I21" s="39">
        <v>100</v>
      </c>
      <c r="J21" s="36" t="s">
        <v>3075</v>
      </c>
      <c r="K21" s="36" t="s">
        <v>429</v>
      </c>
      <c r="L21" s="39">
        <v>100</v>
      </c>
      <c r="M21" s="36" t="s">
        <v>3076</v>
      </c>
      <c r="N21" s="36" t="s">
        <v>429</v>
      </c>
      <c r="O21" s="39">
        <v>80</v>
      </c>
      <c r="P21" s="36" t="s">
        <v>3077</v>
      </c>
      <c r="Q21" s="36" t="s">
        <v>429</v>
      </c>
      <c r="R21" s="39">
        <v>100</v>
      </c>
      <c r="S21" s="36" t="s">
        <v>3078</v>
      </c>
      <c r="T21" s="36" t="s">
        <v>429</v>
      </c>
      <c r="U21" s="39">
        <v>90</v>
      </c>
      <c r="V21" s="36" t="s">
        <v>2520</v>
      </c>
      <c r="W21" s="36" t="s">
        <v>429</v>
      </c>
      <c r="X21" s="39">
        <v>100</v>
      </c>
      <c r="Y21" s="36" t="s">
        <v>3079</v>
      </c>
      <c r="Z21" s="36" t="s">
        <v>429</v>
      </c>
      <c r="AA21" s="39">
        <v>100</v>
      </c>
      <c r="AB21" s="36" t="s">
        <v>1707</v>
      </c>
      <c r="AC21" s="36" t="s">
        <v>429</v>
      </c>
      <c r="AD21" s="39">
        <v>100</v>
      </c>
      <c r="AE21" s="36" t="s">
        <v>2277</v>
      </c>
      <c r="AF21" s="36" t="s">
        <v>429</v>
      </c>
      <c r="AG21" s="39">
        <v>100</v>
      </c>
      <c r="AH21" s="36" t="s">
        <v>3080</v>
      </c>
      <c r="AI21" s="36" t="s">
        <v>429</v>
      </c>
      <c r="AJ21" s="39">
        <v>80</v>
      </c>
      <c r="AK21" s="36" t="s">
        <v>1969</v>
      </c>
      <c r="AL21" s="36" t="s">
        <v>429</v>
      </c>
      <c r="AM21" s="39">
        <v>90</v>
      </c>
      <c r="AN21" s="36" t="s">
        <v>3081</v>
      </c>
      <c r="AO21" s="36" t="s">
        <v>429</v>
      </c>
      <c r="AP21" s="39">
        <v>80</v>
      </c>
      <c r="AQ21" s="36" t="s">
        <v>3082</v>
      </c>
      <c r="AR21" s="36" t="s">
        <v>429</v>
      </c>
      <c r="AS21" s="39">
        <v>100</v>
      </c>
      <c r="AT21" s="36" t="s">
        <v>3083</v>
      </c>
      <c r="AU21" s="36" t="s">
        <v>429</v>
      </c>
      <c r="AV21" s="39">
        <v>100</v>
      </c>
      <c r="AW21" s="36" t="s">
        <v>3084</v>
      </c>
      <c r="AX21" s="36" t="s">
        <v>429</v>
      </c>
      <c r="AY21" s="39">
        <v>80</v>
      </c>
      <c r="AZ21" s="36" t="s">
        <v>3085</v>
      </c>
      <c r="BA21" s="36" t="s">
        <v>429</v>
      </c>
      <c r="BB21" s="39">
        <v>70</v>
      </c>
      <c r="BC21" s="36" t="s">
        <v>3086</v>
      </c>
      <c r="BD21" s="36" t="s">
        <v>429</v>
      </c>
      <c r="BE21" s="39">
        <v>70</v>
      </c>
      <c r="BF21" s="36" t="s">
        <v>3087</v>
      </c>
      <c r="BG21" s="36" t="s">
        <v>429</v>
      </c>
      <c r="BH21" s="39">
        <v>100</v>
      </c>
      <c r="BI21" s="36" t="s">
        <v>3088</v>
      </c>
      <c r="BJ21" s="36" t="s">
        <v>429</v>
      </c>
      <c r="BK21" s="39">
        <v>80</v>
      </c>
      <c r="BL21" s="36" t="s">
        <v>3089</v>
      </c>
      <c r="BM21" s="36" t="s">
        <v>429</v>
      </c>
      <c r="BN21" s="39">
        <v>100</v>
      </c>
      <c r="BO21" s="36" t="s">
        <v>2864</v>
      </c>
      <c r="BP21" s="36" t="s">
        <v>429</v>
      </c>
      <c r="BQ21" s="39">
        <v>90</v>
      </c>
      <c r="BR21" s="36" t="s">
        <v>3090</v>
      </c>
      <c r="BS21" s="36" t="s">
        <v>429</v>
      </c>
      <c r="BT21" s="39">
        <v>70</v>
      </c>
      <c r="BU21" s="36" t="s">
        <v>3091</v>
      </c>
      <c r="BV21" s="36" t="s">
        <v>429</v>
      </c>
      <c r="BW21" s="39">
        <v>90</v>
      </c>
      <c r="BX21" s="36" t="s">
        <v>3092</v>
      </c>
      <c r="BY21" s="36" t="s">
        <v>429</v>
      </c>
      <c r="BZ21" s="39">
        <v>90</v>
      </c>
      <c r="CA21" s="36" t="s">
        <v>3093</v>
      </c>
      <c r="CB21" s="36" t="s">
        <v>429</v>
      </c>
      <c r="CC21" s="39">
        <v>80</v>
      </c>
      <c r="CD21" s="36" t="s">
        <v>3011</v>
      </c>
      <c r="CE21" s="36" t="s">
        <v>429</v>
      </c>
    </row>
    <row r="22" ht="30" customHeight="1" spans="1:83">
      <c r="A22" s="34" t="s">
        <v>50</v>
      </c>
      <c r="B22" s="34" t="s">
        <v>51</v>
      </c>
      <c r="C22" s="34" t="s">
        <v>14</v>
      </c>
      <c r="D22" s="34" t="s">
        <v>15</v>
      </c>
      <c r="E22" s="34" t="s">
        <v>21</v>
      </c>
      <c r="F22" s="34" t="s">
        <v>682</v>
      </c>
      <c r="G22" s="34" t="s">
        <v>682</v>
      </c>
      <c r="H22" s="34" t="s">
        <v>681</v>
      </c>
      <c r="I22" s="34" t="s">
        <v>682</v>
      </c>
      <c r="J22" s="34" t="s">
        <v>682</v>
      </c>
      <c r="K22" s="34" t="s">
        <v>681</v>
      </c>
      <c r="L22" s="34" t="s">
        <v>682</v>
      </c>
      <c r="M22" s="34" t="s">
        <v>682</v>
      </c>
      <c r="N22" s="34" t="s">
        <v>681</v>
      </c>
      <c r="O22" s="34" t="s">
        <v>682</v>
      </c>
      <c r="P22" s="34" t="s">
        <v>682</v>
      </c>
      <c r="Q22" s="34" t="s">
        <v>681</v>
      </c>
      <c r="R22" s="34" t="s">
        <v>682</v>
      </c>
      <c r="S22" s="34" t="s">
        <v>682</v>
      </c>
      <c r="T22" s="34" t="s">
        <v>681</v>
      </c>
      <c r="U22" s="34" t="s">
        <v>682</v>
      </c>
      <c r="V22" s="34" t="s">
        <v>682</v>
      </c>
      <c r="W22" s="34" t="s">
        <v>681</v>
      </c>
      <c r="X22" s="34" t="s">
        <v>682</v>
      </c>
      <c r="Y22" s="34" t="s">
        <v>682</v>
      </c>
      <c r="Z22" s="34" t="s">
        <v>681</v>
      </c>
      <c r="AA22" s="34" t="s">
        <v>682</v>
      </c>
      <c r="AB22" s="34" t="s">
        <v>682</v>
      </c>
      <c r="AC22" s="34" t="s">
        <v>681</v>
      </c>
      <c r="AD22" s="34" t="s">
        <v>682</v>
      </c>
      <c r="AE22" s="34" t="s">
        <v>682</v>
      </c>
      <c r="AF22" s="34" t="s">
        <v>681</v>
      </c>
      <c r="AG22" s="34" t="s">
        <v>682</v>
      </c>
      <c r="AH22" s="34" t="s">
        <v>682</v>
      </c>
      <c r="AI22" s="34" t="s">
        <v>681</v>
      </c>
      <c r="AJ22" s="34" t="s">
        <v>682</v>
      </c>
      <c r="AK22" s="34" t="s">
        <v>682</v>
      </c>
      <c r="AL22" s="34" t="s">
        <v>681</v>
      </c>
      <c r="AM22" s="34" t="s">
        <v>682</v>
      </c>
      <c r="AN22" s="34" t="s">
        <v>682</v>
      </c>
      <c r="AO22" s="34" t="s">
        <v>681</v>
      </c>
      <c r="AP22" s="34" t="s">
        <v>682</v>
      </c>
      <c r="AQ22" s="34" t="s">
        <v>682</v>
      </c>
      <c r="AR22" s="34" t="s">
        <v>681</v>
      </c>
      <c r="AS22" s="34" t="s">
        <v>682</v>
      </c>
      <c r="AT22" s="34" t="s">
        <v>682</v>
      </c>
      <c r="AU22" s="34" t="s">
        <v>681</v>
      </c>
      <c r="AV22" s="34" t="s">
        <v>682</v>
      </c>
      <c r="AW22" s="34" t="s">
        <v>682</v>
      </c>
      <c r="AX22" s="34" t="s">
        <v>681</v>
      </c>
      <c r="AY22" s="34" t="s">
        <v>682</v>
      </c>
      <c r="AZ22" s="34" t="s">
        <v>682</v>
      </c>
      <c r="BA22" s="34" t="s">
        <v>681</v>
      </c>
      <c r="BB22" s="34" t="s">
        <v>682</v>
      </c>
      <c r="BC22" s="34" t="s">
        <v>682</v>
      </c>
      <c r="BD22" s="34" t="s">
        <v>681</v>
      </c>
      <c r="BE22" s="34" t="s">
        <v>682</v>
      </c>
      <c r="BF22" s="34" t="s">
        <v>682</v>
      </c>
      <c r="BG22" s="34" t="s">
        <v>681</v>
      </c>
      <c r="BH22" s="38">
        <v>70</v>
      </c>
      <c r="BI22" s="34" t="s">
        <v>3094</v>
      </c>
      <c r="BJ22" s="34" t="s">
        <v>429</v>
      </c>
      <c r="BK22" s="38">
        <v>90</v>
      </c>
      <c r="BL22" s="34" t="s">
        <v>3095</v>
      </c>
      <c r="BM22" s="34" t="s">
        <v>429</v>
      </c>
      <c r="BN22" s="38">
        <v>80</v>
      </c>
      <c r="BO22" s="34" t="s">
        <v>3096</v>
      </c>
      <c r="BP22" s="34" t="s">
        <v>429</v>
      </c>
      <c r="BQ22" s="38">
        <v>80</v>
      </c>
      <c r="BR22" s="34" t="s">
        <v>3097</v>
      </c>
      <c r="BS22" s="34" t="s">
        <v>429</v>
      </c>
      <c r="BT22" s="38">
        <v>80</v>
      </c>
      <c r="BU22" s="34" t="s">
        <v>3098</v>
      </c>
      <c r="BV22" s="34" t="s">
        <v>429</v>
      </c>
      <c r="BW22" s="38">
        <v>80</v>
      </c>
      <c r="BX22" s="34" t="s">
        <v>3099</v>
      </c>
      <c r="BY22" s="34" t="s">
        <v>429</v>
      </c>
      <c r="BZ22" s="38">
        <v>90</v>
      </c>
      <c r="CA22" s="34" t="s">
        <v>3100</v>
      </c>
      <c r="CB22" s="34" t="s">
        <v>429</v>
      </c>
      <c r="CC22" s="34" t="s">
        <v>682</v>
      </c>
      <c r="CD22" s="34" t="s">
        <v>682</v>
      </c>
      <c r="CE22" s="34" t="s">
        <v>681</v>
      </c>
    </row>
    <row r="23" ht="30" customHeight="1" spans="1:83">
      <c r="A23" s="36" t="s">
        <v>52</v>
      </c>
      <c r="B23" s="36" t="s">
        <v>53</v>
      </c>
      <c r="C23" s="36" t="s">
        <v>14</v>
      </c>
      <c r="D23" s="36" t="s">
        <v>15</v>
      </c>
      <c r="E23" s="36" t="s">
        <v>21</v>
      </c>
      <c r="F23" s="39">
        <v>100</v>
      </c>
      <c r="G23" s="36" t="s">
        <v>3101</v>
      </c>
      <c r="H23" s="36" t="s">
        <v>429</v>
      </c>
      <c r="I23" s="39">
        <v>80</v>
      </c>
      <c r="J23" s="36" t="s">
        <v>3102</v>
      </c>
      <c r="K23" s="36" t="s">
        <v>429</v>
      </c>
      <c r="L23" s="39">
        <v>100</v>
      </c>
      <c r="M23" s="36" t="s">
        <v>3103</v>
      </c>
      <c r="N23" s="36" t="s">
        <v>429</v>
      </c>
      <c r="O23" s="39">
        <v>95</v>
      </c>
      <c r="P23" s="36" t="s">
        <v>3104</v>
      </c>
      <c r="Q23" s="36" t="s">
        <v>429</v>
      </c>
      <c r="R23" s="39">
        <v>60</v>
      </c>
      <c r="S23" s="36" t="s">
        <v>3105</v>
      </c>
      <c r="T23" s="36" t="s">
        <v>429</v>
      </c>
      <c r="U23" s="39">
        <v>80</v>
      </c>
      <c r="V23" s="36" t="s">
        <v>3106</v>
      </c>
      <c r="W23" s="36" t="s">
        <v>429</v>
      </c>
      <c r="X23" s="39">
        <v>80</v>
      </c>
      <c r="Y23" s="36" t="s">
        <v>3107</v>
      </c>
      <c r="Z23" s="36" t="s">
        <v>429</v>
      </c>
      <c r="AA23" s="39">
        <v>100</v>
      </c>
      <c r="AB23" s="36" t="s">
        <v>3108</v>
      </c>
      <c r="AC23" s="36" t="s">
        <v>429</v>
      </c>
      <c r="AD23" s="39">
        <v>100</v>
      </c>
      <c r="AE23" s="36" t="s">
        <v>3109</v>
      </c>
      <c r="AF23" s="36" t="s">
        <v>429</v>
      </c>
      <c r="AG23" s="39">
        <v>100</v>
      </c>
      <c r="AH23" s="36" t="s">
        <v>3110</v>
      </c>
      <c r="AI23" s="36" t="s">
        <v>429</v>
      </c>
      <c r="AJ23" s="39">
        <v>100</v>
      </c>
      <c r="AK23" s="36" t="s">
        <v>2997</v>
      </c>
      <c r="AL23" s="36" t="s">
        <v>429</v>
      </c>
      <c r="AM23" s="39">
        <v>90</v>
      </c>
      <c r="AN23" s="36" t="s">
        <v>3111</v>
      </c>
      <c r="AO23" s="36" t="s">
        <v>429</v>
      </c>
      <c r="AP23" s="39">
        <v>80</v>
      </c>
      <c r="AQ23" s="36" t="s">
        <v>3112</v>
      </c>
      <c r="AR23" s="36" t="s">
        <v>429</v>
      </c>
      <c r="AS23" s="39">
        <v>80</v>
      </c>
      <c r="AT23" s="36" t="s">
        <v>3113</v>
      </c>
      <c r="AU23" s="36" t="s">
        <v>429</v>
      </c>
      <c r="AV23" s="39">
        <v>100</v>
      </c>
      <c r="AW23" s="36" t="s">
        <v>3114</v>
      </c>
      <c r="AX23" s="36" t="s">
        <v>429</v>
      </c>
      <c r="AY23" s="39">
        <v>100</v>
      </c>
      <c r="AZ23" s="36" t="s">
        <v>2589</v>
      </c>
      <c r="BA23" s="36" t="s">
        <v>429</v>
      </c>
      <c r="BB23" s="39">
        <v>70</v>
      </c>
      <c r="BC23" s="36" t="s">
        <v>3115</v>
      </c>
      <c r="BD23" s="36" t="s">
        <v>429</v>
      </c>
      <c r="BE23" s="39">
        <v>50</v>
      </c>
      <c r="BF23" s="36" t="s">
        <v>3116</v>
      </c>
      <c r="BG23" s="36" t="s">
        <v>429</v>
      </c>
      <c r="BH23" s="39">
        <v>100</v>
      </c>
      <c r="BI23" s="36" t="s">
        <v>3117</v>
      </c>
      <c r="BJ23" s="36" t="s">
        <v>429</v>
      </c>
      <c r="BK23" s="39">
        <v>50</v>
      </c>
      <c r="BL23" s="36" t="s">
        <v>3118</v>
      </c>
      <c r="BM23" s="36" t="s">
        <v>429</v>
      </c>
      <c r="BN23" s="39">
        <v>90</v>
      </c>
      <c r="BO23" s="36" t="s">
        <v>3119</v>
      </c>
      <c r="BP23" s="36" t="s">
        <v>429</v>
      </c>
      <c r="BQ23" s="39">
        <v>80</v>
      </c>
      <c r="BR23" s="36" t="s">
        <v>3120</v>
      </c>
      <c r="BS23" s="36" t="s">
        <v>429</v>
      </c>
      <c r="BT23" s="39">
        <v>70</v>
      </c>
      <c r="BU23" s="36" t="s">
        <v>3121</v>
      </c>
      <c r="BV23" s="36" t="s">
        <v>429</v>
      </c>
      <c r="BW23" s="39">
        <v>80</v>
      </c>
      <c r="BX23" s="36" t="s">
        <v>3122</v>
      </c>
      <c r="BY23" s="36" t="s">
        <v>429</v>
      </c>
      <c r="BZ23" s="39">
        <v>90</v>
      </c>
      <c r="CA23" s="36" t="s">
        <v>3123</v>
      </c>
      <c r="CB23" s="36" t="s">
        <v>429</v>
      </c>
      <c r="CC23" s="39">
        <v>70</v>
      </c>
      <c r="CD23" s="36" t="s">
        <v>3124</v>
      </c>
      <c r="CE23" s="36" t="s">
        <v>429</v>
      </c>
    </row>
    <row r="24" ht="30" customHeight="1" spans="1:83">
      <c r="A24" s="34" t="s">
        <v>54</v>
      </c>
      <c r="B24" s="34" t="s">
        <v>55</v>
      </c>
      <c r="C24" s="34" t="s">
        <v>14</v>
      </c>
      <c r="D24" s="34" t="s">
        <v>15</v>
      </c>
      <c r="E24" s="34" t="s">
        <v>21</v>
      </c>
      <c r="F24" s="38">
        <v>100</v>
      </c>
      <c r="G24" s="34" t="s">
        <v>2890</v>
      </c>
      <c r="H24" s="34" t="s">
        <v>429</v>
      </c>
      <c r="I24" s="38">
        <v>100</v>
      </c>
      <c r="J24" s="34" t="s">
        <v>3125</v>
      </c>
      <c r="K24" s="34" t="s">
        <v>429</v>
      </c>
      <c r="L24" s="38">
        <v>80</v>
      </c>
      <c r="M24" s="34" t="s">
        <v>3126</v>
      </c>
      <c r="N24" s="34" t="s">
        <v>429</v>
      </c>
      <c r="O24" s="38">
        <v>90</v>
      </c>
      <c r="P24" s="34" t="s">
        <v>3127</v>
      </c>
      <c r="Q24" s="34" t="s">
        <v>429</v>
      </c>
      <c r="R24" s="38">
        <v>100</v>
      </c>
      <c r="S24" s="34" t="s">
        <v>3127</v>
      </c>
      <c r="T24" s="34" t="s">
        <v>429</v>
      </c>
      <c r="U24" s="38">
        <v>80</v>
      </c>
      <c r="V24" s="34" t="s">
        <v>3128</v>
      </c>
      <c r="W24" s="34" t="s">
        <v>429</v>
      </c>
      <c r="X24" s="38">
        <v>80</v>
      </c>
      <c r="Y24" s="34" t="s">
        <v>597</v>
      </c>
      <c r="Z24" s="34" t="s">
        <v>429</v>
      </c>
      <c r="AA24" s="38">
        <v>100</v>
      </c>
      <c r="AB24" s="34" t="s">
        <v>3129</v>
      </c>
      <c r="AC24" s="34" t="s">
        <v>429</v>
      </c>
      <c r="AD24" s="38">
        <v>100</v>
      </c>
      <c r="AE24" s="34" t="s">
        <v>3129</v>
      </c>
      <c r="AF24" s="34" t="s">
        <v>429</v>
      </c>
      <c r="AG24" s="38">
        <v>100</v>
      </c>
      <c r="AH24" s="34" t="s">
        <v>3130</v>
      </c>
      <c r="AI24" s="34" t="s">
        <v>429</v>
      </c>
      <c r="AJ24" s="38">
        <v>80</v>
      </c>
      <c r="AK24" s="34" t="s">
        <v>3131</v>
      </c>
      <c r="AL24" s="34" t="s">
        <v>429</v>
      </c>
      <c r="AM24" s="38">
        <v>70</v>
      </c>
      <c r="AN24" s="34" t="s">
        <v>3132</v>
      </c>
      <c r="AO24" s="34" t="s">
        <v>429</v>
      </c>
      <c r="AP24" s="34" t="s">
        <v>682</v>
      </c>
      <c r="AQ24" s="34" t="s">
        <v>682</v>
      </c>
      <c r="AR24" s="34" t="s">
        <v>681</v>
      </c>
      <c r="AS24" s="38">
        <v>100</v>
      </c>
      <c r="AT24" s="34" t="s">
        <v>3133</v>
      </c>
      <c r="AU24" s="34" t="s">
        <v>429</v>
      </c>
      <c r="AV24" s="38">
        <v>100</v>
      </c>
      <c r="AW24" s="34" t="s">
        <v>3134</v>
      </c>
      <c r="AX24" s="34" t="s">
        <v>429</v>
      </c>
      <c r="AY24" s="38">
        <v>100</v>
      </c>
      <c r="AZ24" s="34" t="s">
        <v>493</v>
      </c>
      <c r="BA24" s="34" t="s">
        <v>429</v>
      </c>
      <c r="BB24" s="38">
        <v>60</v>
      </c>
      <c r="BC24" s="34" t="s">
        <v>3135</v>
      </c>
      <c r="BD24" s="34" t="s">
        <v>429</v>
      </c>
      <c r="BE24" s="38">
        <v>50</v>
      </c>
      <c r="BF24" s="34" t="s">
        <v>3136</v>
      </c>
      <c r="BG24" s="34" t="s">
        <v>429</v>
      </c>
      <c r="BH24" s="38">
        <v>60</v>
      </c>
      <c r="BI24" s="34" t="s">
        <v>3137</v>
      </c>
      <c r="BJ24" s="34" t="s">
        <v>429</v>
      </c>
      <c r="BK24" s="38">
        <v>90</v>
      </c>
      <c r="BL24" s="34" t="s">
        <v>3138</v>
      </c>
      <c r="BM24" s="34" t="s">
        <v>429</v>
      </c>
      <c r="BN24" s="38">
        <v>100</v>
      </c>
      <c r="BO24" s="34" t="s">
        <v>3139</v>
      </c>
      <c r="BP24" s="34" t="s">
        <v>429</v>
      </c>
      <c r="BQ24" s="38">
        <v>70</v>
      </c>
      <c r="BR24" s="34" t="s">
        <v>3140</v>
      </c>
      <c r="BS24" s="34" t="s">
        <v>429</v>
      </c>
      <c r="BT24" s="38">
        <v>70</v>
      </c>
      <c r="BU24" s="34" t="s">
        <v>3141</v>
      </c>
      <c r="BV24" s="34" t="s">
        <v>429</v>
      </c>
      <c r="BW24" s="38">
        <v>90</v>
      </c>
      <c r="BX24" s="34" t="s">
        <v>3142</v>
      </c>
      <c r="BY24" s="34" t="s">
        <v>429</v>
      </c>
      <c r="BZ24" s="38">
        <v>90</v>
      </c>
      <c r="CA24" s="34" t="s">
        <v>3143</v>
      </c>
      <c r="CB24" s="34" t="s">
        <v>429</v>
      </c>
      <c r="CC24" s="38">
        <v>70</v>
      </c>
      <c r="CD24" s="34" t="s">
        <v>3144</v>
      </c>
      <c r="CE24" s="34" t="s">
        <v>429</v>
      </c>
    </row>
    <row r="25" ht="30" customHeight="1" spans="1:83">
      <c r="A25" s="36" t="s">
        <v>56</v>
      </c>
      <c r="B25" s="36" t="s">
        <v>57</v>
      </c>
      <c r="C25" s="36" t="s">
        <v>14</v>
      </c>
      <c r="D25" s="36" t="s">
        <v>15</v>
      </c>
      <c r="E25" s="36" t="s">
        <v>21</v>
      </c>
      <c r="F25" s="39">
        <v>100</v>
      </c>
      <c r="G25" s="36" t="s">
        <v>3145</v>
      </c>
      <c r="H25" s="36" t="s">
        <v>429</v>
      </c>
      <c r="I25" s="39">
        <v>100</v>
      </c>
      <c r="J25" s="36" t="s">
        <v>3146</v>
      </c>
      <c r="K25" s="36" t="s">
        <v>429</v>
      </c>
      <c r="L25" s="39">
        <v>100</v>
      </c>
      <c r="M25" s="36" t="s">
        <v>3147</v>
      </c>
      <c r="N25" s="36" t="s">
        <v>429</v>
      </c>
      <c r="O25" s="39">
        <v>80</v>
      </c>
      <c r="P25" s="36" t="s">
        <v>3148</v>
      </c>
      <c r="Q25" s="36" t="s">
        <v>429</v>
      </c>
      <c r="R25" s="39">
        <v>100</v>
      </c>
      <c r="S25" s="36" t="s">
        <v>3149</v>
      </c>
      <c r="T25" s="36" t="s">
        <v>429</v>
      </c>
      <c r="U25" s="39">
        <v>60</v>
      </c>
      <c r="V25" s="36" t="s">
        <v>3150</v>
      </c>
      <c r="W25" s="36" t="s">
        <v>429</v>
      </c>
      <c r="X25" s="39">
        <v>70</v>
      </c>
      <c r="Y25" s="36" t="s">
        <v>3151</v>
      </c>
      <c r="Z25" s="36" t="s">
        <v>429</v>
      </c>
      <c r="AA25" s="39">
        <v>100</v>
      </c>
      <c r="AB25" s="36" t="s">
        <v>3152</v>
      </c>
      <c r="AC25" s="36" t="s">
        <v>429</v>
      </c>
      <c r="AD25" s="39">
        <v>100</v>
      </c>
      <c r="AE25" s="36" t="s">
        <v>3153</v>
      </c>
      <c r="AF25" s="36" t="s">
        <v>429</v>
      </c>
      <c r="AG25" s="39">
        <v>90</v>
      </c>
      <c r="AH25" s="36" t="s">
        <v>3154</v>
      </c>
      <c r="AI25" s="36" t="s">
        <v>429</v>
      </c>
      <c r="AJ25" s="39">
        <v>80</v>
      </c>
      <c r="AK25" s="36" t="s">
        <v>3155</v>
      </c>
      <c r="AL25" s="36" t="s">
        <v>429</v>
      </c>
      <c r="AM25" s="39">
        <v>50</v>
      </c>
      <c r="AN25" s="36" t="s">
        <v>3156</v>
      </c>
      <c r="AO25" s="36" t="s">
        <v>429</v>
      </c>
      <c r="AP25" s="39">
        <v>80</v>
      </c>
      <c r="AQ25" s="36" t="s">
        <v>3157</v>
      </c>
      <c r="AR25" s="36" t="s">
        <v>429</v>
      </c>
      <c r="AS25" s="39">
        <v>80</v>
      </c>
      <c r="AT25" s="36" t="s">
        <v>3158</v>
      </c>
      <c r="AU25" s="36" t="s">
        <v>429</v>
      </c>
      <c r="AV25" s="39">
        <v>90</v>
      </c>
      <c r="AW25" s="36" t="s">
        <v>3159</v>
      </c>
      <c r="AX25" s="36" t="s">
        <v>429</v>
      </c>
      <c r="AY25" s="39">
        <v>90</v>
      </c>
      <c r="AZ25" s="36" t="s">
        <v>3160</v>
      </c>
      <c r="BA25" s="36" t="s">
        <v>429</v>
      </c>
      <c r="BB25" s="39">
        <v>50</v>
      </c>
      <c r="BC25" s="36" t="s">
        <v>3161</v>
      </c>
      <c r="BD25" s="36" t="s">
        <v>429</v>
      </c>
      <c r="BE25" s="39">
        <v>80</v>
      </c>
      <c r="BF25" s="36" t="s">
        <v>3087</v>
      </c>
      <c r="BG25" s="36" t="s">
        <v>429</v>
      </c>
      <c r="BH25" s="39">
        <v>80</v>
      </c>
      <c r="BI25" s="36" t="s">
        <v>3117</v>
      </c>
      <c r="BJ25" s="36" t="s">
        <v>429</v>
      </c>
      <c r="BK25" s="39">
        <v>70</v>
      </c>
      <c r="BL25" s="36" t="s">
        <v>3162</v>
      </c>
      <c r="BM25" s="36" t="s">
        <v>429</v>
      </c>
      <c r="BN25" s="39">
        <v>80</v>
      </c>
      <c r="BO25" s="36" t="s">
        <v>3163</v>
      </c>
      <c r="BP25" s="36" t="s">
        <v>429</v>
      </c>
      <c r="BQ25" s="39">
        <v>90</v>
      </c>
      <c r="BR25" s="36" t="s">
        <v>3164</v>
      </c>
      <c r="BS25" s="36" t="s">
        <v>429</v>
      </c>
      <c r="BT25" s="39">
        <v>90</v>
      </c>
      <c r="BU25" s="36" t="s">
        <v>3165</v>
      </c>
      <c r="BV25" s="36" t="s">
        <v>429</v>
      </c>
      <c r="BW25" s="39">
        <v>80</v>
      </c>
      <c r="BX25" s="36" t="s">
        <v>3166</v>
      </c>
      <c r="BY25" s="36" t="s">
        <v>429</v>
      </c>
      <c r="BZ25" s="39">
        <v>90</v>
      </c>
      <c r="CA25" s="36" t="s">
        <v>3167</v>
      </c>
      <c r="CB25" s="36" t="s">
        <v>429</v>
      </c>
      <c r="CC25" s="39">
        <v>70</v>
      </c>
      <c r="CD25" s="36" t="s">
        <v>3168</v>
      </c>
      <c r="CE25" s="36" t="s">
        <v>429</v>
      </c>
    </row>
    <row r="26" ht="30" customHeight="1" spans="1:83">
      <c r="A26" s="34" t="s">
        <v>58</v>
      </c>
      <c r="B26" s="34" t="s">
        <v>59</v>
      </c>
      <c r="C26" s="34" t="s">
        <v>14</v>
      </c>
      <c r="D26" s="34" t="s">
        <v>15</v>
      </c>
      <c r="E26" s="34" t="s">
        <v>21</v>
      </c>
      <c r="F26" s="38">
        <v>80</v>
      </c>
      <c r="G26" s="34" t="s">
        <v>3169</v>
      </c>
      <c r="H26" s="34" t="s">
        <v>429</v>
      </c>
      <c r="I26" s="38">
        <v>100</v>
      </c>
      <c r="J26" s="34" t="s">
        <v>3170</v>
      </c>
      <c r="K26" s="34" t="s">
        <v>429</v>
      </c>
      <c r="L26" s="38">
        <v>80</v>
      </c>
      <c r="M26" s="34" t="s">
        <v>3171</v>
      </c>
      <c r="N26" s="34" t="s">
        <v>429</v>
      </c>
      <c r="O26" s="38">
        <v>90</v>
      </c>
      <c r="P26" s="34" t="s">
        <v>3172</v>
      </c>
      <c r="Q26" s="34" t="s">
        <v>429</v>
      </c>
      <c r="R26" s="38">
        <v>100</v>
      </c>
      <c r="S26" s="34" t="s">
        <v>3173</v>
      </c>
      <c r="T26" s="34" t="s">
        <v>429</v>
      </c>
      <c r="U26" s="38">
        <v>80</v>
      </c>
      <c r="V26" s="34" t="s">
        <v>3174</v>
      </c>
      <c r="W26" s="34" t="s">
        <v>429</v>
      </c>
      <c r="X26" s="38">
        <v>80</v>
      </c>
      <c r="Y26" s="34" t="s">
        <v>3175</v>
      </c>
      <c r="Z26" s="34" t="s">
        <v>429</v>
      </c>
      <c r="AA26" s="38">
        <v>100</v>
      </c>
      <c r="AB26" s="34" t="s">
        <v>3176</v>
      </c>
      <c r="AC26" s="34" t="s">
        <v>429</v>
      </c>
      <c r="AD26" s="38">
        <v>100</v>
      </c>
      <c r="AE26" s="34" t="s">
        <v>3177</v>
      </c>
      <c r="AF26" s="34" t="s">
        <v>429</v>
      </c>
      <c r="AG26" s="38">
        <v>100</v>
      </c>
      <c r="AH26" s="34" t="s">
        <v>3178</v>
      </c>
      <c r="AI26" s="34" t="s">
        <v>429</v>
      </c>
      <c r="AJ26" s="38">
        <v>90</v>
      </c>
      <c r="AK26" s="34" t="s">
        <v>3179</v>
      </c>
      <c r="AL26" s="34" t="s">
        <v>429</v>
      </c>
      <c r="AM26" s="38">
        <v>60</v>
      </c>
      <c r="AN26" s="34" t="s">
        <v>3180</v>
      </c>
      <c r="AO26" s="34" t="s">
        <v>429</v>
      </c>
      <c r="AP26" s="38">
        <v>90</v>
      </c>
      <c r="AQ26" s="34" t="s">
        <v>3181</v>
      </c>
      <c r="AR26" s="34" t="s">
        <v>429</v>
      </c>
      <c r="AS26" s="38">
        <v>100</v>
      </c>
      <c r="AT26" s="34" t="s">
        <v>3182</v>
      </c>
      <c r="AU26" s="34" t="s">
        <v>429</v>
      </c>
      <c r="AV26" s="38">
        <v>100</v>
      </c>
      <c r="AW26" s="34" t="s">
        <v>3183</v>
      </c>
      <c r="AX26" s="34" t="s">
        <v>429</v>
      </c>
      <c r="AY26" s="38">
        <v>100</v>
      </c>
      <c r="AZ26" s="34" t="s">
        <v>3184</v>
      </c>
      <c r="BA26" s="34" t="s">
        <v>429</v>
      </c>
      <c r="BB26" s="38">
        <v>60</v>
      </c>
      <c r="BC26" s="34" t="s">
        <v>3185</v>
      </c>
      <c r="BD26" s="34" t="s">
        <v>429</v>
      </c>
      <c r="BE26" s="38">
        <v>50</v>
      </c>
      <c r="BF26" s="34" t="s">
        <v>3186</v>
      </c>
      <c r="BG26" s="34" t="s">
        <v>429</v>
      </c>
      <c r="BH26" s="38">
        <v>80</v>
      </c>
      <c r="BI26" s="34" t="s">
        <v>3187</v>
      </c>
      <c r="BJ26" s="34" t="s">
        <v>429</v>
      </c>
      <c r="BK26" s="38">
        <v>90</v>
      </c>
      <c r="BL26" s="34" t="s">
        <v>3095</v>
      </c>
      <c r="BM26" s="34" t="s">
        <v>429</v>
      </c>
      <c r="BN26" s="38">
        <v>100</v>
      </c>
      <c r="BO26" s="34" t="s">
        <v>3188</v>
      </c>
      <c r="BP26" s="34" t="s">
        <v>429</v>
      </c>
      <c r="BQ26" s="38">
        <v>90</v>
      </c>
      <c r="BR26" s="34" t="s">
        <v>3189</v>
      </c>
      <c r="BS26" s="34" t="s">
        <v>429</v>
      </c>
      <c r="BT26" s="38">
        <v>80</v>
      </c>
      <c r="BU26" s="34" t="s">
        <v>3190</v>
      </c>
      <c r="BV26" s="34" t="s">
        <v>429</v>
      </c>
      <c r="BW26" s="38">
        <v>80</v>
      </c>
      <c r="BX26" s="34" t="s">
        <v>3191</v>
      </c>
      <c r="BY26" s="34" t="s">
        <v>429</v>
      </c>
      <c r="BZ26" s="38">
        <v>90</v>
      </c>
      <c r="CA26" s="34" t="s">
        <v>3192</v>
      </c>
      <c r="CB26" s="34" t="s">
        <v>429</v>
      </c>
      <c r="CC26" s="34" t="s">
        <v>682</v>
      </c>
      <c r="CD26" s="34" t="s">
        <v>682</v>
      </c>
      <c r="CE26" s="34" t="s">
        <v>681</v>
      </c>
    </row>
    <row r="27" ht="30" customHeight="1" spans="1:83">
      <c r="A27" s="36" t="s">
        <v>60</v>
      </c>
      <c r="B27" s="36" t="s">
        <v>61</v>
      </c>
      <c r="C27" s="36" t="s">
        <v>14</v>
      </c>
      <c r="D27" s="36" t="s">
        <v>15</v>
      </c>
      <c r="E27" s="36" t="s">
        <v>21</v>
      </c>
      <c r="F27" s="39">
        <v>80</v>
      </c>
      <c r="G27" s="36" t="s">
        <v>3193</v>
      </c>
      <c r="H27" s="36" t="s">
        <v>429</v>
      </c>
      <c r="I27" s="39">
        <v>100</v>
      </c>
      <c r="J27" s="36" t="s">
        <v>1236</v>
      </c>
      <c r="K27" s="36" t="s">
        <v>429</v>
      </c>
      <c r="L27" s="39">
        <v>80</v>
      </c>
      <c r="M27" s="36" t="s">
        <v>3194</v>
      </c>
      <c r="N27" s="36" t="s">
        <v>429</v>
      </c>
      <c r="O27" s="39">
        <v>90</v>
      </c>
      <c r="P27" s="36" t="s">
        <v>3195</v>
      </c>
      <c r="Q27" s="36" t="s">
        <v>429</v>
      </c>
      <c r="R27" s="39">
        <v>100</v>
      </c>
      <c r="S27" s="36" t="s">
        <v>3196</v>
      </c>
      <c r="T27" s="36" t="s">
        <v>429</v>
      </c>
      <c r="U27" s="39">
        <v>80</v>
      </c>
      <c r="V27" s="36" t="s">
        <v>3197</v>
      </c>
      <c r="W27" s="36" t="s">
        <v>429</v>
      </c>
      <c r="X27" s="39">
        <v>100</v>
      </c>
      <c r="Y27" s="36" t="s">
        <v>3198</v>
      </c>
      <c r="Z27" s="36" t="s">
        <v>429</v>
      </c>
      <c r="AA27" s="39">
        <v>80</v>
      </c>
      <c r="AB27" s="36" t="s">
        <v>3199</v>
      </c>
      <c r="AC27" s="36" t="s">
        <v>429</v>
      </c>
      <c r="AD27" s="39">
        <v>80</v>
      </c>
      <c r="AE27" s="36" t="s">
        <v>3200</v>
      </c>
      <c r="AF27" s="36" t="s">
        <v>429</v>
      </c>
      <c r="AG27" s="39">
        <v>90</v>
      </c>
      <c r="AH27" s="36" t="s">
        <v>3201</v>
      </c>
      <c r="AI27" s="36" t="s">
        <v>429</v>
      </c>
      <c r="AJ27" s="39">
        <v>100</v>
      </c>
      <c r="AK27" s="36" t="s">
        <v>678</v>
      </c>
      <c r="AL27" s="36" t="s">
        <v>429</v>
      </c>
      <c r="AM27" s="39">
        <v>70</v>
      </c>
      <c r="AN27" s="36" t="s">
        <v>3202</v>
      </c>
      <c r="AO27" s="36" t="s">
        <v>429</v>
      </c>
      <c r="AP27" s="39">
        <v>70</v>
      </c>
      <c r="AQ27" s="36" t="s">
        <v>3203</v>
      </c>
      <c r="AR27" s="36" t="s">
        <v>429</v>
      </c>
      <c r="AS27" s="39">
        <v>100</v>
      </c>
      <c r="AT27" s="36" t="s">
        <v>3204</v>
      </c>
      <c r="AU27" s="36" t="s">
        <v>429</v>
      </c>
      <c r="AV27" s="39">
        <v>100</v>
      </c>
      <c r="AW27" s="36" t="s">
        <v>3205</v>
      </c>
      <c r="AX27" s="36" t="s">
        <v>429</v>
      </c>
      <c r="AY27" s="39">
        <v>100</v>
      </c>
      <c r="AZ27" s="36" t="s">
        <v>2197</v>
      </c>
      <c r="BA27" s="36" t="s">
        <v>429</v>
      </c>
      <c r="BB27" s="39">
        <v>70</v>
      </c>
      <c r="BC27" s="36" t="s">
        <v>2921</v>
      </c>
      <c r="BD27" s="36" t="s">
        <v>429</v>
      </c>
      <c r="BE27" s="39">
        <v>80</v>
      </c>
      <c r="BF27" s="36" t="s">
        <v>3206</v>
      </c>
      <c r="BG27" s="36" t="s">
        <v>429</v>
      </c>
      <c r="BH27" s="39">
        <v>80</v>
      </c>
      <c r="BI27" s="36" t="s">
        <v>3207</v>
      </c>
      <c r="BJ27" s="36" t="s">
        <v>429</v>
      </c>
      <c r="BK27" s="39">
        <v>80</v>
      </c>
      <c r="BL27" s="36" t="s">
        <v>2863</v>
      </c>
      <c r="BM27" s="36" t="s">
        <v>429</v>
      </c>
      <c r="BN27" s="39">
        <v>100</v>
      </c>
      <c r="BO27" s="36" t="s">
        <v>3208</v>
      </c>
      <c r="BP27" s="36" t="s">
        <v>429</v>
      </c>
      <c r="BQ27" s="39">
        <v>90</v>
      </c>
      <c r="BR27" s="36" t="s">
        <v>3209</v>
      </c>
      <c r="BS27" s="36" t="s">
        <v>429</v>
      </c>
      <c r="BT27" s="39">
        <v>80</v>
      </c>
      <c r="BU27" s="36" t="s">
        <v>3210</v>
      </c>
      <c r="BV27" s="36" t="s">
        <v>429</v>
      </c>
      <c r="BW27" s="39">
        <v>80</v>
      </c>
      <c r="BX27" s="36" t="s">
        <v>3166</v>
      </c>
      <c r="BY27" s="36" t="s">
        <v>429</v>
      </c>
      <c r="BZ27" s="39">
        <v>90</v>
      </c>
      <c r="CA27" s="36" t="s">
        <v>1956</v>
      </c>
      <c r="CB27" s="36" t="s">
        <v>429</v>
      </c>
      <c r="CC27" s="39">
        <v>70</v>
      </c>
      <c r="CD27" s="36" t="s">
        <v>3211</v>
      </c>
      <c r="CE27" s="36" t="s">
        <v>429</v>
      </c>
    </row>
    <row r="28" ht="30" customHeight="1" spans="1:83">
      <c r="A28" s="34" t="s">
        <v>62</v>
      </c>
      <c r="B28" s="34" t="s">
        <v>63</v>
      </c>
      <c r="C28" s="34" t="s">
        <v>14</v>
      </c>
      <c r="D28" s="34" t="s">
        <v>15</v>
      </c>
      <c r="E28" s="34" t="s">
        <v>21</v>
      </c>
      <c r="F28" s="38">
        <v>100</v>
      </c>
      <c r="G28" s="34" t="s">
        <v>3212</v>
      </c>
      <c r="H28" s="34" t="s">
        <v>429</v>
      </c>
      <c r="I28" s="38">
        <v>100</v>
      </c>
      <c r="J28" s="34" t="s">
        <v>3213</v>
      </c>
      <c r="K28" s="34" t="s">
        <v>429</v>
      </c>
      <c r="L28" s="38">
        <v>100</v>
      </c>
      <c r="M28" s="34" t="s">
        <v>3214</v>
      </c>
      <c r="N28" s="34" t="s">
        <v>429</v>
      </c>
      <c r="O28" s="38">
        <v>100</v>
      </c>
      <c r="P28" s="34" t="s">
        <v>3215</v>
      </c>
      <c r="Q28" s="34" t="s">
        <v>429</v>
      </c>
      <c r="R28" s="38">
        <v>100</v>
      </c>
      <c r="S28" s="34" t="s">
        <v>3216</v>
      </c>
      <c r="T28" s="34" t="s">
        <v>429</v>
      </c>
      <c r="U28" s="38">
        <v>90</v>
      </c>
      <c r="V28" s="34" t="s">
        <v>3217</v>
      </c>
      <c r="W28" s="34" t="s">
        <v>429</v>
      </c>
      <c r="X28" s="38">
        <v>95</v>
      </c>
      <c r="Y28" s="34" t="s">
        <v>3218</v>
      </c>
      <c r="Z28" s="34" t="s">
        <v>429</v>
      </c>
      <c r="AA28" s="38">
        <v>100</v>
      </c>
      <c r="AB28" s="34" t="s">
        <v>3219</v>
      </c>
      <c r="AC28" s="34" t="s">
        <v>429</v>
      </c>
      <c r="AD28" s="38">
        <v>100</v>
      </c>
      <c r="AE28" s="34" t="s">
        <v>3220</v>
      </c>
      <c r="AF28" s="34" t="s">
        <v>429</v>
      </c>
      <c r="AG28" s="38">
        <v>100</v>
      </c>
      <c r="AH28" s="34" t="s">
        <v>3221</v>
      </c>
      <c r="AI28" s="34" t="s">
        <v>429</v>
      </c>
      <c r="AJ28" s="38">
        <v>100</v>
      </c>
      <c r="AK28" s="34" t="s">
        <v>3222</v>
      </c>
      <c r="AL28" s="34" t="s">
        <v>429</v>
      </c>
      <c r="AM28" s="38">
        <v>70</v>
      </c>
      <c r="AN28" s="34" t="s">
        <v>3223</v>
      </c>
      <c r="AO28" s="34" t="s">
        <v>429</v>
      </c>
      <c r="AP28" s="38">
        <v>80</v>
      </c>
      <c r="AQ28" s="34" t="s">
        <v>3224</v>
      </c>
      <c r="AR28" s="34" t="s">
        <v>429</v>
      </c>
      <c r="AS28" s="38">
        <v>100</v>
      </c>
      <c r="AT28" s="34" t="s">
        <v>3225</v>
      </c>
      <c r="AU28" s="34" t="s">
        <v>429</v>
      </c>
      <c r="AV28" s="38">
        <v>100</v>
      </c>
      <c r="AW28" s="34" t="s">
        <v>3226</v>
      </c>
      <c r="AX28" s="34" t="s">
        <v>429</v>
      </c>
      <c r="AY28" s="38">
        <v>100</v>
      </c>
      <c r="AZ28" s="34" t="s">
        <v>2057</v>
      </c>
      <c r="BA28" s="34" t="s">
        <v>429</v>
      </c>
      <c r="BB28" s="38">
        <v>80</v>
      </c>
      <c r="BC28" s="34" t="s">
        <v>3227</v>
      </c>
      <c r="BD28" s="34" t="s">
        <v>429</v>
      </c>
      <c r="BE28" s="38">
        <v>50</v>
      </c>
      <c r="BF28" s="34" t="s">
        <v>3228</v>
      </c>
      <c r="BG28" s="34" t="s">
        <v>429</v>
      </c>
      <c r="BH28" s="38">
        <v>100</v>
      </c>
      <c r="BI28" s="34" t="s">
        <v>3229</v>
      </c>
      <c r="BJ28" s="34" t="s">
        <v>429</v>
      </c>
      <c r="BK28" s="38">
        <v>70</v>
      </c>
      <c r="BL28" s="34" t="s">
        <v>3230</v>
      </c>
      <c r="BM28" s="34" t="s">
        <v>429</v>
      </c>
      <c r="BN28" s="38">
        <v>90</v>
      </c>
      <c r="BO28" s="34" t="s">
        <v>3231</v>
      </c>
      <c r="BP28" s="34" t="s">
        <v>429</v>
      </c>
      <c r="BQ28" s="38">
        <v>80</v>
      </c>
      <c r="BR28" s="34" t="s">
        <v>3232</v>
      </c>
      <c r="BS28" s="34" t="s">
        <v>429</v>
      </c>
      <c r="BT28" s="38">
        <v>80</v>
      </c>
      <c r="BU28" s="34" t="s">
        <v>3233</v>
      </c>
      <c r="BV28" s="34" t="s">
        <v>429</v>
      </c>
      <c r="BW28" s="38">
        <v>80</v>
      </c>
      <c r="BX28" s="34" t="s">
        <v>3234</v>
      </c>
      <c r="BY28" s="34" t="s">
        <v>429</v>
      </c>
      <c r="BZ28" s="38">
        <v>90</v>
      </c>
      <c r="CA28" s="34" t="s">
        <v>3235</v>
      </c>
      <c r="CB28" s="34" t="s">
        <v>429</v>
      </c>
      <c r="CC28" s="38">
        <v>80</v>
      </c>
      <c r="CD28" s="34" t="s">
        <v>3236</v>
      </c>
      <c r="CE28" s="34" t="s">
        <v>429</v>
      </c>
    </row>
    <row r="29" ht="30" customHeight="1" spans="1:83">
      <c r="A29" s="36" t="s">
        <v>64</v>
      </c>
      <c r="B29" s="36" t="s">
        <v>65</v>
      </c>
      <c r="C29" s="36" t="s">
        <v>14</v>
      </c>
      <c r="D29" s="36" t="s">
        <v>15</v>
      </c>
      <c r="E29" s="36" t="s">
        <v>21</v>
      </c>
      <c r="F29" s="39">
        <v>100</v>
      </c>
      <c r="G29" s="36" t="s">
        <v>3237</v>
      </c>
      <c r="H29" s="36" t="s">
        <v>429</v>
      </c>
      <c r="I29" s="39">
        <v>100</v>
      </c>
      <c r="J29" s="36" t="s">
        <v>3074</v>
      </c>
      <c r="K29" s="36" t="s">
        <v>429</v>
      </c>
      <c r="L29" s="39">
        <v>80</v>
      </c>
      <c r="M29" s="36" t="s">
        <v>3238</v>
      </c>
      <c r="N29" s="36" t="s">
        <v>429</v>
      </c>
      <c r="O29" s="39">
        <v>80</v>
      </c>
      <c r="P29" s="36" t="s">
        <v>2210</v>
      </c>
      <c r="Q29" s="36" t="s">
        <v>429</v>
      </c>
      <c r="R29" s="39">
        <v>100</v>
      </c>
      <c r="S29" s="36" t="s">
        <v>3239</v>
      </c>
      <c r="T29" s="36" t="s">
        <v>429</v>
      </c>
      <c r="U29" s="39">
        <v>90</v>
      </c>
      <c r="V29" s="36" t="s">
        <v>3240</v>
      </c>
      <c r="W29" s="36" t="s">
        <v>429</v>
      </c>
      <c r="X29" s="39">
        <v>70</v>
      </c>
      <c r="Y29" s="36" t="s">
        <v>3241</v>
      </c>
      <c r="Z29" s="36" t="s">
        <v>429</v>
      </c>
      <c r="AA29" s="39">
        <v>100</v>
      </c>
      <c r="AB29" s="36" t="s">
        <v>3242</v>
      </c>
      <c r="AC29" s="36" t="s">
        <v>429</v>
      </c>
      <c r="AD29" s="39">
        <v>100</v>
      </c>
      <c r="AE29" s="36" t="s">
        <v>3242</v>
      </c>
      <c r="AF29" s="36" t="s">
        <v>429</v>
      </c>
      <c r="AG29" s="39">
        <v>100</v>
      </c>
      <c r="AH29" s="36" t="s">
        <v>3243</v>
      </c>
      <c r="AI29" s="36" t="s">
        <v>429</v>
      </c>
      <c r="AJ29" s="39">
        <v>90</v>
      </c>
      <c r="AK29" s="36" t="s">
        <v>3244</v>
      </c>
      <c r="AL29" s="36" t="s">
        <v>429</v>
      </c>
      <c r="AM29" s="39">
        <v>70</v>
      </c>
      <c r="AN29" s="36" t="s">
        <v>3245</v>
      </c>
      <c r="AO29" s="36" t="s">
        <v>429</v>
      </c>
      <c r="AP29" s="39">
        <v>70</v>
      </c>
      <c r="AQ29" s="36" t="s">
        <v>3246</v>
      </c>
      <c r="AR29" s="36" t="s">
        <v>429</v>
      </c>
      <c r="AS29" s="39">
        <v>80</v>
      </c>
      <c r="AT29" s="36" t="s">
        <v>3247</v>
      </c>
      <c r="AU29" s="36" t="s">
        <v>429</v>
      </c>
      <c r="AV29" s="39">
        <v>100</v>
      </c>
      <c r="AW29" s="36" t="s">
        <v>1033</v>
      </c>
      <c r="AX29" s="36" t="s">
        <v>429</v>
      </c>
      <c r="AY29" s="39">
        <v>100</v>
      </c>
      <c r="AZ29" s="36" t="s">
        <v>2231</v>
      </c>
      <c r="BA29" s="36" t="s">
        <v>429</v>
      </c>
      <c r="BB29" s="39">
        <v>95</v>
      </c>
      <c r="BC29" s="36" t="s">
        <v>3248</v>
      </c>
      <c r="BD29" s="36" t="s">
        <v>429</v>
      </c>
      <c r="BE29" s="39">
        <v>80</v>
      </c>
      <c r="BF29" s="36" t="s">
        <v>3249</v>
      </c>
      <c r="BG29" s="36" t="s">
        <v>429</v>
      </c>
      <c r="BH29" s="39">
        <v>70</v>
      </c>
      <c r="BI29" s="36" t="s">
        <v>3250</v>
      </c>
      <c r="BJ29" s="36" t="s">
        <v>429</v>
      </c>
      <c r="BK29" s="39">
        <v>90</v>
      </c>
      <c r="BL29" s="36" t="s">
        <v>3251</v>
      </c>
      <c r="BM29" s="36" t="s">
        <v>429</v>
      </c>
      <c r="BN29" s="39">
        <v>100</v>
      </c>
      <c r="BO29" s="36" t="s">
        <v>3252</v>
      </c>
      <c r="BP29" s="36" t="s">
        <v>429</v>
      </c>
      <c r="BQ29" s="39">
        <v>100</v>
      </c>
      <c r="BR29" s="36" t="s">
        <v>3253</v>
      </c>
      <c r="BS29" s="36" t="s">
        <v>429</v>
      </c>
      <c r="BT29" s="39">
        <v>90</v>
      </c>
      <c r="BU29" s="36" t="s">
        <v>3254</v>
      </c>
      <c r="BV29" s="36" t="s">
        <v>429</v>
      </c>
      <c r="BW29" s="39">
        <v>80</v>
      </c>
      <c r="BX29" s="36" t="s">
        <v>3255</v>
      </c>
      <c r="BY29" s="36" t="s">
        <v>429</v>
      </c>
      <c r="BZ29" s="39">
        <v>90</v>
      </c>
      <c r="CA29" s="36" t="s">
        <v>3256</v>
      </c>
      <c r="CB29" s="36" t="s">
        <v>429</v>
      </c>
      <c r="CC29" s="39">
        <v>80</v>
      </c>
      <c r="CD29" s="36" t="s">
        <v>3257</v>
      </c>
      <c r="CE29" s="36" t="s">
        <v>429</v>
      </c>
    </row>
    <row r="30" ht="30" customHeight="1" spans="1:83">
      <c r="A30" s="34" t="s">
        <v>66</v>
      </c>
      <c r="B30" s="34" t="s">
        <v>67</v>
      </c>
      <c r="C30" s="34" t="s">
        <v>14</v>
      </c>
      <c r="D30" s="34" t="s">
        <v>15</v>
      </c>
      <c r="E30" s="34" t="s">
        <v>21</v>
      </c>
      <c r="F30" s="38">
        <v>100</v>
      </c>
      <c r="G30" s="34" t="s">
        <v>3258</v>
      </c>
      <c r="H30" s="34" t="s">
        <v>429</v>
      </c>
      <c r="I30" s="38">
        <v>100</v>
      </c>
      <c r="J30" s="34" t="s">
        <v>3259</v>
      </c>
      <c r="K30" s="34" t="s">
        <v>429</v>
      </c>
      <c r="L30" s="38">
        <v>100</v>
      </c>
      <c r="M30" s="34" t="s">
        <v>3260</v>
      </c>
      <c r="N30" s="34" t="s">
        <v>429</v>
      </c>
      <c r="O30" s="38">
        <v>100</v>
      </c>
      <c r="P30" s="34" t="s">
        <v>3261</v>
      </c>
      <c r="Q30" s="34" t="s">
        <v>429</v>
      </c>
      <c r="R30" s="38">
        <v>100</v>
      </c>
      <c r="S30" s="34" t="s">
        <v>3262</v>
      </c>
      <c r="T30" s="34" t="s">
        <v>429</v>
      </c>
      <c r="U30" s="38">
        <v>90</v>
      </c>
      <c r="V30" s="34" t="s">
        <v>3263</v>
      </c>
      <c r="W30" s="34" t="s">
        <v>429</v>
      </c>
      <c r="X30" s="38">
        <v>100</v>
      </c>
      <c r="Y30" s="34" t="s">
        <v>3264</v>
      </c>
      <c r="Z30" s="34" t="s">
        <v>429</v>
      </c>
      <c r="AA30" s="38">
        <v>100</v>
      </c>
      <c r="AB30" s="34" t="s">
        <v>3265</v>
      </c>
      <c r="AC30" s="34" t="s">
        <v>429</v>
      </c>
      <c r="AD30" s="38">
        <v>100</v>
      </c>
      <c r="AE30" s="34" t="s">
        <v>3266</v>
      </c>
      <c r="AF30" s="34" t="s">
        <v>429</v>
      </c>
      <c r="AG30" s="38">
        <v>100</v>
      </c>
      <c r="AH30" s="34" t="s">
        <v>3267</v>
      </c>
      <c r="AI30" s="34" t="s">
        <v>429</v>
      </c>
      <c r="AJ30" s="38">
        <v>80</v>
      </c>
      <c r="AK30" s="34" t="s">
        <v>3268</v>
      </c>
      <c r="AL30" s="34" t="s">
        <v>429</v>
      </c>
      <c r="AM30" s="38">
        <v>95</v>
      </c>
      <c r="AN30" s="34" t="s">
        <v>3269</v>
      </c>
      <c r="AO30" s="34" t="s">
        <v>429</v>
      </c>
      <c r="AP30" s="38">
        <v>80</v>
      </c>
      <c r="AQ30" s="34" t="s">
        <v>3270</v>
      </c>
      <c r="AR30" s="34" t="s">
        <v>429</v>
      </c>
      <c r="AS30" s="38">
        <v>100</v>
      </c>
      <c r="AT30" s="34" t="s">
        <v>3271</v>
      </c>
      <c r="AU30" s="34" t="s">
        <v>429</v>
      </c>
      <c r="AV30" s="38">
        <v>100</v>
      </c>
      <c r="AW30" s="34" t="s">
        <v>3272</v>
      </c>
      <c r="AX30" s="34" t="s">
        <v>429</v>
      </c>
      <c r="AY30" s="38">
        <v>100</v>
      </c>
      <c r="AZ30" s="34" t="s">
        <v>3273</v>
      </c>
      <c r="BA30" s="34" t="s">
        <v>429</v>
      </c>
      <c r="BB30" s="38">
        <v>80</v>
      </c>
      <c r="BC30" s="34" t="s">
        <v>3274</v>
      </c>
      <c r="BD30" s="34" t="s">
        <v>429</v>
      </c>
      <c r="BE30" s="38">
        <v>60</v>
      </c>
      <c r="BF30" s="34" t="s">
        <v>3275</v>
      </c>
      <c r="BG30" s="34" t="s">
        <v>429</v>
      </c>
      <c r="BH30" s="38">
        <v>100</v>
      </c>
      <c r="BI30" s="34" t="s">
        <v>3276</v>
      </c>
      <c r="BJ30" s="34" t="s">
        <v>429</v>
      </c>
      <c r="BK30" s="38">
        <v>70</v>
      </c>
      <c r="BL30" s="34" t="s">
        <v>3277</v>
      </c>
      <c r="BM30" s="34" t="s">
        <v>429</v>
      </c>
      <c r="BN30" s="38">
        <v>100</v>
      </c>
      <c r="BO30" s="34" t="s">
        <v>3278</v>
      </c>
      <c r="BP30" s="34" t="s">
        <v>429</v>
      </c>
      <c r="BQ30" s="38">
        <v>90</v>
      </c>
      <c r="BR30" s="34" t="s">
        <v>3279</v>
      </c>
      <c r="BS30" s="34" t="s">
        <v>429</v>
      </c>
      <c r="BT30" s="38">
        <v>80</v>
      </c>
      <c r="BU30" s="34" t="s">
        <v>3280</v>
      </c>
      <c r="BV30" s="34" t="s">
        <v>429</v>
      </c>
      <c r="BW30" s="38">
        <v>80</v>
      </c>
      <c r="BX30" s="34" t="s">
        <v>3166</v>
      </c>
      <c r="BY30" s="34" t="s">
        <v>429</v>
      </c>
      <c r="BZ30" s="38">
        <v>90</v>
      </c>
      <c r="CA30" s="34" t="s">
        <v>3281</v>
      </c>
      <c r="CB30" s="34" t="s">
        <v>429</v>
      </c>
      <c r="CC30" s="38">
        <v>80</v>
      </c>
      <c r="CD30" s="34" t="s">
        <v>3282</v>
      </c>
      <c r="CE30" s="34" t="s">
        <v>429</v>
      </c>
    </row>
    <row r="31" ht="30" customHeight="1" spans="1:83">
      <c r="A31" s="36" t="s">
        <v>68</v>
      </c>
      <c r="B31" s="36" t="s">
        <v>69</v>
      </c>
      <c r="C31" s="36" t="s">
        <v>14</v>
      </c>
      <c r="D31" s="36" t="s">
        <v>15</v>
      </c>
      <c r="E31" s="36" t="s">
        <v>21</v>
      </c>
      <c r="F31" s="39">
        <v>100</v>
      </c>
      <c r="G31" s="36" t="s">
        <v>3283</v>
      </c>
      <c r="H31" s="36" t="s">
        <v>429</v>
      </c>
      <c r="I31" s="39">
        <v>100</v>
      </c>
      <c r="J31" s="36" t="s">
        <v>3284</v>
      </c>
      <c r="K31" s="36" t="s">
        <v>429</v>
      </c>
      <c r="L31" s="39">
        <v>100</v>
      </c>
      <c r="M31" s="36" t="s">
        <v>3285</v>
      </c>
      <c r="N31" s="36" t="s">
        <v>429</v>
      </c>
      <c r="O31" s="39">
        <v>80</v>
      </c>
      <c r="P31" s="36" t="s">
        <v>3286</v>
      </c>
      <c r="Q31" s="36" t="s">
        <v>429</v>
      </c>
      <c r="R31" s="39">
        <v>100</v>
      </c>
      <c r="S31" s="36" t="s">
        <v>3287</v>
      </c>
      <c r="T31" s="36" t="s">
        <v>429</v>
      </c>
      <c r="U31" s="39">
        <v>90</v>
      </c>
      <c r="V31" s="36" t="s">
        <v>3288</v>
      </c>
      <c r="W31" s="36" t="s">
        <v>429</v>
      </c>
      <c r="X31" s="39">
        <v>70</v>
      </c>
      <c r="Y31" s="36" t="s">
        <v>3289</v>
      </c>
      <c r="Z31" s="36" t="s">
        <v>429</v>
      </c>
      <c r="AA31" s="39">
        <v>100</v>
      </c>
      <c r="AB31" s="36" t="s">
        <v>969</v>
      </c>
      <c r="AC31" s="36" t="s">
        <v>429</v>
      </c>
      <c r="AD31" s="39">
        <v>100</v>
      </c>
      <c r="AE31" s="36" t="s">
        <v>2276</v>
      </c>
      <c r="AF31" s="36" t="s">
        <v>429</v>
      </c>
      <c r="AG31" s="39">
        <v>100</v>
      </c>
      <c r="AH31" s="36" t="s">
        <v>3290</v>
      </c>
      <c r="AI31" s="36" t="s">
        <v>429</v>
      </c>
      <c r="AJ31" s="39">
        <v>100</v>
      </c>
      <c r="AK31" s="36" t="s">
        <v>2098</v>
      </c>
      <c r="AL31" s="36" t="s">
        <v>429</v>
      </c>
      <c r="AM31" s="39">
        <v>80</v>
      </c>
      <c r="AN31" s="36" t="s">
        <v>3291</v>
      </c>
      <c r="AO31" s="36" t="s">
        <v>429</v>
      </c>
      <c r="AP31" s="39">
        <v>80</v>
      </c>
      <c r="AQ31" s="36" t="s">
        <v>3292</v>
      </c>
      <c r="AR31" s="36" t="s">
        <v>429</v>
      </c>
      <c r="AS31" s="39">
        <v>100</v>
      </c>
      <c r="AT31" s="36" t="s">
        <v>1722</v>
      </c>
      <c r="AU31" s="36" t="s">
        <v>429</v>
      </c>
      <c r="AV31" s="39">
        <v>100</v>
      </c>
      <c r="AW31" s="36" t="s">
        <v>3293</v>
      </c>
      <c r="AX31" s="36" t="s">
        <v>429</v>
      </c>
      <c r="AY31" s="39">
        <v>100</v>
      </c>
      <c r="AZ31" s="36" t="s">
        <v>3293</v>
      </c>
      <c r="BA31" s="36" t="s">
        <v>429</v>
      </c>
      <c r="BB31" s="39">
        <v>70</v>
      </c>
      <c r="BC31" s="36" t="s">
        <v>3294</v>
      </c>
      <c r="BD31" s="36" t="s">
        <v>429</v>
      </c>
      <c r="BE31" s="39">
        <v>80</v>
      </c>
      <c r="BF31" s="36" t="s">
        <v>3295</v>
      </c>
      <c r="BG31" s="36" t="s">
        <v>429</v>
      </c>
      <c r="BH31" s="39">
        <v>100</v>
      </c>
      <c r="BI31" s="36" t="s">
        <v>3296</v>
      </c>
      <c r="BJ31" s="36" t="s">
        <v>429</v>
      </c>
      <c r="BK31" s="39">
        <v>80</v>
      </c>
      <c r="BL31" s="36" t="s">
        <v>3297</v>
      </c>
      <c r="BM31" s="36" t="s">
        <v>429</v>
      </c>
      <c r="BN31" s="39">
        <v>100</v>
      </c>
      <c r="BO31" s="36" t="s">
        <v>3298</v>
      </c>
      <c r="BP31" s="36" t="s">
        <v>429</v>
      </c>
      <c r="BQ31" s="39">
        <v>90</v>
      </c>
      <c r="BR31" s="36" t="s">
        <v>3299</v>
      </c>
      <c r="BS31" s="36" t="s">
        <v>429</v>
      </c>
      <c r="BT31" s="39">
        <v>70</v>
      </c>
      <c r="BU31" s="36" t="s">
        <v>3300</v>
      </c>
      <c r="BV31" s="36" t="s">
        <v>429</v>
      </c>
      <c r="BW31" s="39">
        <v>90</v>
      </c>
      <c r="BX31" s="36" t="s">
        <v>3191</v>
      </c>
      <c r="BY31" s="36" t="s">
        <v>429</v>
      </c>
      <c r="BZ31" s="39">
        <v>90</v>
      </c>
      <c r="CA31" s="36" t="s">
        <v>3301</v>
      </c>
      <c r="CB31" s="36" t="s">
        <v>429</v>
      </c>
      <c r="CC31" s="36" t="s">
        <v>682</v>
      </c>
      <c r="CD31" s="36" t="s">
        <v>682</v>
      </c>
      <c r="CE31" s="36" t="s">
        <v>681</v>
      </c>
    </row>
    <row r="32" ht="30" customHeight="1" spans="1:83">
      <c r="A32" s="34" t="s">
        <v>70</v>
      </c>
      <c r="B32" s="34" t="s">
        <v>71</v>
      </c>
      <c r="C32" s="34" t="s">
        <v>14</v>
      </c>
      <c r="D32" s="34" t="s">
        <v>15</v>
      </c>
      <c r="E32" s="34" t="s">
        <v>16</v>
      </c>
      <c r="F32" s="38">
        <v>80</v>
      </c>
      <c r="G32" s="34" t="s">
        <v>3302</v>
      </c>
      <c r="H32" s="34" t="s">
        <v>429</v>
      </c>
      <c r="I32" s="38">
        <v>100</v>
      </c>
      <c r="J32" s="34" t="s">
        <v>1374</v>
      </c>
      <c r="K32" s="34" t="s">
        <v>429</v>
      </c>
      <c r="L32" s="38">
        <v>80</v>
      </c>
      <c r="M32" s="34" t="s">
        <v>2201</v>
      </c>
      <c r="N32" s="34" t="s">
        <v>429</v>
      </c>
      <c r="O32" s="38">
        <v>80</v>
      </c>
      <c r="P32" s="34" t="s">
        <v>2912</v>
      </c>
      <c r="Q32" s="34" t="s">
        <v>429</v>
      </c>
      <c r="R32" s="38">
        <v>100</v>
      </c>
      <c r="S32" s="34" t="s">
        <v>3303</v>
      </c>
      <c r="T32" s="34" t="s">
        <v>429</v>
      </c>
      <c r="U32" s="38">
        <v>80</v>
      </c>
      <c r="V32" s="34" t="s">
        <v>3304</v>
      </c>
      <c r="W32" s="34" t="s">
        <v>429</v>
      </c>
      <c r="X32" s="38">
        <v>80</v>
      </c>
      <c r="Y32" s="34" t="s">
        <v>3305</v>
      </c>
      <c r="Z32" s="34" t="s">
        <v>429</v>
      </c>
      <c r="AA32" s="38">
        <v>100</v>
      </c>
      <c r="AB32" s="34" t="s">
        <v>3306</v>
      </c>
      <c r="AC32" s="34" t="s">
        <v>429</v>
      </c>
      <c r="AD32" s="38">
        <v>100</v>
      </c>
      <c r="AE32" s="34" t="s">
        <v>3307</v>
      </c>
      <c r="AF32" s="34" t="s">
        <v>429</v>
      </c>
      <c r="AG32" s="38">
        <v>80</v>
      </c>
      <c r="AH32" s="34" t="s">
        <v>3308</v>
      </c>
      <c r="AI32" s="34" t="s">
        <v>429</v>
      </c>
      <c r="AJ32" s="38">
        <v>90</v>
      </c>
      <c r="AK32" s="34" t="s">
        <v>3309</v>
      </c>
      <c r="AL32" s="34" t="s">
        <v>429</v>
      </c>
      <c r="AM32" s="38">
        <v>60</v>
      </c>
      <c r="AN32" s="34" t="s">
        <v>3310</v>
      </c>
      <c r="AO32" s="34" t="s">
        <v>429</v>
      </c>
      <c r="AP32" s="38">
        <v>80</v>
      </c>
      <c r="AQ32" s="34" t="s">
        <v>3311</v>
      </c>
      <c r="AR32" s="34" t="s">
        <v>429</v>
      </c>
      <c r="AS32" s="38">
        <v>80</v>
      </c>
      <c r="AT32" s="34" t="s">
        <v>2708</v>
      </c>
      <c r="AU32" s="34" t="s">
        <v>429</v>
      </c>
      <c r="AV32" s="38">
        <v>90</v>
      </c>
      <c r="AW32" s="34" t="s">
        <v>3312</v>
      </c>
      <c r="AX32" s="34" t="s">
        <v>429</v>
      </c>
      <c r="AY32" s="38">
        <v>90</v>
      </c>
      <c r="AZ32" s="34" t="s">
        <v>3313</v>
      </c>
      <c r="BA32" s="34" t="s">
        <v>429</v>
      </c>
      <c r="BB32" s="38">
        <v>60</v>
      </c>
      <c r="BC32" s="34" t="s">
        <v>3314</v>
      </c>
      <c r="BD32" s="34" t="s">
        <v>429</v>
      </c>
      <c r="BE32" s="38">
        <v>80</v>
      </c>
      <c r="BF32" s="34" t="s">
        <v>3315</v>
      </c>
      <c r="BG32" s="34" t="s">
        <v>429</v>
      </c>
      <c r="BH32" s="38">
        <v>70</v>
      </c>
      <c r="BI32" s="34" t="s">
        <v>3316</v>
      </c>
      <c r="BJ32" s="34" t="s">
        <v>429</v>
      </c>
      <c r="BK32" s="38">
        <v>70</v>
      </c>
      <c r="BL32" s="34" t="s">
        <v>3317</v>
      </c>
      <c r="BM32" s="34" t="s">
        <v>429</v>
      </c>
      <c r="BN32" s="38">
        <v>80</v>
      </c>
      <c r="BO32" s="34" t="s">
        <v>3318</v>
      </c>
      <c r="BP32" s="34" t="s">
        <v>429</v>
      </c>
      <c r="BQ32" s="38">
        <v>70</v>
      </c>
      <c r="BR32" s="34" t="s">
        <v>3319</v>
      </c>
      <c r="BS32" s="34" t="s">
        <v>429</v>
      </c>
      <c r="BT32" s="38">
        <v>80</v>
      </c>
      <c r="BU32" s="34" t="s">
        <v>3320</v>
      </c>
      <c r="BV32" s="34" t="s">
        <v>429</v>
      </c>
      <c r="BW32" s="38">
        <v>70</v>
      </c>
      <c r="BX32" s="34" t="s">
        <v>3321</v>
      </c>
      <c r="BY32" s="34" t="s">
        <v>429</v>
      </c>
      <c r="BZ32" s="38">
        <v>90</v>
      </c>
      <c r="CA32" s="34" t="s">
        <v>3167</v>
      </c>
      <c r="CB32" s="34" t="s">
        <v>429</v>
      </c>
      <c r="CC32" s="38">
        <v>80</v>
      </c>
      <c r="CD32" s="34" t="s">
        <v>3322</v>
      </c>
      <c r="CE32" s="34" t="s">
        <v>429</v>
      </c>
    </row>
    <row r="33" ht="30" customHeight="1" spans="1:83">
      <c r="A33" s="36" t="s">
        <v>72</v>
      </c>
      <c r="B33" s="36" t="s">
        <v>73</v>
      </c>
      <c r="C33" s="36" t="s">
        <v>14</v>
      </c>
      <c r="D33" s="36" t="s">
        <v>15</v>
      </c>
      <c r="E33" s="36" t="s">
        <v>16</v>
      </c>
      <c r="F33" s="39">
        <v>80</v>
      </c>
      <c r="G33" s="36" t="s">
        <v>3323</v>
      </c>
      <c r="H33" s="36" t="s">
        <v>429</v>
      </c>
      <c r="I33" s="39">
        <v>100</v>
      </c>
      <c r="J33" s="36" t="s">
        <v>3324</v>
      </c>
      <c r="K33" s="36" t="s">
        <v>429</v>
      </c>
      <c r="L33" s="39">
        <v>100</v>
      </c>
      <c r="M33" s="36" t="s">
        <v>3325</v>
      </c>
      <c r="N33" s="36" t="s">
        <v>429</v>
      </c>
      <c r="O33" s="39">
        <v>70</v>
      </c>
      <c r="P33" s="36" t="s">
        <v>3326</v>
      </c>
      <c r="Q33" s="36" t="s">
        <v>429</v>
      </c>
      <c r="R33" s="39">
        <v>100</v>
      </c>
      <c r="S33" s="36" t="s">
        <v>3327</v>
      </c>
      <c r="T33" s="36" t="s">
        <v>429</v>
      </c>
      <c r="U33" s="39">
        <v>90</v>
      </c>
      <c r="V33" s="36" t="s">
        <v>3328</v>
      </c>
      <c r="W33" s="36" t="s">
        <v>429</v>
      </c>
      <c r="X33" s="39">
        <v>80</v>
      </c>
      <c r="Y33" s="36" t="s">
        <v>3199</v>
      </c>
      <c r="Z33" s="36" t="s">
        <v>429</v>
      </c>
      <c r="AA33" s="39">
        <v>100</v>
      </c>
      <c r="AB33" s="36" t="s">
        <v>3329</v>
      </c>
      <c r="AC33" s="36" t="s">
        <v>429</v>
      </c>
      <c r="AD33" s="39">
        <v>100</v>
      </c>
      <c r="AE33" s="36" t="s">
        <v>3330</v>
      </c>
      <c r="AF33" s="36" t="s">
        <v>429</v>
      </c>
      <c r="AG33" s="39">
        <v>100</v>
      </c>
      <c r="AH33" s="36" t="s">
        <v>3331</v>
      </c>
      <c r="AI33" s="36" t="s">
        <v>429</v>
      </c>
      <c r="AJ33" s="39">
        <v>90</v>
      </c>
      <c r="AK33" s="36" t="s">
        <v>3332</v>
      </c>
      <c r="AL33" s="36" t="s">
        <v>429</v>
      </c>
      <c r="AM33" s="39">
        <v>80</v>
      </c>
      <c r="AN33" s="36" t="s">
        <v>3333</v>
      </c>
      <c r="AO33" s="36" t="s">
        <v>429</v>
      </c>
      <c r="AP33" s="39">
        <v>80</v>
      </c>
      <c r="AQ33" s="36" t="s">
        <v>3334</v>
      </c>
      <c r="AR33" s="36" t="s">
        <v>429</v>
      </c>
      <c r="AS33" s="39">
        <v>100</v>
      </c>
      <c r="AT33" s="36" t="s">
        <v>3335</v>
      </c>
      <c r="AU33" s="36" t="s">
        <v>429</v>
      </c>
      <c r="AV33" s="39">
        <v>100</v>
      </c>
      <c r="AW33" s="36" t="s">
        <v>3336</v>
      </c>
      <c r="AX33" s="36" t="s">
        <v>429</v>
      </c>
      <c r="AY33" s="39">
        <v>80</v>
      </c>
      <c r="AZ33" s="36" t="s">
        <v>3337</v>
      </c>
      <c r="BA33" s="36" t="s">
        <v>429</v>
      </c>
      <c r="BB33" s="39">
        <v>70</v>
      </c>
      <c r="BC33" s="36" t="s">
        <v>3338</v>
      </c>
      <c r="BD33" s="36" t="s">
        <v>429</v>
      </c>
      <c r="BE33" s="39">
        <v>50</v>
      </c>
      <c r="BF33" s="36" t="s">
        <v>3339</v>
      </c>
      <c r="BG33" s="36" t="s">
        <v>429</v>
      </c>
      <c r="BH33" s="39">
        <v>90</v>
      </c>
      <c r="BI33" s="36" t="s">
        <v>3340</v>
      </c>
      <c r="BJ33" s="36" t="s">
        <v>429</v>
      </c>
      <c r="BK33" s="39">
        <v>70</v>
      </c>
      <c r="BL33" s="36" t="s">
        <v>2800</v>
      </c>
      <c r="BM33" s="36" t="s">
        <v>429</v>
      </c>
      <c r="BN33" s="39">
        <v>90</v>
      </c>
      <c r="BO33" s="36" t="s">
        <v>3068</v>
      </c>
      <c r="BP33" s="36" t="s">
        <v>429</v>
      </c>
      <c r="BQ33" s="39">
        <v>80</v>
      </c>
      <c r="BR33" s="36" t="s">
        <v>3341</v>
      </c>
      <c r="BS33" s="36" t="s">
        <v>429</v>
      </c>
      <c r="BT33" s="39">
        <v>80</v>
      </c>
      <c r="BU33" s="36" t="s">
        <v>3342</v>
      </c>
      <c r="BV33" s="36" t="s">
        <v>429</v>
      </c>
      <c r="BW33" s="39">
        <v>80</v>
      </c>
      <c r="BX33" s="36" t="s">
        <v>2867</v>
      </c>
      <c r="BY33" s="36" t="s">
        <v>429</v>
      </c>
      <c r="BZ33" s="39">
        <v>90</v>
      </c>
      <c r="CA33" s="36" t="s">
        <v>3343</v>
      </c>
      <c r="CB33" s="36" t="s">
        <v>429</v>
      </c>
      <c r="CC33" s="36" t="s">
        <v>682</v>
      </c>
      <c r="CD33" s="36" t="s">
        <v>682</v>
      </c>
      <c r="CE33" s="36" t="s">
        <v>681</v>
      </c>
    </row>
    <row r="34" ht="30" customHeight="1" spans="1:83">
      <c r="A34" s="34" t="s">
        <v>74</v>
      </c>
      <c r="B34" s="34" t="s">
        <v>75</v>
      </c>
      <c r="C34" s="34" t="s">
        <v>14</v>
      </c>
      <c r="D34" s="34" t="s">
        <v>15</v>
      </c>
      <c r="E34" s="34" t="s">
        <v>16</v>
      </c>
      <c r="F34" s="38">
        <v>100</v>
      </c>
      <c r="G34" s="34" t="s">
        <v>3344</v>
      </c>
      <c r="H34" s="34" t="s">
        <v>429</v>
      </c>
      <c r="I34" s="38">
        <v>100</v>
      </c>
      <c r="J34" s="34" t="s">
        <v>3345</v>
      </c>
      <c r="K34" s="34" t="s">
        <v>429</v>
      </c>
      <c r="L34" s="38">
        <v>100</v>
      </c>
      <c r="M34" s="34" t="s">
        <v>3346</v>
      </c>
      <c r="N34" s="34" t="s">
        <v>429</v>
      </c>
      <c r="O34" s="38">
        <v>80</v>
      </c>
      <c r="P34" s="34" t="s">
        <v>3347</v>
      </c>
      <c r="Q34" s="34" t="s">
        <v>429</v>
      </c>
      <c r="R34" s="38">
        <v>100</v>
      </c>
      <c r="S34" s="34" t="s">
        <v>3348</v>
      </c>
      <c r="T34" s="34" t="s">
        <v>429</v>
      </c>
      <c r="U34" s="38">
        <v>100</v>
      </c>
      <c r="V34" s="34" t="s">
        <v>3039</v>
      </c>
      <c r="W34" s="34" t="s">
        <v>429</v>
      </c>
      <c r="X34" s="38">
        <v>80</v>
      </c>
      <c r="Y34" s="34" t="s">
        <v>3349</v>
      </c>
      <c r="Z34" s="34" t="s">
        <v>429</v>
      </c>
      <c r="AA34" s="38">
        <v>100</v>
      </c>
      <c r="AB34" s="34" t="s">
        <v>3350</v>
      </c>
      <c r="AC34" s="34" t="s">
        <v>429</v>
      </c>
      <c r="AD34" s="38">
        <v>100</v>
      </c>
      <c r="AE34" s="34" t="s">
        <v>3351</v>
      </c>
      <c r="AF34" s="34" t="s">
        <v>429</v>
      </c>
      <c r="AG34" s="38">
        <v>80</v>
      </c>
      <c r="AH34" s="34" t="s">
        <v>3352</v>
      </c>
      <c r="AI34" s="34" t="s">
        <v>429</v>
      </c>
      <c r="AJ34" s="38">
        <v>80</v>
      </c>
      <c r="AK34" s="34" t="s">
        <v>3353</v>
      </c>
      <c r="AL34" s="34" t="s">
        <v>429</v>
      </c>
      <c r="AM34" s="38">
        <v>80</v>
      </c>
      <c r="AN34" s="34" t="s">
        <v>3354</v>
      </c>
      <c r="AO34" s="34" t="s">
        <v>429</v>
      </c>
      <c r="AP34" s="38">
        <v>80</v>
      </c>
      <c r="AQ34" s="34" t="s">
        <v>3355</v>
      </c>
      <c r="AR34" s="34" t="s">
        <v>429</v>
      </c>
      <c r="AS34" s="38">
        <v>100</v>
      </c>
      <c r="AT34" s="34" t="s">
        <v>3356</v>
      </c>
      <c r="AU34" s="34" t="s">
        <v>429</v>
      </c>
      <c r="AV34" s="38">
        <v>100</v>
      </c>
      <c r="AW34" s="34" t="s">
        <v>3357</v>
      </c>
      <c r="AX34" s="34" t="s">
        <v>429</v>
      </c>
      <c r="AY34" s="34" t="s">
        <v>682</v>
      </c>
      <c r="AZ34" s="34" t="s">
        <v>682</v>
      </c>
      <c r="BA34" s="34" t="s">
        <v>681</v>
      </c>
      <c r="BB34" s="38">
        <v>60</v>
      </c>
      <c r="BC34" s="34" t="s">
        <v>3358</v>
      </c>
      <c r="BD34" s="34" t="s">
        <v>429</v>
      </c>
      <c r="BE34" s="38">
        <v>80</v>
      </c>
      <c r="BF34" s="34" t="s">
        <v>3359</v>
      </c>
      <c r="BG34" s="34" t="s">
        <v>429</v>
      </c>
      <c r="BH34" s="38">
        <v>70</v>
      </c>
      <c r="BI34" s="34" t="s">
        <v>3360</v>
      </c>
      <c r="BJ34" s="34" t="s">
        <v>429</v>
      </c>
      <c r="BK34" s="38">
        <v>70</v>
      </c>
      <c r="BL34" s="34" t="s">
        <v>3361</v>
      </c>
      <c r="BM34" s="34" t="s">
        <v>429</v>
      </c>
      <c r="BN34" s="38">
        <v>100</v>
      </c>
      <c r="BO34" s="34" t="s">
        <v>3362</v>
      </c>
      <c r="BP34" s="34" t="s">
        <v>429</v>
      </c>
      <c r="BQ34" s="38">
        <v>60</v>
      </c>
      <c r="BR34" s="34" t="s">
        <v>3363</v>
      </c>
      <c r="BS34" s="34" t="s">
        <v>429</v>
      </c>
      <c r="BT34" s="38">
        <v>70</v>
      </c>
      <c r="BU34" s="34" t="s">
        <v>3364</v>
      </c>
      <c r="BV34" s="34" t="s">
        <v>429</v>
      </c>
      <c r="BW34" s="38">
        <v>70</v>
      </c>
      <c r="BX34" s="34" t="s">
        <v>3071</v>
      </c>
      <c r="BY34" s="34" t="s">
        <v>429</v>
      </c>
      <c r="BZ34" s="38">
        <v>90</v>
      </c>
      <c r="CA34" s="34" t="s">
        <v>3365</v>
      </c>
      <c r="CB34" s="34" t="s">
        <v>429</v>
      </c>
      <c r="CC34" s="34" t="s">
        <v>682</v>
      </c>
      <c r="CD34" s="34" t="s">
        <v>682</v>
      </c>
      <c r="CE34" s="34" t="s">
        <v>681</v>
      </c>
    </row>
    <row r="35" ht="30" customHeight="1" spans="1:83">
      <c r="A35" s="36" t="s">
        <v>76</v>
      </c>
      <c r="B35" s="36" t="s">
        <v>77</v>
      </c>
      <c r="C35" s="36" t="s">
        <v>14</v>
      </c>
      <c r="D35" s="36" t="s">
        <v>15</v>
      </c>
      <c r="E35" s="36" t="s">
        <v>16</v>
      </c>
      <c r="F35" s="39">
        <v>90</v>
      </c>
      <c r="G35" s="36" t="s">
        <v>3366</v>
      </c>
      <c r="H35" s="36" t="s">
        <v>429</v>
      </c>
      <c r="I35" s="39">
        <v>100</v>
      </c>
      <c r="J35" s="36" t="s">
        <v>2789</v>
      </c>
      <c r="K35" s="36" t="s">
        <v>429</v>
      </c>
      <c r="L35" s="39">
        <v>100</v>
      </c>
      <c r="M35" s="36" t="s">
        <v>3367</v>
      </c>
      <c r="N35" s="36" t="s">
        <v>429</v>
      </c>
      <c r="O35" s="39">
        <v>80</v>
      </c>
      <c r="P35" s="36" t="s">
        <v>3368</v>
      </c>
      <c r="Q35" s="36" t="s">
        <v>429</v>
      </c>
      <c r="R35" s="39">
        <v>100</v>
      </c>
      <c r="S35" s="36" t="s">
        <v>3369</v>
      </c>
      <c r="T35" s="36" t="s">
        <v>429</v>
      </c>
      <c r="U35" s="39">
        <v>80</v>
      </c>
      <c r="V35" s="36" t="s">
        <v>3370</v>
      </c>
      <c r="W35" s="36" t="s">
        <v>429</v>
      </c>
      <c r="X35" s="39">
        <v>80</v>
      </c>
      <c r="Y35" s="36" t="s">
        <v>870</v>
      </c>
      <c r="Z35" s="36" t="s">
        <v>429</v>
      </c>
      <c r="AA35" s="39">
        <v>100</v>
      </c>
      <c r="AB35" s="36" t="s">
        <v>3371</v>
      </c>
      <c r="AC35" s="36" t="s">
        <v>429</v>
      </c>
      <c r="AD35" s="39">
        <v>100</v>
      </c>
      <c r="AE35" s="36" t="s">
        <v>3372</v>
      </c>
      <c r="AF35" s="36" t="s">
        <v>429</v>
      </c>
      <c r="AG35" s="39">
        <v>100</v>
      </c>
      <c r="AH35" s="36" t="s">
        <v>3373</v>
      </c>
      <c r="AI35" s="36" t="s">
        <v>429</v>
      </c>
      <c r="AJ35" s="39">
        <v>90</v>
      </c>
      <c r="AK35" s="36" t="s">
        <v>3374</v>
      </c>
      <c r="AL35" s="36" t="s">
        <v>429</v>
      </c>
      <c r="AM35" s="39">
        <v>90</v>
      </c>
      <c r="AN35" s="36" t="s">
        <v>3375</v>
      </c>
      <c r="AO35" s="36" t="s">
        <v>429</v>
      </c>
      <c r="AP35" s="39">
        <v>80</v>
      </c>
      <c r="AQ35" s="36" t="s">
        <v>3376</v>
      </c>
      <c r="AR35" s="36" t="s">
        <v>429</v>
      </c>
      <c r="AS35" s="39">
        <v>100</v>
      </c>
      <c r="AT35" s="36" t="s">
        <v>3377</v>
      </c>
      <c r="AU35" s="36" t="s">
        <v>429</v>
      </c>
      <c r="AV35" s="39">
        <v>100</v>
      </c>
      <c r="AW35" s="36" t="s">
        <v>3046</v>
      </c>
      <c r="AX35" s="36" t="s">
        <v>429</v>
      </c>
      <c r="AY35" s="39">
        <v>100</v>
      </c>
      <c r="AZ35" s="36" t="s">
        <v>3378</v>
      </c>
      <c r="BA35" s="36" t="s">
        <v>429</v>
      </c>
      <c r="BB35" s="39">
        <v>70</v>
      </c>
      <c r="BC35" s="36" t="s">
        <v>3185</v>
      </c>
      <c r="BD35" s="36" t="s">
        <v>429</v>
      </c>
      <c r="BE35" s="39">
        <v>50</v>
      </c>
      <c r="BF35" s="36" t="s">
        <v>3379</v>
      </c>
      <c r="BG35" s="36" t="s">
        <v>429</v>
      </c>
      <c r="BH35" s="39">
        <v>80</v>
      </c>
      <c r="BI35" s="36" t="s">
        <v>3380</v>
      </c>
      <c r="BJ35" s="36" t="s">
        <v>429</v>
      </c>
      <c r="BK35" s="39">
        <v>60</v>
      </c>
      <c r="BL35" s="36" t="s">
        <v>3381</v>
      </c>
      <c r="BM35" s="36" t="s">
        <v>429</v>
      </c>
      <c r="BN35" s="39">
        <v>90</v>
      </c>
      <c r="BO35" s="36" t="s">
        <v>3252</v>
      </c>
      <c r="BP35" s="36" t="s">
        <v>429</v>
      </c>
      <c r="BQ35" s="39">
        <v>70</v>
      </c>
      <c r="BR35" s="36" t="s">
        <v>3382</v>
      </c>
      <c r="BS35" s="36" t="s">
        <v>429</v>
      </c>
      <c r="BT35" s="39">
        <v>80</v>
      </c>
      <c r="BU35" s="36" t="s">
        <v>3383</v>
      </c>
      <c r="BV35" s="36" t="s">
        <v>429</v>
      </c>
      <c r="BW35" s="39">
        <v>80</v>
      </c>
      <c r="BX35" s="36" t="s">
        <v>3384</v>
      </c>
      <c r="BY35" s="36" t="s">
        <v>429</v>
      </c>
      <c r="BZ35" s="39">
        <v>90</v>
      </c>
      <c r="CA35" s="36" t="s">
        <v>3343</v>
      </c>
      <c r="CB35" s="36" t="s">
        <v>429</v>
      </c>
      <c r="CC35" s="36" t="s">
        <v>682</v>
      </c>
      <c r="CD35" s="36" t="s">
        <v>682</v>
      </c>
      <c r="CE35" s="36" t="s">
        <v>681</v>
      </c>
    </row>
    <row r="36" ht="30" customHeight="1" spans="1:83">
      <c r="A36" s="34" t="s">
        <v>78</v>
      </c>
      <c r="B36" s="34" t="s">
        <v>79</v>
      </c>
      <c r="C36" s="34" t="s">
        <v>14</v>
      </c>
      <c r="D36" s="34" t="s">
        <v>15</v>
      </c>
      <c r="E36" s="34" t="s">
        <v>16</v>
      </c>
      <c r="F36" s="38">
        <v>100</v>
      </c>
      <c r="G36" s="34" t="s">
        <v>3385</v>
      </c>
      <c r="H36" s="34" t="s">
        <v>429</v>
      </c>
      <c r="I36" s="38">
        <v>100</v>
      </c>
      <c r="J36" s="34" t="s">
        <v>2789</v>
      </c>
      <c r="K36" s="34" t="s">
        <v>429</v>
      </c>
      <c r="L36" s="38">
        <v>100</v>
      </c>
      <c r="M36" s="34" t="s">
        <v>3386</v>
      </c>
      <c r="N36" s="34" t="s">
        <v>429</v>
      </c>
      <c r="O36" s="38">
        <v>60</v>
      </c>
      <c r="P36" s="34" t="s">
        <v>3387</v>
      </c>
      <c r="Q36" s="34" t="s">
        <v>429</v>
      </c>
      <c r="R36" s="38">
        <v>100</v>
      </c>
      <c r="S36" s="34" t="s">
        <v>3388</v>
      </c>
      <c r="T36" s="34" t="s">
        <v>429</v>
      </c>
      <c r="U36" s="38">
        <v>100</v>
      </c>
      <c r="V36" s="34" t="s">
        <v>2773</v>
      </c>
      <c r="W36" s="34" t="s">
        <v>429</v>
      </c>
      <c r="X36" s="38">
        <v>90</v>
      </c>
      <c r="Y36" s="34" t="s">
        <v>3389</v>
      </c>
      <c r="Z36" s="34" t="s">
        <v>429</v>
      </c>
      <c r="AA36" s="38">
        <v>100</v>
      </c>
      <c r="AB36" s="34" t="s">
        <v>1260</v>
      </c>
      <c r="AC36" s="34" t="s">
        <v>429</v>
      </c>
      <c r="AD36" s="38">
        <v>100</v>
      </c>
      <c r="AE36" s="34" t="s">
        <v>3390</v>
      </c>
      <c r="AF36" s="34" t="s">
        <v>429</v>
      </c>
      <c r="AG36" s="38">
        <v>90</v>
      </c>
      <c r="AH36" s="34" t="s">
        <v>3391</v>
      </c>
      <c r="AI36" s="34" t="s">
        <v>429</v>
      </c>
      <c r="AJ36" s="38">
        <v>80</v>
      </c>
      <c r="AK36" s="34" t="s">
        <v>3392</v>
      </c>
      <c r="AL36" s="34" t="s">
        <v>429</v>
      </c>
      <c r="AM36" s="38">
        <v>80</v>
      </c>
      <c r="AN36" s="34" t="s">
        <v>3393</v>
      </c>
      <c r="AO36" s="34" t="s">
        <v>429</v>
      </c>
      <c r="AP36" s="38">
        <v>80</v>
      </c>
      <c r="AQ36" s="34" t="s">
        <v>3394</v>
      </c>
      <c r="AR36" s="34" t="s">
        <v>429</v>
      </c>
      <c r="AS36" s="38">
        <v>100</v>
      </c>
      <c r="AT36" s="34" t="s">
        <v>3395</v>
      </c>
      <c r="AU36" s="34" t="s">
        <v>429</v>
      </c>
      <c r="AV36" s="38">
        <v>100</v>
      </c>
      <c r="AW36" s="34" t="s">
        <v>3396</v>
      </c>
      <c r="AX36" s="34" t="s">
        <v>429</v>
      </c>
      <c r="AY36" s="38">
        <v>100</v>
      </c>
      <c r="AZ36" s="34" t="s">
        <v>3397</v>
      </c>
      <c r="BA36" s="34" t="s">
        <v>429</v>
      </c>
      <c r="BB36" s="38">
        <v>70</v>
      </c>
      <c r="BC36" s="34" t="s">
        <v>3398</v>
      </c>
      <c r="BD36" s="34" t="s">
        <v>429</v>
      </c>
      <c r="BE36" s="38">
        <v>50</v>
      </c>
      <c r="BF36" s="34" t="s">
        <v>3399</v>
      </c>
      <c r="BG36" s="34" t="s">
        <v>429</v>
      </c>
      <c r="BH36" s="38">
        <v>80</v>
      </c>
      <c r="BI36" s="34" t="s">
        <v>3400</v>
      </c>
      <c r="BJ36" s="34" t="s">
        <v>429</v>
      </c>
      <c r="BK36" s="38">
        <v>80</v>
      </c>
      <c r="BL36" s="34" t="s">
        <v>3401</v>
      </c>
      <c r="BM36" s="34" t="s">
        <v>429</v>
      </c>
      <c r="BN36" s="38">
        <v>100</v>
      </c>
      <c r="BO36" s="34" t="s">
        <v>3402</v>
      </c>
      <c r="BP36" s="34" t="s">
        <v>429</v>
      </c>
      <c r="BQ36" s="38">
        <v>80</v>
      </c>
      <c r="BR36" s="34" t="s">
        <v>3403</v>
      </c>
      <c r="BS36" s="34" t="s">
        <v>429</v>
      </c>
      <c r="BT36" s="38">
        <v>80</v>
      </c>
      <c r="BU36" s="34" t="s">
        <v>3404</v>
      </c>
      <c r="BV36" s="34" t="s">
        <v>429</v>
      </c>
      <c r="BW36" s="38">
        <v>80</v>
      </c>
      <c r="BX36" s="34" t="s">
        <v>3191</v>
      </c>
      <c r="BY36" s="34" t="s">
        <v>429</v>
      </c>
      <c r="BZ36" s="38">
        <v>90</v>
      </c>
      <c r="CA36" s="34" t="s">
        <v>3405</v>
      </c>
      <c r="CB36" s="34" t="s">
        <v>429</v>
      </c>
      <c r="CC36" s="34" t="s">
        <v>682</v>
      </c>
      <c r="CD36" s="34" t="s">
        <v>682</v>
      </c>
      <c r="CE36" s="34" t="s">
        <v>681</v>
      </c>
    </row>
    <row r="37" ht="30" customHeight="1" spans="1:83">
      <c r="A37" s="36" t="s">
        <v>80</v>
      </c>
      <c r="B37" s="36" t="s">
        <v>81</v>
      </c>
      <c r="C37" s="36" t="s">
        <v>14</v>
      </c>
      <c r="D37" s="36" t="s">
        <v>15</v>
      </c>
      <c r="E37" s="36" t="s">
        <v>16</v>
      </c>
      <c r="F37" s="39">
        <v>100</v>
      </c>
      <c r="G37" s="36" t="s">
        <v>3406</v>
      </c>
      <c r="H37" s="36" t="s">
        <v>429</v>
      </c>
      <c r="I37" s="39">
        <v>100</v>
      </c>
      <c r="J37" s="36" t="s">
        <v>3407</v>
      </c>
      <c r="K37" s="36" t="s">
        <v>429</v>
      </c>
      <c r="L37" s="39">
        <v>100</v>
      </c>
      <c r="M37" s="36" t="s">
        <v>3408</v>
      </c>
      <c r="N37" s="36" t="s">
        <v>429</v>
      </c>
      <c r="O37" s="39">
        <v>100</v>
      </c>
      <c r="P37" s="36" t="s">
        <v>3409</v>
      </c>
      <c r="Q37" s="36" t="s">
        <v>429</v>
      </c>
      <c r="R37" s="39">
        <v>100</v>
      </c>
      <c r="S37" s="36" t="s">
        <v>3409</v>
      </c>
      <c r="T37" s="36" t="s">
        <v>429</v>
      </c>
      <c r="U37" s="39">
        <v>90</v>
      </c>
      <c r="V37" s="36" t="s">
        <v>3410</v>
      </c>
      <c r="W37" s="36" t="s">
        <v>429</v>
      </c>
      <c r="X37" s="39">
        <v>70</v>
      </c>
      <c r="Y37" s="36" t="s">
        <v>1787</v>
      </c>
      <c r="Z37" s="36" t="s">
        <v>429</v>
      </c>
      <c r="AA37" s="39">
        <v>100</v>
      </c>
      <c r="AB37" s="36" t="s">
        <v>3411</v>
      </c>
      <c r="AC37" s="36" t="s">
        <v>429</v>
      </c>
      <c r="AD37" s="39">
        <v>100</v>
      </c>
      <c r="AE37" s="36" t="s">
        <v>3411</v>
      </c>
      <c r="AF37" s="36" t="s">
        <v>429</v>
      </c>
      <c r="AG37" s="39">
        <v>100</v>
      </c>
      <c r="AH37" s="36" t="s">
        <v>3412</v>
      </c>
      <c r="AI37" s="36" t="s">
        <v>429</v>
      </c>
      <c r="AJ37" s="39">
        <v>90</v>
      </c>
      <c r="AK37" s="36" t="s">
        <v>3413</v>
      </c>
      <c r="AL37" s="36" t="s">
        <v>429</v>
      </c>
      <c r="AM37" s="39">
        <v>80</v>
      </c>
      <c r="AN37" s="36" t="s">
        <v>3414</v>
      </c>
      <c r="AO37" s="36" t="s">
        <v>429</v>
      </c>
      <c r="AP37" s="39">
        <v>80</v>
      </c>
      <c r="AQ37" s="36" t="s">
        <v>3415</v>
      </c>
      <c r="AR37" s="36" t="s">
        <v>429</v>
      </c>
      <c r="AS37" s="39">
        <v>100</v>
      </c>
      <c r="AT37" s="36" t="s">
        <v>3416</v>
      </c>
      <c r="AU37" s="36" t="s">
        <v>429</v>
      </c>
      <c r="AV37" s="39">
        <v>100</v>
      </c>
      <c r="AW37" s="36" t="s">
        <v>3417</v>
      </c>
      <c r="AX37" s="36" t="s">
        <v>429</v>
      </c>
      <c r="AY37" s="39">
        <v>80</v>
      </c>
      <c r="AZ37" s="36" t="s">
        <v>3418</v>
      </c>
      <c r="BA37" s="36" t="s">
        <v>429</v>
      </c>
      <c r="BB37" s="39">
        <v>70</v>
      </c>
      <c r="BC37" s="36" t="s">
        <v>3419</v>
      </c>
      <c r="BD37" s="36" t="s">
        <v>429</v>
      </c>
      <c r="BE37" s="39">
        <v>70</v>
      </c>
      <c r="BF37" s="36" t="s">
        <v>3420</v>
      </c>
      <c r="BG37" s="36" t="s">
        <v>429</v>
      </c>
      <c r="BH37" s="39">
        <v>70</v>
      </c>
      <c r="BI37" s="36" t="s">
        <v>3421</v>
      </c>
      <c r="BJ37" s="36" t="s">
        <v>429</v>
      </c>
      <c r="BK37" s="39">
        <v>60</v>
      </c>
      <c r="BL37" s="36" t="s">
        <v>3422</v>
      </c>
      <c r="BM37" s="36" t="s">
        <v>429</v>
      </c>
      <c r="BN37" s="39">
        <v>100</v>
      </c>
      <c r="BO37" s="36" t="s">
        <v>3423</v>
      </c>
      <c r="BP37" s="36" t="s">
        <v>429</v>
      </c>
      <c r="BQ37" s="39">
        <v>100</v>
      </c>
      <c r="BR37" s="36" t="s">
        <v>3209</v>
      </c>
      <c r="BS37" s="36" t="s">
        <v>429</v>
      </c>
      <c r="BT37" s="39">
        <v>80</v>
      </c>
      <c r="BU37" s="36" t="s">
        <v>2886</v>
      </c>
      <c r="BV37" s="36" t="s">
        <v>429</v>
      </c>
      <c r="BW37" s="39">
        <v>80</v>
      </c>
      <c r="BX37" s="36" t="s">
        <v>3424</v>
      </c>
      <c r="BY37" s="36" t="s">
        <v>429</v>
      </c>
      <c r="BZ37" s="39">
        <v>90</v>
      </c>
      <c r="CA37" s="36" t="s">
        <v>3425</v>
      </c>
      <c r="CB37" s="36" t="s">
        <v>429</v>
      </c>
      <c r="CC37" s="39">
        <v>80</v>
      </c>
      <c r="CD37" s="36" t="s">
        <v>2929</v>
      </c>
      <c r="CE37" s="36" t="s">
        <v>429</v>
      </c>
    </row>
    <row r="38" ht="30" customHeight="1" spans="1:83">
      <c r="A38" s="34" t="s">
        <v>82</v>
      </c>
      <c r="B38" s="34" t="s">
        <v>83</v>
      </c>
      <c r="C38" s="34" t="s">
        <v>14</v>
      </c>
      <c r="D38" s="34" t="s">
        <v>15</v>
      </c>
      <c r="E38" s="34" t="s">
        <v>16</v>
      </c>
      <c r="F38" s="38">
        <v>100</v>
      </c>
      <c r="G38" s="34" t="s">
        <v>3426</v>
      </c>
      <c r="H38" s="34" t="s">
        <v>429</v>
      </c>
      <c r="I38" s="38">
        <v>100</v>
      </c>
      <c r="J38" s="34" t="s">
        <v>1556</v>
      </c>
      <c r="K38" s="34" t="s">
        <v>429</v>
      </c>
      <c r="L38" s="38">
        <v>100</v>
      </c>
      <c r="M38" s="34" t="s">
        <v>3427</v>
      </c>
      <c r="N38" s="34" t="s">
        <v>429</v>
      </c>
      <c r="O38" s="38">
        <v>100</v>
      </c>
      <c r="P38" s="34" t="s">
        <v>3428</v>
      </c>
      <c r="Q38" s="34" t="s">
        <v>429</v>
      </c>
      <c r="R38" s="38">
        <v>100</v>
      </c>
      <c r="S38" s="34" t="s">
        <v>3429</v>
      </c>
      <c r="T38" s="34" t="s">
        <v>429</v>
      </c>
      <c r="U38" s="34" t="s">
        <v>682</v>
      </c>
      <c r="V38" s="34" t="s">
        <v>682</v>
      </c>
      <c r="W38" s="34" t="s">
        <v>681</v>
      </c>
      <c r="X38" s="38">
        <v>80</v>
      </c>
      <c r="Y38" s="34" t="s">
        <v>3430</v>
      </c>
      <c r="Z38" s="34" t="s">
        <v>429</v>
      </c>
      <c r="AA38" s="38">
        <v>100</v>
      </c>
      <c r="AB38" s="34" t="s">
        <v>2275</v>
      </c>
      <c r="AC38" s="34" t="s">
        <v>429</v>
      </c>
      <c r="AD38" s="38">
        <v>100</v>
      </c>
      <c r="AE38" s="34" t="s">
        <v>1107</v>
      </c>
      <c r="AF38" s="34" t="s">
        <v>429</v>
      </c>
      <c r="AG38" s="38">
        <v>60</v>
      </c>
      <c r="AH38" s="34" t="s">
        <v>3431</v>
      </c>
      <c r="AI38" s="34" t="s">
        <v>429</v>
      </c>
      <c r="AJ38" s="38">
        <v>100</v>
      </c>
      <c r="AK38" s="34" t="s">
        <v>3432</v>
      </c>
      <c r="AL38" s="34" t="s">
        <v>429</v>
      </c>
      <c r="AM38" s="38">
        <v>80</v>
      </c>
      <c r="AN38" s="34" t="s">
        <v>3433</v>
      </c>
      <c r="AO38" s="34" t="s">
        <v>429</v>
      </c>
      <c r="AP38" s="38">
        <v>60</v>
      </c>
      <c r="AQ38" s="34" t="s">
        <v>3434</v>
      </c>
      <c r="AR38" s="34" t="s">
        <v>429</v>
      </c>
      <c r="AS38" s="38">
        <v>100</v>
      </c>
      <c r="AT38" s="34" t="s">
        <v>3435</v>
      </c>
      <c r="AU38" s="34" t="s">
        <v>429</v>
      </c>
      <c r="AV38" s="38">
        <v>100</v>
      </c>
      <c r="AW38" s="34" t="s">
        <v>1035</v>
      </c>
      <c r="AX38" s="34" t="s">
        <v>429</v>
      </c>
      <c r="AY38" s="38">
        <v>100</v>
      </c>
      <c r="AZ38" s="34" t="s">
        <v>3436</v>
      </c>
      <c r="BA38" s="34" t="s">
        <v>429</v>
      </c>
      <c r="BB38" s="38">
        <v>70</v>
      </c>
      <c r="BC38" s="34" t="s">
        <v>3437</v>
      </c>
      <c r="BD38" s="34" t="s">
        <v>429</v>
      </c>
      <c r="BE38" s="38">
        <v>60</v>
      </c>
      <c r="BF38" s="34" t="s">
        <v>3438</v>
      </c>
      <c r="BG38" s="34" t="s">
        <v>429</v>
      </c>
      <c r="BH38" s="38">
        <v>80</v>
      </c>
      <c r="BI38" s="34" t="s">
        <v>3439</v>
      </c>
      <c r="BJ38" s="34" t="s">
        <v>429</v>
      </c>
      <c r="BK38" s="38">
        <v>70</v>
      </c>
      <c r="BL38" s="34" t="s">
        <v>3440</v>
      </c>
      <c r="BM38" s="34" t="s">
        <v>429</v>
      </c>
      <c r="BN38" s="38">
        <v>90</v>
      </c>
      <c r="BO38" s="34" t="s">
        <v>3441</v>
      </c>
      <c r="BP38" s="34" t="s">
        <v>429</v>
      </c>
      <c r="BQ38" s="38">
        <v>90</v>
      </c>
      <c r="BR38" s="34" t="s">
        <v>3028</v>
      </c>
      <c r="BS38" s="34" t="s">
        <v>429</v>
      </c>
      <c r="BT38" s="38">
        <v>80</v>
      </c>
      <c r="BU38" s="34" t="s">
        <v>3442</v>
      </c>
      <c r="BV38" s="34" t="s">
        <v>429</v>
      </c>
      <c r="BW38" s="38">
        <v>80</v>
      </c>
      <c r="BX38" s="34" t="s">
        <v>3443</v>
      </c>
      <c r="BY38" s="34" t="s">
        <v>429</v>
      </c>
      <c r="BZ38" s="38">
        <v>90</v>
      </c>
      <c r="CA38" s="34" t="s">
        <v>3444</v>
      </c>
      <c r="CB38" s="34" t="s">
        <v>429</v>
      </c>
      <c r="CC38" s="38">
        <v>80</v>
      </c>
      <c r="CD38" s="34" t="s">
        <v>3073</v>
      </c>
      <c r="CE38" s="34" t="s">
        <v>429</v>
      </c>
    </row>
    <row r="39" ht="30" customHeight="1" spans="1:83">
      <c r="A39" s="36" t="s">
        <v>84</v>
      </c>
      <c r="B39" s="36" t="s">
        <v>85</v>
      </c>
      <c r="C39" s="36" t="s">
        <v>14</v>
      </c>
      <c r="D39" s="36" t="s">
        <v>15</v>
      </c>
      <c r="E39" s="36" t="s">
        <v>16</v>
      </c>
      <c r="F39" s="39">
        <v>80</v>
      </c>
      <c r="G39" s="36" t="s">
        <v>3445</v>
      </c>
      <c r="H39" s="36" t="s">
        <v>429</v>
      </c>
      <c r="I39" s="39">
        <v>60</v>
      </c>
      <c r="J39" s="36" t="s">
        <v>3446</v>
      </c>
      <c r="K39" s="36" t="s">
        <v>429</v>
      </c>
      <c r="L39" s="39">
        <v>100</v>
      </c>
      <c r="M39" s="36" t="s">
        <v>3447</v>
      </c>
      <c r="N39" s="36" t="s">
        <v>429</v>
      </c>
      <c r="O39" s="39">
        <v>80</v>
      </c>
      <c r="P39" s="36" t="s">
        <v>3448</v>
      </c>
      <c r="Q39" s="36" t="s">
        <v>429</v>
      </c>
      <c r="R39" s="39">
        <v>100</v>
      </c>
      <c r="S39" s="36" t="s">
        <v>3449</v>
      </c>
      <c r="T39" s="36" t="s">
        <v>429</v>
      </c>
      <c r="U39" s="39">
        <v>90</v>
      </c>
      <c r="V39" s="36" t="s">
        <v>3450</v>
      </c>
      <c r="W39" s="36" t="s">
        <v>429</v>
      </c>
      <c r="X39" s="39">
        <v>90</v>
      </c>
      <c r="Y39" s="36" t="s">
        <v>3451</v>
      </c>
      <c r="Z39" s="36" t="s">
        <v>429</v>
      </c>
      <c r="AA39" s="39">
        <v>100</v>
      </c>
      <c r="AB39" s="36" t="s">
        <v>1108</v>
      </c>
      <c r="AC39" s="36" t="s">
        <v>429</v>
      </c>
      <c r="AD39" s="39">
        <v>100</v>
      </c>
      <c r="AE39" s="36" t="s">
        <v>1155</v>
      </c>
      <c r="AF39" s="36" t="s">
        <v>429</v>
      </c>
      <c r="AG39" s="39">
        <v>90</v>
      </c>
      <c r="AH39" s="36" t="s">
        <v>3452</v>
      </c>
      <c r="AI39" s="36" t="s">
        <v>429</v>
      </c>
      <c r="AJ39" s="39">
        <v>100</v>
      </c>
      <c r="AK39" s="36" t="s">
        <v>603</v>
      </c>
      <c r="AL39" s="36" t="s">
        <v>429</v>
      </c>
      <c r="AM39" s="39">
        <v>70</v>
      </c>
      <c r="AN39" s="36" t="s">
        <v>3453</v>
      </c>
      <c r="AO39" s="36" t="s">
        <v>429</v>
      </c>
      <c r="AP39" s="39">
        <v>70</v>
      </c>
      <c r="AQ39" s="36" t="s">
        <v>3454</v>
      </c>
      <c r="AR39" s="36" t="s">
        <v>429</v>
      </c>
      <c r="AS39" s="39">
        <v>100</v>
      </c>
      <c r="AT39" s="36" t="s">
        <v>3455</v>
      </c>
      <c r="AU39" s="36" t="s">
        <v>429</v>
      </c>
      <c r="AV39" s="39">
        <v>100</v>
      </c>
      <c r="AW39" s="36" t="s">
        <v>3456</v>
      </c>
      <c r="AX39" s="36" t="s">
        <v>429</v>
      </c>
      <c r="AY39" s="39">
        <v>100</v>
      </c>
      <c r="AZ39" s="36" t="s">
        <v>3457</v>
      </c>
      <c r="BA39" s="36" t="s">
        <v>429</v>
      </c>
      <c r="BB39" s="39">
        <v>70</v>
      </c>
      <c r="BC39" s="36" t="s">
        <v>3458</v>
      </c>
      <c r="BD39" s="36" t="s">
        <v>429</v>
      </c>
      <c r="BE39" s="39">
        <v>80</v>
      </c>
      <c r="BF39" s="36" t="s">
        <v>1126</v>
      </c>
      <c r="BG39" s="36" t="s">
        <v>429</v>
      </c>
      <c r="BH39" s="39">
        <v>80</v>
      </c>
      <c r="BI39" s="36" t="s">
        <v>3459</v>
      </c>
      <c r="BJ39" s="36" t="s">
        <v>429</v>
      </c>
      <c r="BK39" s="39">
        <v>70</v>
      </c>
      <c r="BL39" s="36" t="s">
        <v>2883</v>
      </c>
      <c r="BM39" s="36" t="s">
        <v>429</v>
      </c>
      <c r="BN39" s="39">
        <v>80</v>
      </c>
      <c r="BO39" s="36" t="s">
        <v>3460</v>
      </c>
      <c r="BP39" s="36" t="s">
        <v>429</v>
      </c>
      <c r="BQ39" s="39">
        <v>80</v>
      </c>
      <c r="BR39" s="36" t="s">
        <v>2687</v>
      </c>
      <c r="BS39" s="36" t="s">
        <v>429</v>
      </c>
      <c r="BT39" s="39">
        <v>70</v>
      </c>
      <c r="BU39" s="36" t="s">
        <v>2886</v>
      </c>
      <c r="BV39" s="36" t="s">
        <v>429</v>
      </c>
      <c r="BW39" s="39">
        <v>80</v>
      </c>
      <c r="BX39" s="36" t="s">
        <v>3461</v>
      </c>
      <c r="BY39" s="36" t="s">
        <v>429</v>
      </c>
      <c r="BZ39" s="39">
        <v>90</v>
      </c>
      <c r="CA39" s="36" t="s">
        <v>3462</v>
      </c>
      <c r="CB39" s="36" t="s">
        <v>429</v>
      </c>
      <c r="CC39" s="36" t="s">
        <v>682</v>
      </c>
      <c r="CD39" s="36" t="s">
        <v>682</v>
      </c>
      <c r="CE39" s="36" t="s">
        <v>681</v>
      </c>
    </row>
    <row r="40" ht="30" customHeight="1" spans="1:83">
      <c r="A40" s="34" t="s">
        <v>86</v>
      </c>
      <c r="B40" s="34" t="s">
        <v>87</v>
      </c>
      <c r="C40" s="34" t="s">
        <v>14</v>
      </c>
      <c r="D40" s="34" t="s">
        <v>15</v>
      </c>
      <c r="E40" s="34" t="s">
        <v>16</v>
      </c>
      <c r="F40" s="38">
        <v>100</v>
      </c>
      <c r="G40" s="34" t="s">
        <v>929</v>
      </c>
      <c r="H40" s="34" t="s">
        <v>429</v>
      </c>
      <c r="I40" s="38">
        <v>100</v>
      </c>
      <c r="J40" s="34" t="s">
        <v>3463</v>
      </c>
      <c r="K40" s="34" t="s">
        <v>429</v>
      </c>
      <c r="L40" s="38">
        <v>100</v>
      </c>
      <c r="M40" s="34" t="s">
        <v>3464</v>
      </c>
      <c r="N40" s="34" t="s">
        <v>429</v>
      </c>
      <c r="O40" s="38">
        <v>90</v>
      </c>
      <c r="P40" s="34" t="s">
        <v>3465</v>
      </c>
      <c r="Q40" s="34" t="s">
        <v>429</v>
      </c>
      <c r="R40" s="38">
        <v>100</v>
      </c>
      <c r="S40" s="34" t="s">
        <v>3466</v>
      </c>
      <c r="T40" s="34" t="s">
        <v>429</v>
      </c>
      <c r="U40" s="38">
        <v>90</v>
      </c>
      <c r="V40" s="34" t="s">
        <v>3467</v>
      </c>
      <c r="W40" s="34" t="s">
        <v>429</v>
      </c>
      <c r="X40" s="38">
        <v>70</v>
      </c>
      <c r="Y40" s="34" t="s">
        <v>3468</v>
      </c>
      <c r="Z40" s="34" t="s">
        <v>429</v>
      </c>
      <c r="AA40" s="38">
        <v>100</v>
      </c>
      <c r="AB40" s="34" t="s">
        <v>3469</v>
      </c>
      <c r="AC40" s="34" t="s">
        <v>429</v>
      </c>
      <c r="AD40" s="38">
        <v>100</v>
      </c>
      <c r="AE40" s="34" t="s">
        <v>3470</v>
      </c>
      <c r="AF40" s="34" t="s">
        <v>429</v>
      </c>
      <c r="AG40" s="38">
        <v>90</v>
      </c>
      <c r="AH40" s="34" t="s">
        <v>3471</v>
      </c>
      <c r="AI40" s="34" t="s">
        <v>429</v>
      </c>
      <c r="AJ40" s="38">
        <v>80</v>
      </c>
      <c r="AK40" s="34" t="s">
        <v>3472</v>
      </c>
      <c r="AL40" s="34" t="s">
        <v>429</v>
      </c>
      <c r="AM40" s="38">
        <v>70</v>
      </c>
      <c r="AN40" s="34" t="s">
        <v>3473</v>
      </c>
      <c r="AO40" s="34" t="s">
        <v>429</v>
      </c>
      <c r="AP40" s="38">
        <v>80</v>
      </c>
      <c r="AQ40" s="34" t="s">
        <v>3474</v>
      </c>
      <c r="AR40" s="34" t="s">
        <v>429</v>
      </c>
      <c r="AS40" s="38">
        <v>80</v>
      </c>
      <c r="AT40" s="34" t="s">
        <v>3475</v>
      </c>
      <c r="AU40" s="34" t="s">
        <v>429</v>
      </c>
      <c r="AV40" s="38">
        <v>80</v>
      </c>
      <c r="AW40" s="34" t="s">
        <v>3476</v>
      </c>
      <c r="AX40" s="34" t="s">
        <v>429</v>
      </c>
      <c r="AY40" s="38">
        <v>90</v>
      </c>
      <c r="AZ40" s="34" t="s">
        <v>3477</v>
      </c>
      <c r="BA40" s="34" t="s">
        <v>429</v>
      </c>
      <c r="BB40" s="38">
        <v>70</v>
      </c>
      <c r="BC40" s="34" t="s">
        <v>3478</v>
      </c>
      <c r="BD40" s="34" t="s">
        <v>429</v>
      </c>
      <c r="BE40" s="38">
        <v>60</v>
      </c>
      <c r="BF40" s="34" t="s">
        <v>3479</v>
      </c>
      <c r="BG40" s="34" t="s">
        <v>429</v>
      </c>
      <c r="BH40" s="38">
        <v>90</v>
      </c>
      <c r="BI40" s="34" t="s">
        <v>2862</v>
      </c>
      <c r="BJ40" s="34" t="s">
        <v>429</v>
      </c>
      <c r="BK40" s="38">
        <v>70</v>
      </c>
      <c r="BL40" s="34" t="s">
        <v>3480</v>
      </c>
      <c r="BM40" s="34" t="s">
        <v>429</v>
      </c>
      <c r="BN40" s="38">
        <v>90</v>
      </c>
      <c r="BO40" s="34" t="s">
        <v>3481</v>
      </c>
      <c r="BP40" s="34" t="s">
        <v>429</v>
      </c>
      <c r="BQ40" s="38">
        <v>100</v>
      </c>
      <c r="BR40" s="34" t="s">
        <v>3208</v>
      </c>
      <c r="BS40" s="34" t="s">
        <v>429</v>
      </c>
      <c r="BT40" s="38">
        <v>90</v>
      </c>
      <c r="BU40" s="34" t="s">
        <v>3482</v>
      </c>
      <c r="BV40" s="34" t="s">
        <v>429</v>
      </c>
      <c r="BW40" s="38">
        <v>80</v>
      </c>
      <c r="BX40" s="34" t="s">
        <v>3483</v>
      </c>
      <c r="BY40" s="34" t="s">
        <v>429</v>
      </c>
      <c r="BZ40" s="38">
        <v>90</v>
      </c>
      <c r="CA40" s="34" t="s">
        <v>3484</v>
      </c>
      <c r="CB40" s="34" t="s">
        <v>429</v>
      </c>
      <c r="CC40" s="38">
        <v>80</v>
      </c>
      <c r="CD40" s="34" t="s">
        <v>3485</v>
      </c>
      <c r="CE40" s="34" t="s">
        <v>429</v>
      </c>
    </row>
    <row r="41" ht="30" customHeight="1" spans="1:83">
      <c r="A41" s="36" t="s">
        <v>88</v>
      </c>
      <c r="B41" s="36" t="s">
        <v>89</v>
      </c>
      <c r="C41" s="36" t="s">
        <v>14</v>
      </c>
      <c r="D41" s="36" t="s">
        <v>15</v>
      </c>
      <c r="E41" s="36" t="s">
        <v>16</v>
      </c>
      <c r="F41" s="39">
        <v>90</v>
      </c>
      <c r="G41" s="36" t="s">
        <v>3486</v>
      </c>
      <c r="H41" s="36" t="s">
        <v>429</v>
      </c>
      <c r="I41" s="39">
        <v>100</v>
      </c>
      <c r="J41" s="36" t="s">
        <v>3487</v>
      </c>
      <c r="K41" s="36" t="s">
        <v>429</v>
      </c>
      <c r="L41" s="39">
        <v>100</v>
      </c>
      <c r="M41" s="36" t="s">
        <v>3488</v>
      </c>
      <c r="N41" s="36" t="s">
        <v>429</v>
      </c>
      <c r="O41" s="39">
        <v>80</v>
      </c>
      <c r="P41" s="36" t="s">
        <v>3369</v>
      </c>
      <c r="Q41" s="36" t="s">
        <v>429</v>
      </c>
      <c r="R41" s="39">
        <v>100</v>
      </c>
      <c r="S41" s="36" t="s">
        <v>3489</v>
      </c>
      <c r="T41" s="36" t="s">
        <v>429</v>
      </c>
      <c r="U41" s="39">
        <v>80</v>
      </c>
      <c r="V41" s="36" t="s">
        <v>3490</v>
      </c>
      <c r="W41" s="36" t="s">
        <v>429</v>
      </c>
      <c r="X41" s="39">
        <v>80</v>
      </c>
      <c r="Y41" s="36" t="s">
        <v>3491</v>
      </c>
      <c r="Z41" s="36" t="s">
        <v>429</v>
      </c>
      <c r="AA41" s="39">
        <v>80</v>
      </c>
      <c r="AB41" s="36" t="s">
        <v>3492</v>
      </c>
      <c r="AC41" s="36" t="s">
        <v>429</v>
      </c>
      <c r="AD41" s="39">
        <v>80</v>
      </c>
      <c r="AE41" s="36" t="s">
        <v>748</v>
      </c>
      <c r="AF41" s="36" t="s">
        <v>429</v>
      </c>
      <c r="AG41" s="39">
        <v>100</v>
      </c>
      <c r="AH41" s="36" t="s">
        <v>3493</v>
      </c>
      <c r="AI41" s="36" t="s">
        <v>429</v>
      </c>
      <c r="AJ41" s="39">
        <v>90</v>
      </c>
      <c r="AK41" s="36" t="s">
        <v>2106</v>
      </c>
      <c r="AL41" s="36" t="s">
        <v>429</v>
      </c>
      <c r="AM41" s="39">
        <v>70</v>
      </c>
      <c r="AN41" s="36" t="s">
        <v>3494</v>
      </c>
      <c r="AO41" s="36" t="s">
        <v>429</v>
      </c>
      <c r="AP41" s="39">
        <v>80</v>
      </c>
      <c r="AQ41" s="36" t="s">
        <v>3495</v>
      </c>
      <c r="AR41" s="36" t="s">
        <v>429</v>
      </c>
      <c r="AS41" s="39">
        <v>100</v>
      </c>
      <c r="AT41" s="36" t="s">
        <v>3496</v>
      </c>
      <c r="AU41" s="36" t="s">
        <v>429</v>
      </c>
      <c r="AV41" s="39">
        <v>100</v>
      </c>
      <c r="AW41" s="36" t="s">
        <v>3418</v>
      </c>
      <c r="AX41" s="36" t="s">
        <v>429</v>
      </c>
      <c r="AY41" s="39">
        <v>80</v>
      </c>
      <c r="AZ41" s="36" t="s">
        <v>3497</v>
      </c>
      <c r="BA41" s="36" t="s">
        <v>429</v>
      </c>
      <c r="BB41" s="39">
        <v>60</v>
      </c>
      <c r="BC41" s="36" t="s">
        <v>3498</v>
      </c>
      <c r="BD41" s="36" t="s">
        <v>429</v>
      </c>
      <c r="BE41" s="39">
        <v>80</v>
      </c>
      <c r="BF41" s="36" t="s">
        <v>1735</v>
      </c>
      <c r="BG41" s="36" t="s">
        <v>429</v>
      </c>
      <c r="BH41" s="39">
        <v>70</v>
      </c>
      <c r="BI41" s="36" t="s">
        <v>3499</v>
      </c>
      <c r="BJ41" s="36" t="s">
        <v>429</v>
      </c>
      <c r="BK41" s="39">
        <v>70</v>
      </c>
      <c r="BL41" s="36" t="s">
        <v>3162</v>
      </c>
      <c r="BM41" s="36" t="s">
        <v>429</v>
      </c>
      <c r="BN41" s="39">
        <v>90</v>
      </c>
      <c r="BO41" s="36" t="s">
        <v>3208</v>
      </c>
      <c r="BP41" s="36" t="s">
        <v>429</v>
      </c>
      <c r="BQ41" s="39">
        <v>80</v>
      </c>
      <c r="BR41" s="36" t="s">
        <v>3500</v>
      </c>
      <c r="BS41" s="36" t="s">
        <v>429</v>
      </c>
      <c r="BT41" s="39">
        <v>80</v>
      </c>
      <c r="BU41" s="36" t="s">
        <v>3165</v>
      </c>
      <c r="BV41" s="36" t="s">
        <v>429</v>
      </c>
      <c r="BW41" s="39">
        <v>80</v>
      </c>
      <c r="BX41" s="36" t="s">
        <v>3501</v>
      </c>
      <c r="BY41" s="36" t="s">
        <v>429</v>
      </c>
      <c r="BZ41" s="39">
        <v>90</v>
      </c>
      <c r="CA41" s="36" t="s">
        <v>3502</v>
      </c>
      <c r="CB41" s="36" t="s">
        <v>429</v>
      </c>
      <c r="CC41" s="39">
        <v>80</v>
      </c>
      <c r="CD41" s="36" t="s">
        <v>3503</v>
      </c>
      <c r="CE41" s="36" t="s">
        <v>429</v>
      </c>
    </row>
    <row r="42" ht="30" customHeight="1" spans="1:83">
      <c r="A42" s="34" t="s">
        <v>90</v>
      </c>
      <c r="B42" s="34" t="s">
        <v>91</v>
      </c>
      <c r="C42" s="34" t="s">
        <v>14</v>
      </c>
      <c r="D42" s="34" t="s">
        <v>15</v>
      </c>
      <c r="E42" s="34" t="s">
        <v>16</v>
      </c>
      <c r="F42" s="38">
        <v>90</v>
      </c>
      <c r="G42" s="34" t="s">
        <v>3504</v>
      </c>
      <c r="H42" s="34" t="s">
        <v>429</v>
      </c>
      <c r="I42" s="38">
        <v>100</v>
      </c>
      <c r="J42" s="34" t="s">
        <v>3505</v>
      </c>
      <c r="K42" s="34" t="s">
        <v>429</v>
      </c>
      <c r="L42" s="38">
        <v>100</v>
      </c>
      <c r="M42" s="34" t="s">
        <v>3506</v>
      </c>
      <c r="N42" s="34" t="s">
        <v>429</v>
      </c>
      <c r="O42" s="38">
        <v>80</v>
      </c>
      <c r="P42" s="34" t="s">
        <v>3507</v>
      </c>
      <c r="Q42" s="34" t="s">
        <v>429</v>
      </c>
      <c r="R42" s="38">
        <v>100</v>
      </c>
      <c r="S42" s="34" t="s">
        <v>1056</v>
      </c>
      <c r="T42" s="34" t="s">
        <v>429</v>
      </c>
      <c r="U42" s="38">
        <v>80</v>
      </c>
      <c r="V42" s="34" t="s">
        <v>3508</v>
      </c>
      <c r="W42" s="34" t="s">
        <v>429</v>
      </c>
      <c r="X42" s="38">
        <v>80</v>
      </c>
      <c r="Y42" s="34" t="s">
        <v>3509</v>
      </c>
      <c r="Z42" s="34" t="s">
        <v>429</v>
      </c>
      <c r="AA42" s="38">
        <v>100</v>
      </c>
      <c r="AB42" s="34" t="s">
        <v>3510</v>
      </c>
      <c r="AC42" s="34" t="s">
        <v>429</v>
      </c>
      <c r="AD42" s="38">
        <v>100</v>
      </c>
      <c r="AE42" s="34" t="s">
        <v>3511</v>
      </c>
      <c r="AF42" s="34" t="s">
        <v>429</v>
      </c>
      <c r="AG42" s="38">
        <v>90</v>
      </c>
      <c r="AH42" s="34" t="s">
        <v>3512</v>
      </c>
      <c r="AI42" s="34" t="s">
        <v>429</v>
      </c>
      <c r="AJ42" s="38">
        <v>90</v>
      </c>
      <c r="AK42" s="34" t="s">
        <v>1713</v>
      </c>
      <c r="AL42" s="34" t="s">
        <v>429</v>
      </c>
      <c r="AM42" s="38">
        <v>70</v>
      </c>
      <c r="AN42" s="34" t="s">
        <v>3513</v>
      </c>
      <c r="AO42" s="34" t="s">
        <v>429</v>
      </c>
      <c r="AP42" s="38">
        <v>80</v>
      </c>
      <c r="AQ42" s="34" t="s">
        <v>3514</v>
      </c>
      <c r="AR42" s="34" t="s">
        <v>429</v>
      </c>
      <c r="AS42" s="38">
        <v>90</v>
      </c>
      <c r="AT42" s="34" t="s">
        <v>3515</v>
      </c>
      <c r="AU42" s="34" t="s">
        <v>429</v>
      </c>
      <c r="AV42" s="38">
        <v>100</v>
      </c>
      <c r="AW42" s="34" t="s">
        <v>3516</v>
      </c>
      <c r="AX42" s="34" t="s">
        <v>429</v>
      </c>
      <c r="AY42" s="38">
        <v>80</v>
      </c>
      <c r="AZ42" s="34" t="s">
        <v>2945</v>
      </c>
      <c r="BA42" s="34" t="s">
        <v>429</v>
      </c>
      <c r="BB42" s="38">
        <v>70</v>
      </c>
      <c r="BC42" s="34" t="s">
        <v>3517</v>
      </c>
      <c r="BD42" s="34" t="s">
        <v>429</v>
      </c>
      <c r="BE42" s="38">
        <v>80</v>
      </c>
      <c r="BF42" s="34" t="s">
        <v>1735</v>
      </c>
      <c r="BG42" s="34" t="s">
        <v>429</v>
      </c>
      <c r="BH42" s="38">
        <v>60</v>
      </c>
      <c r="BI42" s="34" t="s">
        <v>3518</v>
      </c>
      <c r="BJ42" s="34" t="s">
        <v>429</v>
      </c>
      <c r="BK42" s="38">
        <v>70</v>
      </c>
      <c r="BL42" s="34" t="s">
        <v>3519</v>
      </c>
      <c r="BM42" s="34" t="s">
        <v>429</v>
      </c>
      <c r="BN42" s="38">
        <v>100</v>
      </c>
      <c r="BO42" s="34" t="s">
        <v>3139</v>
      </c>
      <c r="BP42" s="34" t="s">
        <v>429</v>
      </c>
      <c r="BQ42" s="38">
        <v>90</v>
      </c>
      <c r="BR42" s="34" t="s">
        <v>3520</v>
      </c>
      <c r="BS42" s="34" t="s">
        <v>429</v>
      </c>
      <c r="BT42" s="38">
        <v>80</v>
      </c>
      <c r="BU42" s="34" t="s">
        <v>3521</v>
      </c>
      <c r="BV42" s="34" t="s">
        <v>429</v>
      </c>
      <c r="BW42" s="38">
        <v>70</v>
      </c>
      <c r="BX42" s="34" t="s">
        <v>3166</v>
      </c>
      <c r="BY42" s="34" t="s">
        <v>429</v>
      </c>
      <c r="BZ42" s="38">
        <v>90</v>
      </c>
      <c r="CA42" s="34" t="s">
        <v>3522</v>
      </c>
      <c r="CB42" s="34" t="s">
        <v>429</v>
      </c>
      <c r="CC42" s="38">
        <v>80</v>
      </c>
      <c r="CD42" s="34" t="s">
        <v>3523</v>
      </c>
      <c r="CE42" s="34" t="s">
        <v>429</v>
      </c>
    </row>
    <row r="43" ht="30" customHeight="1" spans="1:83">
      <c r="A43" s="36" t="s">
        <v>92</v>
      </c>
      <c r="B43" s="36" t="s">
        <v>93</v>
      </c>
      <c r="C43" s="36" t="s">
        <v>14</v>
      </c>
      <c r="D43" s="36" t="s">
        <v>15</v>
      </c>
      <c r="E43" s="36" t="s">
        <v>16</v>
      </c>
      <c r="F43" s="39">
        <v>80</v>
      </c>
      <c r="G43" s="36" t="s">
        <v>3524</v>
      </c>
      <c r="H43" s="36" t="s">
        <v>429</v>
      </c>
      <c r="I43" s="39">
        <v>100</v>
      </c>
      <c r="J43" s="36" t="s">
        <v>3525</v>
      </c>
      <c r="K43" s="36" t="s">
        <v>429</v>
      </c>
      <c r="L43" s="39">
        <v>100</v>
      </c>
      <c r="M43" s="36" t="s">
        <v>3526</v>
      </c>
      <c r="N43" s="36" t="s">
        <v>429</v>
      </c>
      <c r="O43" s="39">
        <v>95</v>
      </c>
      <c r="P43" s="36" t="s">
        <v>3527</v>
      </c>
      <c r="Q43" s="36" t="s">
        <v>429</v>
      </c>
      <c r="R43" s="39">
        <v>100</v>
      </c>
      <c r="S43" s="36" t="s">
        <v>3527</v>
      </c>
      <c r="T43" s="36" t="s">
        <v>429</v>
      </c>
      <c r="U43" s="39">
        <v>90</v>
      </c>
      <c r="V43" s="36" t="s">
        <v>3528</v>
      </c>
      <c r="W43" s="36" t="s">
        <v>429</v>
      </c>
      <c r="X43" s="39">
        <v>95</v>
      </c>
      <c r="Y43" s="36" t="s">
        <v>3529</v>
      </c>
      <c r="Z43" s="36" t="s">
        <v>429</v>
      </c>
      <c r="AA43" s="39">
        <v>100</v>
      </c>
      <c r="AB43" s="36" t="s">
        <v>1572</v>
      </c>
      <c r="AC43" s="36" t="s">
        <v>429</v>
      </c>
      <c r="AD43" s="39">
        <v>100</v>
      </c>
      <c r="AE43" s="36" t="s">
        <v>1572</v>
      </c>
      <c r="AF43" s="36" t="s">
        <v>429</v>
      </c>
      <c r="AG43" s="39">
        <v>100</v>
      </c>
      <c r="AH43" s="36" t="s">
        <v>3530</v>
      </c>
      <c r="AI43" s="36" t="s">
        <v>429</v>
      </c>
      <c r="AJ43" s="39">
        <v>100</v>
      </c>
      <c r="AK43" s="36" t="s">
        <v>3531</v>
      </c>
      <c r="AL43" s="36" t="s">
        <v>429</v>
      </c>
      <c r="AM43" s="39">
        <v>80</v>
      </c>
      <c r="AN43" s="36" t="s">
        <v>3532</v>
      </c>
      <c r="AO43" s="36" t="s">
        <v>429</v>
      </c>
      <c r="AP43" s="39">
        <v>80</v>
      </c>
      <c r="AQ43" s="36" t="s">
        <v>3533</v>
      </c>
      <c r="AR43" s="36" t="s">
        <v>429</v>
      </c>
      <c r="AS43" s="39">
        <v>90</v>
      </c>
      <c r="AT43" s="36" t="s">
        <v>3534</v>
      </c>
      <c r="AU43" s="36" t="s">
        <v>429</v>
      </c>
      <c r="AV43" s="39">
        <v>100</v>
      </c>
      <c r="AW43" s="36" t="s">
        <v>3535</v>
      </c>
      <c r="AX43" s="36" t="s">
        <v>429</v>
      </c>
      <c r="AY43" s="39">
        <v>100</v>
      </c>
      <c r="AZ43" s="36" t="s">
        <v>2945</v>
      </c>
      <c r="BA43" s="36" t="s">
        <v>429</v>
      </c>
      <c r="BB43" s="39">
        <v>70</v>
      </c>
      <c r="BC43" s="36" t="s">
        <v>3086</v>
      </c>
      <c r="BD43" s="36" t="s">
        <v>429</v>
      </c>
      <c r="BE43" s="39">
        <v>80</v>
      </c>
      <c r="BF43" s="36" t="s">
        <v>2820</v>
      </c>
      <c r="BG43" s="36" t="s">
        <v>429</v>
      </c>
      <c r="BH43" s="39">
        <v>70</v>
      </c>
      <c r="BI43" s="36" t="s">
        <v>3026</v>
      </c>
      <c r="BJ43" s="36" t="s">
        <v>429</v>
      </c>
      <c r="BK43" s="39">
        <v>70</v>
      </c>
      <c r="BL43" s="36" t="s">
        <v>3536</v>
      </c>
      <c r="BM43" s="36" t="s">
        <v>429</v>
      </c>
      <c r="BN43" s="39">
        <v>100</v>
      </c>
      <c r="BO43" s="36" t="s">
        <v>3537</v>
      </c>
      <c r="BP43" s="36" t="s">
        <v>429</v>
      </c>
      <c r="BQ43" s="39">
        <v>80</v>
      </c>
      <c r="BR43" s="36" t="s">
        <v>3538</v>
      </c>
      <c r="BS43" s="36" t="s">
        <v>429</v>
      </c>
      <c r="BT43" s="39">
        <v>80</v>
      </c>
      <c r="BU43" s="36" t="s">
        <v>3539</v>
      </c>
      <c r="BV43" s="36" t="s">
        <v>429</v>
      </c>
      <c r="BW43" s="39">
        <v>80</v>
      </c>
      <c r="BX43" s="36" t="s">
        <v>3540</v>
      </c>
      <c r="BY43" s="36" t="s">
        <v>429</v>
      </c>
      <c r="BZ43" s="39">
        <v>90</v>
      </c>
      <c r="CA43" s="36" t="s">
        <v>1956</v>
      </c>
      <c r="CB43" s="36" t="s">
        <v>429</v>
      </c>
      <c r="CC43" s="39">
        <v>80</v>
      </c>
      <c r="CD43" s="36" t="s">
        <v>3541</v>
      </c>
      <c r="CE43" s="36" t="s">
        <v>429</v>
      </c>
    </row>
    <row r="44" ht="30" customHeight="1" spans="1:83">
      <c r="A44" s="34" t="s">
        <v>94</v>
      </c>
      <c r="B44" s="34" t="s">
        <v>95</v>
      </c>
      <c r="C44" s="34" t="s">
        <v>14</v>
      </c>
      <c r="D44" s="34" t="s">
        <v>15</v>
      </c>
      <c r="E44" s="34" t="s">
        <v>16</v>
      </c>
      <c r="F44" s="38">
        <v>100</v>
      </c>
      <c r="G44" s="34" t="s">
        <v>3542</v>
      </c>
      <c r="H44" s="34" t="s">
        <v>429</v>
      </c>
      <c r="I44" s="38">
        <v>100</v>
      </c>
      <c r="J44" s="34" t="s">
        <v>3543</v>
      </c>
      <c r="K44" s="34" t="s">
        <v>429</v>
      </c>
      <c r="L44" s="38">
        <v>100</v>
      </c>
      <c r="M44" s="34" t="s">
        <v>3544</v>
      </c>
      <c r="N44" s="34" t="s">
        <v>429</v>
      </c>
      <c r="O44" s="38">
        <v>90</v>
      </c>
      <c r="P44" s="34" t="s">
        <v>3545</v>
      </c>
      <c r="Q44" s="34" t="s">
        <v>429</v>
      </c>
      <c r="R44" s="38">
        <v>100</v>
      </c>
      <c r="S44" s="34" t="s">
        <v>3546</v>
      </c>
      <c r="T44" s="34" t="s">
        <v>429</v>
      </c>
      <c r="U44" s="38">
        <v>90</v>
      </c>
      <c r="V44" s="34" t="s">
        <v>3547</v>
      </c>
      <c r="W44" s="34" t="s">
        <v>429</v>
      </c>
      <c r="X44" s="38">
        <v>80</v>
      </c>
      <c r="Y44" s="34" t="s">
        <v>3548</v>
      </c>
      <c r="Z44" s="34" t="s">
        <v>429</v>
      </c>
      <c r="AA44" s="38">
        <v>100</v>
      </c>
      <c r="AB44" s="34" t="s">
        <v>3549</v>
      </c>
      <c r="AC44" s="34" t="s">
        <v>429</v>
      </c>
      <c r="AD44" s="38">
        <v>100</v>
      </c>
      <c r="AE44" s="34" t="s">
        <v>3549</v>
      </c>
      <c r="AF44" s="34" t="s">
        <v>429</v>
      </c>
      <c r="AG44" s="38">
        <v>90</v>
      </c>
      <c r="AH44" s="34" t="s">
        <v>3550</v>
      </c>
      <c r="AI44" s="34" t="s">
        <v>429</v>
      </c>
      <c r="AJ44" s="38">
        <v>100</v>
      </c>
      <c r="AK44" s="34" t="s">
        <v>3551</v>
      </c>
      <c r="AL44" s="34" t="s">
        <v>429</v>
      </c>
      <c r="AM44" s="38">
        <v>80</v>
      </c>
      <c r="AN44" s="34" t="s">
        <v>3552</v>
      </c>
      <c r="AO44" s="34" t="s">
        <v>429</v>
      </c>
      <c r="AP44" s="38">
        <v>80</v>
      </c>
      <c r="AQ44" s="34" t="s">
        <v>3553</v>
      </c>
      <c r="AR44" s="34" t="s">
        <v>429</v>
      </c>
      <c r="AS44" s="38">
        <v>100</v>
      </c>
      <c r="AT44" s="34" t="s">
        <v>3552</v>
      </c>
      <c r="AU44" s="34" t="s">
        <v>429</v>
      </c>
      <c r="AV44" s="38">
        <v>100</v>
      </c>
      <c r="AW44" s="34" t="s">
        <v>3045</v>
      </c>
      <c r="AX44" s="34" t="s">
        <v>429</v>
      </c>
      <c r="AY44" s="38">
        <v>80</v>
      </c>
      <c r="AZ44" s="34" t="s">
        <v>3045</v>
      </c>
      <c r="BA44" s="34" t="s">
        <v>429</v>
      </c>
      <c r="BB44" s="38">
        <v>70</v>
      </c>
      <c r="BC44" s="34" t="s">
        <v>3554</v>
      </c>
      <c r="BD44" s="34" t="s">
        <v>429</v>
      </c>
      <c r="BE44" s="38">
        <v>70</v>
      </c>
      <c r="BF44" s="34" t="s">
        <v>3420</v>
      </c>
      <c r="BG44" s="34" t="s">
        <v>429</v>
      </c>
      <c r="BH44" s="38">
        <v>80</v>
      </c>
      <c r="BI44" s="34" t="s">
        <v>3555</v>
      </c>
      <c r="BJ44" s="34" t="s">
        <v>429</v>
      </c>
      <c r="BK44" s="38">
        <v>70</v>
      </c>
      <c r="BL44" s="34" t="s">
        <v>3556</v>
      </c>
      <c r="BM44" s="34" t="s">
        <v>429</v>
      </c>
      <c r="BN44" s="38">
        <v>100</v>
      </c>
      <c r="BO44" s="34" t="s">
        <v>3028</v>
      </c>
      <c r="BP44" s="34" t="s">
        <v>429</v>
      </c>
      <c r="BQ44" s="38">
        <v>90</v>
      </c>
      <c r="BR44" s="34" t="s">
        <v>3557</v>
      </c>
      <c r="BS44" s="34" t="s">
        <v>429</v>
      </c>
      <c r="BT44" s="38">
        <v>80</v>
      </c>
      <c r="BU44" s="34" t="s">
        <v>3558</v>
      </c>
      <c r="BV44" s="34" t="s">
        <v>429</v>
      </c>
      <c r="BW44" s="38">
        <v>80</v>
      </c>
      <c r="BX44" s="34" t="s">
        <v>3559</v>
      </c>
      <c r="BY44" s="34" t="s">
        <v>429</v>
      </c>
      <c r="BZ44" s="38">
        <v>90</v>
      </c>
      <c r="CA44" s="34" t="s">
        <v>3560</v>
      </c>
      <c r="CB44" s="34" t="s">
        <v>429</v>
      </c>
      <c r="CC44" s="38">
        <v>80</v>
      </c>
      <c r="CD44" s="34" t="s">
        <v>3561</v>
      </c>
      <c r="CE44" s="34" t="s">
        <v>429</v>
      </c>
    </row>
    <row r="45" ht="30" customHeight="1" spans="1:83">
      <c r="A45" s="36" t="s">
        <v>96</v>
      </c>
      <c r="B45" s="36" t="s">
        <v>97</v>
      </c>
      <c r="C45" s="36" t="s">
        <v>14</v>
      </c>
      <c r="D45" s="36" t="s">
        <v>15</v>
      </c>
      <c r="E45" s="36" t="s">
        <v>16</v>
      </c>
      <c r="F45" s="36" t="s">
        <v>682</v>
      </c>
      <c r="G45" s="36" t="s">
        <v>682</v>
      </c>
      <c r="H45" s="36" t="s">
        <v>681</v>
      </c>
      <c r="I45" s="39">
        <v>100</v>
      </c>
      <c r="J45" s="36" t="s">
        <v>3562</v>
      </c>
      <c r="K45" s="36" t="s">
        <v>429</v>
      </c>
      <c r="L45" s="39">
        <v>100</v>
      </c>
      <c r="M45" s="36" t="s">
        <v>3563</v>
      </c>
      <c r="N45" s="36" t="s">
        <v>429</v>
      </c>
      <c r="O45" s="36" t="s">
        <v>682</v>
      </c>
      <c r="P45" s="36" t="s">
        <v>682</v>
      </c>
      <c r="Q45" s="36" t="s">
        <v>681</v>
      </c>
      <c r="R45" s="39">
        <v>100</v>
      </c>
      <c r="S45" s="36" t="s">
        <v>3564</v>
      </c>
      <c r="T45" s="36" t="s">
        <v>429</v>
      </c>
      <c r="U45" s="36" t="s">
        <v>682</v>
      </c>
      <c r="V45" s="36" t="s">
        <v>682</v>
      </c>
      <c r="W45" s="36" t="s">
        <v>681</v>
      </c>
      <c r="X45" s="36" t="s">
        <v>682</v>
      </c>
      <c r="Y45" s="36" t="s">
        <v>682</v>
      </c>
      <c r="Z45" s="36" t="s">
        <v>681</v>
      </c>
      <c r="AA45" s="39">
        <v>80</v>
      </c>
      <c r="AB45" s="36" t="s">
        <v>3565</v>
      </c>
      <c r="AC45" s="36" t="s">
        <v>429</v>
      </c>
      <c r="AD45" s="39">
        <v>80</v>
      </c>
      <c r="AE45" s="36" t="s">
        <v>3566</v>
      </c>
      <c r="AF45" s="36" t="s">
        <v>429</v>
      </c>
      <c r="AG45" s="36" t="s">
        <v>682</v>
      </c>
      <c r="AH45" s="36" t="s">
        <v>682</v>
      </c>
      <c r="AI45" s="36" t="s">
        <v>681</v>
      </c>
      <c r="AJ45" s="39">
        <v>80</v>
      </c>
      <c r="AK45" s="36" t="s">
        <v>3567</v>
      </c>
      <c r="AL45" s="36" t="s">
        <v>429</v>
      </c>
      <c r="AM45" s="36" t="s">
        <v>682</v>
      </c>
      <c r="AN45" s="36" t="s">
        <v>682</v>
      </c>
      <c r="AO45" s="36" t="s">
        <v>681</v>
      </c>
      <c r="AP45" s="36" t="s">
        <v>682</v>
      </c>
      <c r="AQ45" s="36" t="s">
        <v>682</v>
      </c>
      <c r="AR45" s="36" t="s">
        <v>681</v>
      </c>
      <c r="AS45" s="36" t="s">
        <v>682</v>
      </c>
      <c r="AT45" s="36" t="s">
        <v>682</v>
      </c>
      <c r="AU45" s="36" t="s">
        <v>681</v>
      </c>
      <c r="AV45" s="39">
        <v>100</v>
      </c>
      <c r="AW45" s="36" t="s">
        <v>3568</v>
      </c>
      <c r="AX45" s="36" t="s">
        <v>429</v>
      </c>
      <c r="AY45" s="39">
        <v>80</v>
      </c>
      <c r="AZ45" s="36" t="s">
        <v>3569</v>
      </c>
      <c r="BA45" s="36" t="s">
        <v>429</v>
      </c>
      <c r="BB45" s="36" t="s">
        <v>682</v>
      </c>
      <c r="BC45" s="36" t="s">
        <v>682</v>
      </c>
      <c r="BD45" s="36" t="s">
        <v>681</v>
      </c>
      <c r="BE45" s="36" t="s">
        <v>682</v>
      </c>
      <c r="BF45" s="36" t="s">
        <v>682</v>
      </c>
      <c r="BG45" s="36" t="s">
        <v>681</v>
      </c>
      <c r="BH45" s="36" t="s">
        <v>682</v>
      </c>
      <c r="BI45" s="36" t="s">
        <v>682</v>
      </c>
      <c r="BJ45" s="36" t="s">
        <v>681</v>
      </c>
      <c r="BK45" s="36" t="s">
        <v>682</v>
      </c>
      <c r="BL45" s="36" t="s">
        <v>682</v>
      </c>
      <c r="BM45" s="36" t="s">
        <v>681</v>
      </c>
      <c r="BN45" s="36" t="s">
        <v>682</v>
      </c>
      <c r="BO45" s="36" t="s">
        <v>682</v>
      </c>
      <c r="BP45" s="36" t="s">
        <v>681</v>
      </c>
      <c r="BQ45" s="36" t="s">
        <v>682</v>
      </c>
      <c r="BR45" s="36" t="s">
        <v>682</v>
      </c>
      <c r="BS45" s="36" t="s">
        <v>681</v>
      </c>
      <c r="BT45" s="36" t="s">
        <v>682</v>
      </c>
      <c r="BU45" s="36" t="s">
        <v>682</v>
      </c>
      <c r="BV45" s="36" t="s">
        <v>681</v>
      </c>
      <c r="BW45" s="36" t="s">
        <v>682</v>
      </c>
      <c r="BX45" s="36" t="s">
        <v>682</v>
      </c>
      <c r="BY45" s="36" t="s">
        <v>681</v>
      </c>
      <c r="BZ45" s="36" t="s">
        <v>682</v>
      </c>
      <c r="CA45" s="36" t="s">
        <v>682</v>
      </c>
      <c r="CB45" s="36" t="s">
        <v>681</v>
      </c>
      <c r="CC45" s="36" t="s">
        <v>682</v>
      </c>
      <c r="CD45" s="36" t="s">
        <v>682</v>
      </c>
      <c r="CE45" s="36" t="s">
        <v>681</v>
      </c>
    </row>
    <row r="46" ht="30" customHeight="1" spans="1:83">
      <c r="A46" s="34" t="s">
        <v>98</v>
      </c>
      <c r="B46" s="34" t="s">
        <v>99</v>
      </c>
      <c r="C46" s="34" t="s">
        <v>14</v>
      </c>
      <c r="D46" s="34" t="s">
        <v>15</v>
      </c>
      <c r="E46" s="34" t="s">
        <v>16</v>
      </c>
      <c r="F46" s="38">
        <v>100</v>
      </c>
      <c r="G46" s="34" t="s">
        <v>3570</v>
      </c>
      <c r="H46" s="34" t="s">
        <v>429</v>
      </c>
      <c r="I46" s="38">
        <v>100</v>
      </c>
      <c r="J46" s="34" t="s">
        <v>3571</v>
      </c>
      <c r="K46" s="34" t="s">
        <v>429</v>
      </c>
      <c r="L46" s="38">
        <v>100</v>
      </c>
      <c r="M46" s="34" t="s">
        <v>3572</v>
      </c>
      <c r="N46" s="34" t="s">
        <v>429</v>
      </c>
      <c r="O46" s="38">
        <v>80</v>
      </c>
      <c r="P46" s="34" t="s">
        <v>3573</v>
      </c>
      <c r="Q46" s="34" t="s">
        <v>429</v>
      </c>
      <c r="R46" s="38">
        <v>100</v>
      </c>
      <c r="S46" s="34" t="s">
        <v>3574</v>
      </c>
      <c r="T46" s="34" t="s">
        <v>429</v>
      </c>
      <c r="U46" s="38">
        <v>90</v>
      </c>
      <c r="V46" s="34" t="s">
        <v>3575</v>
      </c>
      <c r="W46" s="34" t="s">
        <v>429</v>
      </c>
      <c r="X46" s="38">
        <v>90</v>
      </c>
      <c r="Y46" s="34" t="s">
        <v>3576</v>
      </c>
      <c r="Z46" s="34" t="s">
        <v>429</v>
      </c>
      <c r="AA46" s="38">
        <v>100</v>
      </c>
      <c r="AB46" s="34" t="s">
        <v>1107</v>
      </c>
      <c r="AC46" s="34" t="s">
        <v>429</v>
      </c>
      <c r="AD46" s="38">
        <v>100</v>
      </c>
      <c r="AE46" s="34" t="s">
        <v>1107</v>
      </c>
      <c r="AF46" s="34" t="s">
        <v>429</v>
      </c>
      <c r="AG46" s="38">
        <v>90</v>
      </c>
      <c r="AH46" s="34" t="s">
        <v>3577</v>
      </c>
      <c r="AI46" s="34" t="s">
        <v>429</v>
      </c>
      <c r="AJ46" s="38">
        <v>100</v>
      </c>
      <c r="AK46" s="34" t="s">
        <v>1565</v>
      </c>
      <c r="AL46" s="34" t="s">
        <v>429</v>
      </c>
      <c r="AM46" s="38">
        <v>90</v>
      </c>
      <c r="AN46" s="34" t="s">
        <v>3578</v>
      </c>
      <c r="AO46" s="34" t="s">
        <v>429</v>
      </c>
      <c r="AP46" s="38">
        <v>80</v>
      </c>
      <c r="AQ46" s="34" t="s">
        <v>3579</v>
      </c>
      <c r="AR46" s="34" t="s">
        <v>429</v>
      </c>
      <c r="AS46" s="38">
        <v>100</v>
      </c>
      <c r="AT46" s="34" t="s">
        <v>3580</v>
      </c>
      <c r="AU46" s="34" t="s">
        <v>429</v>
      </c>
      <c r="AV46" s="38">
        <v>100</v>
      </c>
      <c r="AW46" s="34" t="s">
        <v>3581</v>
      </c>
      <c r="AX46" s="34" t="s">
        <v>429</v>
      </c>
      <c r="AY46" s="38">
        <v>100</v>
      </c>
      <c r="AZ46" s="34" t="s">
        <v>3581</v>
      </c>
      <c r="BA46" s="34" t="s">
        <v>429</v>
      </c>
      <c r="BB46" s="38">
        <v>80</v>
      </c>
      <c r="BC46" s="34" t="s">
        <v>3582</v>
      </c>
      <c r="BD46" s="34" t="s">
        <v>429</v>
      </c>
      <c r="BE46" s="38">
        <v>80</v>
      </c>
      <c r="BF46" s="34" t="s">
        <v>3583</v>
      </c>
      <c r="BG46" s="34" t="s">
        <v>429</v>
      </c>
      <c r="BH46" s="38">
        <v>80</v>
      </c>
      <c r="BI46" s="34" t="s">
        <v>3584</v>
      </c>
      <c r="BJ46" s="34" t="s">
        <v>429</v>
      </c>
      <c r="BK46" s="38">
        <v>70</v>
      </c>
      <c r="BL46" s="34" t="s">
        <v>3585</v>
      </c>
      <c r="BM46" s="34" t="s">
        <v>429</v>
      </c>
      <c r="BN46" s="38">
        <v>100</v>
      </c>
      <c r="BO46" s="34" t="s">
        <v>3586</v>
      </c>
      <c r="BP46" s="34" t="s">
        <v>429</v>
      </c>
      <c r="BQ46" s="38">
        <v>100</v>
      </c>
      <c r="BR46" s="34" t="s">
        <v>3587</v>
      </c>
      <c r="BS46" s="34" t="s">
        <v>429</v>
      </c>
      <c r="BT46" s="38">
        <v>90</v>
      </c>
      <c r="BU46" s="34" t="s">
        <v>2825</v>
      </c>
      <c r="BV46" s="34" t="s">
        <v>429</v>
      </c>
      <c r="BW46" s="38">
        <v>80</v>
      </c>
      <c r="BX46" s="34" t="s">
        <v>3588</v>
      </c>
      <c r="BY46" s="34" t="s">
        <v>429</v>
      </c>
      <c r="BZ46" s="38">
        <v>90</v>
      </c>
      <c r="CA46" s="34" t="s">
        <v>3589</v>
      </c>
      <c r="CB46" s="34" t="s">
        <v>429</v>
      </c>
      <c r="CC46" s="38">
        <v>70</v>
      </c>
      <c r="CD46" s="34" t="s">
        <v>3590</v>
      </c>
      <c r="CE46" s="34" t="s">
        <v>429</v>
      </c>
    </row>
    <row r="47" ht="30" customHeight="1" spans="1:83">
      <c r="A47" s="36" t="s">
        <v>100</v>
      </c>
      <c r="B47" s="36" t="s">
        <v>101</v>
      </c>
      <c r="C47" s="36" t="s">
        <v>14</v>
      </c>
      <c r="D47" s="36" t="s">
        <v>15</v>
      </c>
      <c r="E47" s="36" t="s">
        <v>16</v>
      </c>
      <c r="F47" s="39">
        <v>100</v>
      </c>
      <c r="G47" s="36" t="s">
        <v>3591</v>
      </c>
      <c r="H47" s="36" t="s">
        <v>429</v>
      </c>
      <c r="I47" s="39">
        <v>100</v>
      </c>
      <c r="J47" s="36" t="s">
        <v>3592</v>
      </c>
      <c r="K47" s="36" t="s">
        <v>429</v>
      </c>
      <c r="L47" s="39">
        <v>100</v>
      </c>
      <c r="M47" s="36" t="s">
        <v>3593</v>
      </c>
      <c r="N47" s="36" t="s">
        <v>429</v>
      </c>
      <c r="O47" s="39">
        <v>95</v>
      </c>
      <c r="P47" s="36" t="s">
        <v>3594</v>
      </c>
      <c r="Q47" s="36" t="s">
        <v>429</v>
      </c>
      <c r="R47" s="39">
        <v>100</v>
      </c>
      <c r="S47" s="36" t="s">
        <v>3595</v>
      </c>
      <c r="T47" s="36" t="s">
        <v>429</v>
      </c>
      <c r="U47" s="39">
        <v>80</v>
      </c>
      <c r="V47" s="36" t="s">
        <v>3596</v>
      </c>
      <c r="W47" s="36" t="s">
        <v>429</v>
      </c>
      <c r="X47" s="39">
        <v>80</v>
      </c>
      <c r="Y47" s="36" t="s">
        <v>3597</v>
      </c>
      <c r="Z47" s="36" t="s">
        <v>429</v>
      </c>
      <c r="AA47" s="39">
        <v>80</v>
      </c>
      <c r="AB47" s="36" t="s">
        <v>3598</v>
      </c>
      <c r="AC47" s="36" t="s">
        <v>429</v>
      </c>
      <c r="AD47" s="39">
        <v>80</v>
      </c>
      <c r="AE47" s="36" t="s">
        <v>883</v>
      </c>
      <c r="AF47" s="36" t="s">
        <v>429</v>
      </c>
      <c r="AG47" s="39">
        <v>100</v>
      </c>
      <c r="AH47" s="36" t="s">
        <v>3599</v>
      </c>
      <c r="AI47" s="36" t="s">
        <v>429</v>
      </c>
      <c r="AJ47" s="39">
        <v>90</v>
      </c>
      <c r="AK47" s="36" t="s">
        <v>3600</v>
      </c>
      <c r="AL47" s="36" t="s">
        <v>429</v>
      </c>
      <c r="AM47" s="39">
        <v>70</v>
      </c>
      <c r="AN47" s="36" t="s">
        <v>3601</v>
      </c>
      <c r="AO47" s="36" t="s">
        <v>429</v>
      </c>
      <c r="AP47" s="39">
        <v>80</v>
      </c>
      <c r="AQ47" s="36" t="s">
        <v>3602</v>
      </c>
      <c r="AR47" s="36" t="s">
        <v>429</v>
      </c>
      <c r="AS47" s="39">
        <v>100</v>
      </c>
      <c r="AT47" s="36" t="s">
        <v>3603</v>
      </c>
      <c r="AU47" s="36" t="s">
        <v>429</v>
      </c>
      <c r="AV47" s="39">
        <v>100</v>
      </c>
      <c r="AW47" s="36" t="s">
        <v>3417</v>
      </c>
      <c r="AX47" s="36" t="s">
        <v>429</v>
      </c>
      <c r="AY47" s="39">
        <v>80</v>
      </c>
      <c r="AZ47" s="36" t="s">
        <v>3604</v>
      </c>
      <c r="BA47" s="36" t="s">
        <v>429</v>
      </c>
      <c r="BB47" s="39">
        <v>70</v>
      </c>
      <c r="BC47" s="36" t="s">
        <v>3605</v>
      </c>
      <c r="BD47" s="36" t="s">
        <v>429</v>
      </c>
      <c r="BE47" s="39">
        <v>80</v>
      </c>
      <c r="BF47" s="36" t="s">
        <v>3606</v>
      </c>
      <c r="BG47" s="36" t="s">
        <v>429</v>
      </c>
      <c r="BH47" s="39">
        <v>70</v>
      </c>
      <c r="BI47" s="36" t="s">
        <v>3607</v>
      </c>
      <c r="BJ47" s="36" t="s">
        <v>429</v>
      </c>
      <c r="BK47" s="39">
        <v>70</v>
      </c>
      <c r="BL47" s="36" t="s">
        <v>3519</v>
      </c>
      <c r="BM47" s="36" t="s">
        <v>429</v>
      </c>
      <c r="BN47" s="39">
        <v>100</v>
      </c>
      <c r="BO47" s="36" t="s">
        <v>3608</v>
      </c>
      <c r="BP47" s="36" t="s">
        <v>429</v>
      </c>
      <c r="BQ47" s="39">
        <v>70</v>
      </c>
      <c r="BR47" s="36" t="s">
        <v>3609</v>
      </c>
      <c r="BS47" s="36" t="s">
        <v>429</v>
      </c>
      <c r="BT47" s="39">
        <v>80</v>
      </c>
      <c r="BU47" s="36" t="s">
        <v>3521</v>
      </c>
      <c r="BV47" s="36" t="s">
        <v>429</v>
      </c>
      <c r="BW47" s="39">
        <v>70</v>
      </c>
      <c r="BX47" s="36" t="s">
        <v>3071</v>
      </c>
      <c r="BY47" s="36" t="s">
        <v>429</v>
      </c>
      <c r="BZ47" s="39">
        <v>90</v>
      </c>
      <c r="CA47" s="36" t="s">
        <v>3610</v>
      </c>
      <c r="CB47" s="36" t="s">
        <v>429</v>
      </c>
      <c r="CC47" s="39">
        <v>70</v>
      </c>
      <c r="CD47" s="36" t="s">
        <v>3611</v>
      </c>
      <c r="CE47" s="36" t="s">
        <v>429</v>
      </c>
    </row>
    <row r="48" ht="30" customHeight="1" spans="1:83">
      <c r="A48" s="34" t="s">
        <v>102</v>
      </c>
      <c r="B48" s="34" t="s">
        <v>103</v>
      </c>
      <c r="C48" s="34" t="s">
        <v>14</v>
      </c>
      <c r="D48" s="34" t="s">
        <v>15</v>
      </c>
      <c r="E48" s="34" t="s">
        <v>16</v>
      </c>
      <c r="F48" s="38">
        <v>80</v>
      </c>
      <c r="G48" s="34" t="s">
        <v>3612</v>
      </c>
      <c r="H48" s="34" t="s">
        <v>429</v>
      </c>
      <c r="I48" s="38">
        <v>100</v>
      </c>
      <c r="J48" s="34" t="s">
        <v>3562</v>
      </c>
      <c r="K48" s="34" t="s">
        <v>429</v>
      </c>
      <c r="L48" s="38">
        <v>80</v>
      </c>
      <c r="M48" s="34" t="s">
        <v>3613</v>
      </c>
      <c r="N48" s="34" t="s">
        <v>429</v>
      </c>
      <c r="O48" s="38">
        <v>90</v>
      </c>
      <c r="P48" s="34" t="s">
        <v>3614</v>
      </c>
      <c r="Q48" s="34" t="s">
        <v>429</v>
      </c>
      <c r="R48" s="38">
        <v>100</v>
      </c>
      <c r="S48" s="34" t="s">
        <v>3615</v>
      </c>
      <c r="T48" s="34" t="s">
        <v>429</v>
      </c>
      <c r="U48" s="34" t="s">
        <v>682</v>
      </c>
      <c r="V48" s="34" t="s">
        <v>682</v>
      </c>
      <c r="W48" s="34" t="s">
        <v>681</v>
      </c>
      <c r="X48" s="38">
        <v>70</v>
      </c>
      <c r="Y48" s="34" t="s">
        <v>2856</v>
      </c>
      <c r="Z48" s="34" t="s">
        <v>429</v>
      </c>
      <c r="AA48" s="38">
        <v>80</v>
      </c>
      <c r="AB48" s="34" t="s">
        <v>2633</v>
      </c>
      <c r="AC48" s="34" t="s">
        <v>429</v>
      </c>
      <c r="AD48" s="38">
        <v>80</v>
      </c>
      <c r="AE48" s="34" t="s">
        <v>2633</v>
      </c>
      <c r="AF48" s="34" t="s">
        <v>429</v>
      </c>
      <c r="AG48" s="38">
        <v>90</v>
      </c>
      <c r="AH48" s="34" t="s">
        <v>3616</v>
      </c>
      <c r="AI48" s="34" t="s">
        <v>429</v>
      </c>
      <c r="AJ48" s="38">
        <v>80</v>
      </c>
      <c r="AK48" s="34" t="s">
        <v>3617</v>
      </c>
      <c r="AL48" s="34" t="s">
        <v>429</v>
      </c>
      <c r="AM48" s="38">
        <v>70</v>
      </c>
      <c r="AN48" s="34" t="s">
        <v>3618</v>
      </c>
      <c r="AO48" s="34" t="s">
        <v>429</v>
      </c>
      <c r="AP48" s="38">
        <v>70</v>
      </c>
      <c r="AQ48" s="34" t="s">
        <v>3619</v>
      </c>
      <c r="AR48" s="34" t="s">
        <v>429</v>
      </c>
      <c r="AS48" s="38">
        <v>100</v>
      </c>
      <c r="AT48" s="34" t="s">
        <v>3620</v>
      </c>
      <c r="AU48" s="34" t="s">
        <v>429</v>
      </c>
      <c r="AV48" s="38">
        <v>100</v>
      </c>
      <c r="AW48" s="34" t="s">
        <v>2986</v>
      </c>
      <c r="AX48" s="34" t="s">
        <v>429</v>
      </c>
      <c r="AY48" s="38">
        <v>100</v>
      </c>
      <c r="AZ48" s="34" t="s">
        <v>3621</v>
      </c>
      <c r="BA48" s="34" t="s">
        <v>429</v>
      </c>
      <c r="BB48" s="38">
        <v>60</v>
      </c>
      <c r="BC48" s="34" t="s">
        <v>3622</v>
      </c>
      <c r="BD48" s="34" t="s">
        <v>429</v>
      </c>
      <c r="BE48" s="38">
        <v>80</v>
      </c>
      <c r="BF48" s="34" t="s">
        <v>3622</v>
      </c>
      <c r="BG48" s="34" t="s">
        <v>429</v>
      </c>
      <c r="BH48" s="38">
        <v>70</v>
      </c>
      <c r="BI48" s="34" t="s">
        <v>3623</v>
      </c>
      <c r="BJ48" s="34" t="s">
        <v>429</v>
      </c>
      <c r="BK48" s="38">
        <v>90</v>
      </c>
      <c r="BL48" s="34" t="s">
        <v>3624</v>
      </c>
      <c r="BM48" s="34" t="s">
        <v>429</v>
      </c>
      <c r="BN48" s="38">
        <v>90</v>
      </c>
      <c r="BO48" s="34" t="s">
        <v>3625</v>
      </c>
      <c r="BP48" s="34" t="s">
        <v>429</v>
      </c>
      <c r="BQ48" s="38">
        <v>80</v>
      </c>
      <c r="BR48" s="34" t="s">
        <v>3626</v>
      </c>
      <c r="BS48" s="34" t="s">
        <v>429</v>
      </c>
      <c r="BT48" s="38">
        <v>70</v>
      </c>
      <c r="BU48" s="34" t="s">
        <v>3627</v>
      </c>
      <c r="BV48" s="34" t="s">
        <v>429</v>
      </c>
      <c r="BW48" s="38">
        <v>80</v>
      </c>
      <c r="BX48" s="34" t="s">
        <v>3628</v>
      </c>
      <c r="BY48" s="34" t="s">
        <v>429</v>
      </c>
      <c r="BZ48" s="38">
        <v>90</v>
      </c>
      <c r="CA48" s="34" t="s">
        <v>3629</v>
      </c>
      <c r="CB48" s="34" t="s">
        <v>429</v>
      </c>
      <c r="CC48" s="38">
        <v>70</v>
      </c>
      <c r="CD48" s="34" t="s">
        <v>3630</v>
      </c>
      <c r="CE48" s="34" t="s">
        <v>429</v>
      </c>
    </row>
    <row r="49" ht="30" customHeight="1" spans="1:83">
      <c r="A49" s="36" t="s">
        <v>104</v>
      </c>
      <c r="B49" s="36" t="s">
        <v>105</v>
      </c>
      <c r="C49" s="36" t="s">
        <v>14</v>
      </c>
      <c r="D49" s="36" t="s">
        <v>15</v>
      </c>
      <c r="E49" s="36" t="s">
        <v>16</v>
      </c>
      <c r="F49" s="39">
        <v>100</v>
      </c>
      <c r="G49" s="36" t="s">
        <v>3631</v>
      </c>
      <c r="H49" s="36" t="s">
        <v>429</v>
      </c>
      <c r="I49" s="39">
        <v>100</v>
      </c>
      <c r="J49" s="36" t="s">
        <v>3259</v>
      </c>
      <c r="K49" s="36" t="s">
        <v>429</v>
      </c>
      <c r="L49" s="39">
        <v>80</v>
      </c>
      <c r="M49" s="36" t="s">
        <v>3632</v>
      </c>
      <c r="N49" s="36" t="s">
        <v>429</v>
      </c>
      <c r="O49" s="39">
        <v>60</v>
      </c>
      <c r="P49" s="36" t="s">
        <v>3633</v>
      </c>
      <c r="Q49" s="36" t="s">
        <v>429</v>
      </c>
      <c r="R49" s="39">
        <v>100</v>
      </c>
      <c r="S49" s="36" t="s">
        <v>3634</v>
      </c>
      <c r="T49" s="36" t="s">
        <v>429</v>
      </c>
      <c r="U49" s="39">
        <v>80</v>
      </c>
      <c r="V49" s="36" t="s">
        <v>3635</v>
      </c>
      <c r="W49" s="36" t="s">
        <v>429</v>
      </c>
      <c r="X49" s="39">
        <v>100</v>
      </c>
      <c r="Y49" s="36" t="s">
        <v>3636</v>
      </c>
      <c r="Z49" s="36" t="s">
        <v>429</v>
      </c>
      <c r="AA49" s="39">
        <v>100</v>
      </c>
      <c r="AB49" s="36" t="s">
        <v>3637</v>
      </c>
      <c r="AC49" s="36" t="s">
        <v>429</v>
      </c>
      <c r="AD49" s="39">
        <v>100</v>
      </c>
      <c r="AE49" s="36" t="s">
        <v>3638</v>
      </c>
      <c r="AF49" s="36" t="s">
        <v>429</v>
      </c>
      <c r="AG49" s="39">
        <v>100</v>
      </c>
      <c r="AH49" s="36" t="s">
        <v>3639</v>
      </c>
      <c r="AI49" s="36" t="s">
        <v>429</v>
      </c>
      <c r="AJ49" s="39">
        <v>100</v>
      </c>
      <c r="AK49" s="36" t="s">
        <v>3640</v>
      </c>
      <c r="AL49" s="36" t="s">
        <v>429</v>
      </c>
      <c r="AM49" s="39">
        <v>80</v>
      </c>
      <c r="AN49" s="36" t="s">
        <v>3641</v>
      </c>
      <c r="AO49" s="36" t="s">
        <v>429</v>
      </c>
      <c r="AP49" s="39">
        <v>70</v>
      </c>
      <c r="AQ49" s="36" t="s">
        <v>3642</v>
      </c>
      <c r="AR49" s="36" t="s">
        <v>429</v>
      </c>
      <c r="AS49" s="39">
        <v>100</v>
      </c>
      <c r="AT49" s="36" t="s">
        <v>3643</v>
      </c>
      <c r="AU49" s="36" t="s">
        <v>429</v>
      </c>
      <c r="AV49" s="36" t="s">
        <v>682</v>
      </c>
      <c r="AW49" s="36" t="s">
        <v>682</v>
      </c>
      <c r="AX49" s="36" t="s">
        <v>681</v>
      </c>
      <c r="AY49" s="36" t="s">
        <v>682</v>
      </c>
      <c r="AZ49" s="36" t="s">
        <v>682</v>
      </c>
      <c r="BA49" s="36" t="s">
        <v>681</v>
      </c>
      <c r="BB49" s="36" t="s">
        <v>682</v>
      </c>
      <c r="BC49" s="36" t="s">
        <v>682</v>
      </c>
      <c r="BD49" s="36" t="s">
        <v>681</v>
      </c>
      <c r="BE49" s="39">
        <v>80</v>
      </c>
      <c r="BF49" s="36" t="s">
        <v>3644</v>
      </c>
      <c r="BG49" s="36" t="s">
        <v>429</v>
      </c>
      <c r="BH49" s="39">
        <v>70</v>
      </c>
      <c r="BI49" s="36" t="s">
        <v>3645</v>
      </c>
      <c r="BJ49" s="36" t="s">
        <v>429</v>
      </c>
      <c r="BK49" s="39">
        <v>90</v>
      </c>
      <c r="BL49" s="36" t="s">
        <v>3006</v>
      </c>
      <c r="BM49" s="36" t="s">
        <v>429</v>
      </c>
      <c r="BN49" s="39">
        <v>90</v>
      </c>
      <c r="BO49" s="36" t="s">
        <v>3646</v>
      </c>
      <c r="BP49" s="36" t="s">
        <v>429</v>
      </c>
      <c r="BQ49" s="39">
        <v>80</v>
      </c>
      <c r="BR49" s="36" t="s">
        <v>3647</v>
      </c>
      <c r="BS49" s="36" t="s">
        <v>429</v>
      </c>
      <c r="BT49" s="39">
        <v>90</v>
      </c>
      <c r="BU49" s="36" t="s">
        <v>3648</v>
      </c>
      <c r="BV49" s="36" t="s">
        <v>429</v>
      </c>
      <c r="BW49" s="39">
        <v>60</v>
      </c>
      <c r="BX49" s="36" t="s">
        <v>3649</v>
      </c>
      <c r="BY49" s="36" t="s">
        <v>429</v>
      </c>
      <c r="BZ49" s="39">
        <v>90</v>
      </c>
      <c r="CA49" s="36" t="s">
        <v>3650</v>
      </c>
      <c r="CB49" s="36" t="s">
        <v>429</v>
      </c>
      <c r="CC49" s="39">
        <v>80</v>
      </c>
      <c r="CD49" s="36" t="s">
        <v>2976</v>
      </c>
      <c r="CE49" s="36" t="s">
        <v>429</v>
      </c>
    </row>
    <row r="50" ht="30" customHeight="1" spans="1:83">
      <c r="A50" s="34" t="s">
        <v>106</v>
      </c>
      <c r="B50" s="34" t="s">
        <v>107</v>
      </c>
      <c r="C50" s="34" t="s">
        <v>14</v>
      </c>
      <c r="D50" s="34" t="s">
        <v>15</v>
      </c>
      <c r="E50" s="34" t="s">
        <v>16</v>
      </c>
      <c r="F50" s="38">
        <v>100</v>
      </c>
      <c r="G50" s="34" t="s">
        <v>3651</v>
      </c>
      <c r="H50" s="34" t="s">
        <v>429</v>
      </c>
      <c r="I50" s="38">
        <v>100</v>
      </c>
      <c r="J50" s="34" t="s">
        <v>1314</v>
      </c>
      <c r="K50" s="34" t="s">
        <v>429</v>
      </c>
      <c r="L50" s="38">
        <v>100</v>
      </c>
      <c r="M50" s="34" t="s">
        <v>3652</v>
      </c>
      <c r="N50" s="34" t="s">
        <v>429</v>
      </c>
      <c r="O50" s="38">
        <v>80</v>
      </c>
      <c r="P50" s="34" t="s">
        <v>3653</v>
      </c>
      <c r="Q50" s="34" t="s">
        <v>429</v>
      </c>
      <c r="R50" s="38">
        <v>100</v>
      </c>
      <c r="S50" s="34" t="s">
        <v>545</v>
      </c>
      <c r="T50" s="34" t="s">
        <v>429</v>
      </c>
      <c r="U50" s="38">
        <v>80</v>
      </c>
      <c r="V50" s="34" t="s">
        <v>3654</v>
      </c>
      <c r="W50" s="34" t="s">
        <v>429</v>
      </c>
      <c r="X50" s="38">
        <v>100</v>
      </c>
      <c r="Y50" s="34" t="s">
        <v>3655</v>
      </c>
      <c r="Z50" s="34" t="s">
        <v>429</v>
      </c>
      <c r="AA50" s="38">
        <v>90</v>
      </c>
      <c r="AB50" s="34" t="s">
        <v>3656</v>
      </c>
      <c r="AC50" s="34" t="s">
        <v>429</v>
      </c>
      <c r="AD50" s="38">
        <v>90</v>
      </c>
      <c r="AE50" s="34" t="s">
        <v>3657</v>
      </c>
      <c r="AF50" s="34" t="s">
        <v>429</v>
      </c>
      <c r="AG50" s="38">
        <v>100</v>
      </c>
      <c r="AH50" s="34" t="s">
        <v>3658</v>
      </c>
      <c r="AI50" s="34" t="s">
        <v>429</v>
      </c>
      <c r="AJ50" s="38">
        <v>90</v>
      </c>
      <c r="AK50" s="34" t="s">
        <v>2106</v>
      </c>
      <c r="AL50" s="34" t="s">
        <v>429</v>
      </c>
      <c r="AM50" s="38">
        <v>70</v>
      </c>
      <c r="AN50" s="34" t="s">
        <v>3659</v>
      </c>
      <c r="AO50" s="34" t="s">
        <v>429</v>
      </c>
      <c r="AP50" s="38">
        <v>60</v>
      </c>
      <c r="AQ50" s="34" t="s">
        <v>3660</v>
      </c>
      <c r="AR50" s="34" t="s">
        <v>429</v>
      </c>
      <c r="AS50" s="38">
        <v>100</v>
      </c>
      <c r="AT50" s="34" t="s">
        <v>3661</v>
      </c>
      <c r="AU50" s="34" t="s">
        <v>429</v>
      </c>
      <c r="AV50" s="38">
        <v>100</v>
      </c>
      <c r="AW50" s="34" t="s">
        <v>3662</v>
      </c>
      <c r="AX50" s="34" t="s">
        <v>429</v>
      </c>
      <c r="AY50" s="38">
        <v>90</v>
      </c>
      <c r="AZ50" s="34" t="s">
        <v>3663</v>
      </c>
      <c r="BA50" s="34" t="s">
        <v>429</v>
      </c>
      <c r="BB50" s="38">
        <v>70</v>
      </c>
      <c r="BC50" s="34" t="s">
        <v>3664</v>
      </c>
      <c r="BD50" s="34" t="s">
        <v>429</v>
      </c>
      <c r="BE50" s="38">
        <v>80</v>
      </c>
      <c r="BF50" s="34" t="s">
        <v>3665</v>
      </c>
      <c r="BG50" s="34" t="s">
        <v>429</v>
      </c>
      <c r="BH50" s="38">
        <v>60</v>
      </c>
      <c r="BI50" s="34" t="s">
        <v>3666</v>
      </c>
      <c r="BJ50" s="34" t="s">
        <v>429</v>
      </c>
      <c r="BK50" s="38">
        <v>70</v>
      </c>
      <c r="BL50" s="34" t="s">
        <v>3667</v>
      </c>
      <c r="BM50" s="34" t="s">
        <v>429</v>
      </c>
      <c r="BN50" s="38">
        <v>90</v>
      </c>
      <c r="BO50" s="34" t="s">
        <v>3668</v>
      </c>
      <c r="BP50" s="34" t="s">
        <v>429</v>
      </c>
      <c r="BQ50" s="38">
        <v>90</v>
      </c>
      <c r="BR50" s="34" t="s">
        <v>3669</v>
      </c>
      <c r="BS50" s="34" t="s">
        <v>429</v>
      </c>
      <c r="BT50" s="38">
        <v>80</v>
      </c>
      <c r="BU50" s="34" t="s">
        <v>3670</v>
      </c>
      <c r="BV50" s="34" t="s">
        <v>429</v>
      </c>
      <c r="BW50" s="38">
        <v>80</v>
      </c>
      <c r="BX50" s="34" t="s">
        <v>3671</v>
      </c>
      <c r="BY50" s="34" t="s">
        <v>429</v>
      </c>
      <c r="BZ50" s="38">
        <v>90</v>
      </c>
      <c r="CA50" s="34" t="s">
        <v>2953</v>
      </c>
      <c r="CB50" s="34" t="s">
        <v>429</v>
      </c>
      <c r="CC50" s="34" t="s">
        <v>682</v>
      </c>
      <c r="CD50" s="34" t="s">
        <v>682</v>
      </c>
      <c r="CE50" s="34" t="s">
        <v>681</v>
      </c>
    </row>
    <row r="51" ht="30" customHeight="1" spans="1:83">
      <c r="A51" s="36" t="s">
        <v>108</v>
      </c>
      <c r="B51" s="36" t="s">
        <v>109</v>
      </c>
      <c r="C51" s="36" t="s">
        <v>14</v>
      </c>
      <c r="D51" s="36" t="s">
        <v>15</v>
      </c>
      <c r="E51" s="36" t="s">
        <v>16</v>
      </c>
      <c r="F51" s="39">
        <v>100</v>
      </c>
      <c r="G51" s="36" t="s">
        <v>3672</v>
      </c>
      <c r="H51" s="36" t="s">
        <v>429</v>
      </c>
      <c r="I51" s="39">
        <v>100</v>
      </c>
      <c r="J51" s="36" t="s">
        <v>3673</v>
      </c>
      <c r="K51" s="36" t="s">
        <v>429</v>
      </c>
      <c r="L51" s="39">
        <v>80</v>
      </c>
      <c r="M51" s="36" t="s">
        <v>3346</v>
      </c>
      <c r="N51" s="36" t="s">
        <v>429</v>
      </c>
      <c r="O51" s="39">
        <v>80</v>
      </c>
      <c r="P51" s="36" t="s">
        <v>3674</v>
      </c>
      <c r="Q51" s="36" t="s">
        <v>429</v>
      </c>
      <c r="R51" s="39">
        <v>100</v>
      </c>
      <c r="S51" s="36" t="s">
        <v>546</v>
      </c>
      <c r="T51" s="36" t="s">
        <v>429</v>
      </c>
      <c r="U51" s="39">
        <v>80</v>
      </c>
      <c r="V51" s="36" t="s">
        <v>3675</v>
      </c>
      <c r="W51" s="36" t="s">
        <v>429</v>
      </c>
      <c r="X51" s="39">
        <v>100</v>
      </c>
      <c r="Y51" s="36" t="s">
        <v>3676</v>
      </c>
      <c r="Z51" s="36" t="s">
        <v>429</v>
      </c>
      <c r="AA51" s="39">
        <v>100</v>
      </c>
      <c r="AB51" s="36" t="s">
        <v>2156</v>
      </c>
      <c r="AC51" s="36" t="s">
        <v>429</v>
      </c>
      <c r="AD51" s="39">
        <v>100</v>
      </c>
      <c r="AE51" s="36" t="s">
        <v>2056</v>
      </c>
      <c r="AF51" s="36" t="s">
        <v>429</v>
      </c>
      <c r="AG51" s="39">
        <v>90</v>
      </c>
      <c r="AH51" s="36" t="s">
        <v>3677</v>
      </c>
      <c r="AI51" s="36" t="s">
        <v>429</v>
      </c>
      <c r="AJ51" s="39">
        <v>100</v>
      </c>
      <c r="AK51" s="36" t="s">
        <v>885</v>
      </c>
      <c r="AL51" s="36" t="s">
        <v>429</v>
      </c>
      <c r="AM51" s="39">
        <v>70</v>
      </c>
      <c r="AN51" s="36" t="s">
        <v>3678</v>
      </c>
      <c r="AO51" s="36" t="s">
        <v>429</v>
      </c>
      <c r="AP51" s="39">
        <v>90</v>
      </c>
      <c r="AQ51" s="36" t="s">
        <v>3679</v>
      </c>
      <c r="AR51" s="36" t="s">
        <v>429</v>
      </c>
      <c r="AS51" s="39">
        <v>100</v>
      </c>
      <c r="AT51" s="36" t="s">
        <v>3680</v>
      </c>
      <c r="AU51" s="36" t="s">
        <v>429</v>
      </c>
      <c r="AV51" s="39">
        <v>100</v>
      </c>
      <c r="AW51" s="36" t="s">
        <v>3681</v>
      </c>
      <c r="AX51" s="36" t="s">
        <v>429</v>
      </c>
      <c r="AY51" s="39">
        <v>100</v>
      </c>
      <c r="AZ51" s="36" t="s">
        <v>3682</v>
      </c>
      <c r="BA51" s="36" t="s">
        <v>429</v>
      </c>
      <c r="BB51" s="39">
        <v>70</v>
      </c>
      <c r="BC51" s="36" t="s">
        <v>3683</v>
      </c>
      <c r="BD51" s="36" t="s">
        <v>429</v>
      </c>
      <c r="BE51" s="39">
        <v>80</v>
      </c>
      <c r="BF51" s="36" t="s">
        <v>3684</v>
      </c>
      <c r="BG51" s="36" t="s">
        <v>429</v>
      </c>
      <c r="BH51" s="39">
        <v>70</v>
      </c>
      <c r="BI51" s="36" t="s">
        <v>3685</v>
      </c>
      <c r="BJ51" s="36" t="s">
        <v>429</v>
      </c>
      <c r="BK51" s="39">
        <v>70</v>
      </c>
      <c r="BL51" s="36" t="s">
        <v>997</v>
      </c>
      <c r="BM51" s="36" t="s">
        <v>429</v>
      </c>
      <c r="BN51" s="39">
        <v>100</v>
      </c>
      <c r="BO51" s="36" t="s">
        <v>2971</v>
      </c>
      <c r="BP51" s="36" t="s">
        <v>429</v>
      </c>
      <c r="BQ51" s="39">
        <v>90</v>
      </c>
      <c r="BR51" s="36" t="s">
        <v>3686</v>
      </c>
      <c r="BS51" s="36" t="s">
        <v>429</v>
      </c>
      <c r="BT51" s="39">
        <v>80</v>
      </c>
      <c r="BU51" s="36" t="s">
        <v>3165</v>
      </c>
      <c r="BV51" s="36" t="s">
        <v>429</v>
      </c>
      <c r="BW51" s="39">
        <v>80</v>
      </c>
      <c r="BX51" s="36" t="s">
        <v>3687</v>
      </c>
      <c r="BY51" s="36" t="s">
        <v>429</v>
      </c>
      <c r="BZ51" s="39">
        <v>90</v>
      </c>
      <c r="CA51" s="36" t="s">
        <v>3688</v>
      </c>
      <c r="CB51" s="36" t="s">
        <v>429</v>
      </c>
      <c r="CC51" s="39">
        <v>70</v>
      </c>
      <c r="CD51" s="36" t="s">
        <v>3689</v>
      </c>
      <c r="CE51" s="36" t="s">
        <v>429</v>
      </c>
    </row>
    <row r="52" ht="30" customHeight="1" spans="1:83">
      <c r="A52" s="34" t="s">
        <v>110</v>
      </c>
      <c r="B52" s="34" t="s">
        <v>111</v>
      </c>
      <c r="C52" s="34" t="s">
        <v>14</v>
      </c>
      <c r="D52" s="34" t="s">
        <v>15</v>
      </c>
      <c r="E52" s="34" t="s">
        <v>16</v>
      </c>
      <c r="F52" s="38">
        <v>80</v>
      </c>
      <c r="G52" s="34" t="s">
        <v>3690</v>
      </c>
      <c r="H52" s="34" t="s">
        <v>429</v>
      </c>
      <c r="I52" s="38">
        <v>80</v>
      </c>
      <c r="J52" s="34" t="s">
        <v>2582</v>
      </c>
      <c r="K52" s="34" t="s">
        <v>429</v>
      </c>
      <c r="L52" s="38">
        <v>100</v>
      </c>
      <c r="M52" s="34" t="s">
        <v>3691</v>
      </c>
      <c r="N52" s="34" t="s">
        <v>429</v>
      </c>
      <c r="O52" s="38">
        <v>90</v>
      </c>
      <c r="P52" s="34" t="s">
        <v>3692</v>
      </c>
      <c r="Q52" s="34" t="s">
        <v>429</v>
      </c>
      <c r="R52" s="38">
        <v>100</v>
      </c>
      <c r="S52" s="34" t="s">
        <v>2873</v>
      </c>
      <c r="T52" s="34" t="s">
        <v>429</v>
      </c>
      <c r="U52" s="38">
        <v>100</v>
      </c>
      <c r="V52" s="34" t="s">
        <v>3693</v>
      </c>
      <c r="W52" s="34" t="s">
        <v>429</v>
      </c>
      <c r="X52" s="38">
        <v>80</v>
      </c>
      <c r="Y52" s="34" t="s">
        <v>1397</v>
      </c>
      <c r="Z52" s="34" t="s">
        <v>429</v>
      </c>
      <c r="AA52" s="38">
        <v>100</v>
      </c>
      <c r="AB52" s="34" t="s">
        <v>3694</v>
      </c>
      <c r="AC52" s="34" t="s">
        <v>429</v>
      </c>
      <c r="AD52" s="38">
        <v>100</v>
      </c>
      <c r="AE52" s="34" t="s">
        <v>3695</v>
      </c>
      <c r="AF52" s="34" t="s">
        <v>429</v>
      </c>
      <c r="AG52" s="38">
        <v>70</v>
      </c>
      <c r="AH52" s="34" t="s">
        <v>3696</v>
      </c>
      <c r="AI52" s="34" t="s">
        <v>429</v>
      </c>
      <c r="AJ52" s="38">
        <v>100</v>
      </c>
      <c r="AK52" s="34" t="s">
        <v>975</v>
      </c>
      <c r="AL52" s="34" t="s">
        <v>429</v>
      </c>
      <c r="AM52" s="34" t="s">
        <v>682</v>
      </c>
      <c r="AN52" s="34" t="s">
        <v>682</v>
      </c>
      <c r="AO52" s="34" t="s">
        <v>681</v>
      </c>
      <c r="AP52" s="38">
        <v>70</v>
      </c>
      <c r="AQ52" s="34" t="s">
        <v>3697</v>
      </c>
      <c r="AR52" s="34" t="s">
        <v>429</v>
      </c>
      <c r="AS52" s="34" t="s">
        <v>682</v>
      </c>
      <c r="AT52" s="34" t="s">
        <v>682</v>
      </c>
      <c r="AU52" s="34" t="s">
        <v>681</v>
      </c>
      <c r="AV52" s="34" t="s">
        <v>682</v>
      </c>
      <c r="AW52" s="34" t="s">
        <v>682</v>
      </c>
      <c r="AX52" s="34" t="s">
        <v>681</v>
      </c>
      <c r="AY52" s="38">
        <v>100</v>
      </c>
      <c r="AZ52" s="34" t="s">
        <v>3698</v>
      </c>
      <c r="BA52" s="34" t="s">
        <v>429</v>
      </c>
      <c r="BB52" s="38">
        <v>80</v>
      </c>
      <c r="BC52" s="34" t="s">
        <v>3699</v>
      </c>
      <c r="BD52" s="34" t="s">
        <v>429</v>
      </c>
      <c r="BE52" s="38">
        <v>80</v>
      </c>
      <c r="BF52" s="34" t="s">
        <v>3700</v>
      </c>
      <c r="BG52" s="34" t="s">
        <v>429</v>
      </c>
      <c r="BH52" s="34" t="s">
        <v>682</v>
      </c>
      <c r="BI52" s="34" t="s">
        <v>682</v>
      </c>
      <c r="BJ52" s="34" t="s">
        <v>681</v>
      </c>
      <c r="BK52" s="38">
        <v>60</v>
      </c>
      <c r="BL52" s="34" t="s">
        <v>3701</v>
      </c>
      <c r="BM52" s="34" t="s">
        <v>429</v>
      </c>
      <c r="BN52" s="38">
        <v>100</v>
      </c>
      <c r="BO52" s="34" t="s">
        <v>3702</v>
      </c>
      <c r="BP52" s="34" t="s">
        <v>429</v>
      </c>
      <c r="BQ52" s="38">
        <v>80</v>
      </c>
      <c r="BR52" s="34" t="s">
        <v>3703</v>
      </c>
      <c r="BS52" s="34" t="s">
        <v>429</v>
      </c>
      <c r="BT52" s="38">
        <v>70</v>
      </c>
      <c r="BU52" s="34" t="s">
        <v>3704</v>
      </c>
      <c r="BV52" s="34" t="s">
        <v>429</v>
      </c>
      <c r="BW52" s="38">
        <v>80</v>
      </c>
      <c r="BX52" s="34" t="s">
        <v>3461</v>
      </c>
      <c r="BY52" s="34" t="s">
        <v>429</v>
      </c>
      <c r="BZ52" s="34" t="s">
        <v>682</v>
      </c>
      <c r="CA52" s="34" t="s">
        <v>682</v>
      </c>
      <c r="CB52" s="34" t="s">
        <v>681</v>
      </c>
      <c r="CC52" s="38">
        <v>80</v>
      </c>
      <c r="CD52" s="34" t="s">
        <v>3705</v>
      </c>
      <c r="CE52" s="34" t="s">
        <v>429</v>
      </c>
    </row>
    <row r="53" ht="30" customHeight="1" spans="1:83">
      <c r="A53" s="36" t="s">
        <v>112</v>
      </c>
      <c r="B53" s="36" t="s">
        <v>113</v>
      </c>
      <c r="C53" s="36" t="s">
        <v>14</v>
      </c>
      <c r="D53" s="36" t="s">
        <v>15</v>
      </c>
      <c r="E53" s="36" t="s">
        <v>16</v>
      </c>
      <c r="F53" s="39">
        <v>80</v>
      </c>
      <c r="G53" s="36" t="s">
        <v>3706</v>
      </c>
      <c r="H53" s="36" t="s">
        <v>429</v>
      </c>
      <c r="I53" s="39">
        <v>100</v>
      </c>
      <c r="J53" s="36" t="s">
        <v>798</v>
      </c>
      <c r="K53" s="36" t="s">
        <v>429</v>
      </c>
      <c r="L53" s="39">
        <v>100</v>
      </c>
      <c r="M53" s="36" t="s">
        <v>3707</v>
      </c>
      <c r="N53" s="36" t="s">
        <v>429</v>
      </c>
      <c r="O53" s="39">
        <v>80</v>
      </c>
      <c r="P53" s="36" t="s">
        <v>3708</v>
      </c>
      <c r="Q53" s="36" t="s">
        <v>429</v>
      </c>
      <c r="R53" s="39">
        <v>100</v>
      </c>
      <c r="S53" s="36" t="s">
        <v>3709</v>
      </c>
      <c r="T53" s="36" t="s">
        <v>429</v>
      </c>
      <c r="U53" s="39">
        <v>80</v>
      </c>
      <c r="V53" s="36" t="s">
        <v>1189</v>
      </c>
      <c r="W53" s="36" t="s">
        <v>429</v>
      </c>
      <c r="X53" s="39">
        <v>100</v>
      </c>
      <c r="Y53" s="36" t="s">
        <v>3491</v>
      </c>
      <c r="Z53" s="36" t="s">
        <v>429</v>
      </c>
      <c r="AA53" s="39">
        <v>100</v>
      </c>
      <c r="AB53" s="36" t="s">
        <v>1626</v>
      </c>
      <c r="AC53" s="36" t="s">
        <v>429</v>
      </c>
      <c r="AD53" s="39">
        <v>100</v>
      </c>
      <c r="AE53" s="36" t="s">
        <v>2634</v>
      </c>
      <c r="AF53" s="36" t="s">
        <v>429</v>
      </c>
      <c r="AG53" s="39">
        <v>80</v>
      </c>
      <c r="AH53" s="36" t="s">
        <v>3710</v>
      </c>
      <c r="AI53" s="36" t="s">
        <v>429</v>
      </c>
      <c r="AJ53" s="39">
        <v>100</v>
      </c>
      <c r="AK53" s="36" t="s">
        <v>3711</v>
      </c>
      <c r="AL53" s="36" t="s">
        <v>429</v>
      </c>
      <c r="AM53" s="39">
        <v>80</v>
      </c>
      <c r="AN53" s="36" t="s">
        <v>3712</v>
      </c>
      <c r="AO53" s="36" t="s">
        <v>429</v>
      </c>
      <c r="AP53" s="39">
        <v>70</v>
      </c>
      <c r="AQ53" s="36" t="s">
        <v>3713</v>
      </c>
      <c r="AR53" s="36" t="s">
        <v>429</v>
      </c>
      <c r="AS53" s="39">
        <v>100</v>
      </c>
      <c r="AT53" s="36" t="s">
        <v>3714</v>
      </c>
      <c r="AU53" s="36" t="s">
        <v>429</v>
      </c>
      <c r="AV53" s="39">
        <v>100</v>
      </c>
      <c r="AW53" s="36" t="s">
        <v>3418</v>
      </c>
      <c r="AX53" s="36" t="s">
        <v>429</v>
      </c>
      <c r="AY53" s="39">
        <v>100</v>
      </c>
      <c r="AZ53" s="36" t="s">
        <v>3715</v>
      </c>
      <c r="BA53" s="36" t="s">
        <v>429</v>
      </c>
      <c r="BB53" s="39">
        <v>70</v>
      </c>
      <c r="BC53" s="36" t="s">
        <v>3716</v>
      </c>
      <c r="BD53" s="36" t="s">
        <v>429</v>
      </c>
      <c r="BE53" s="39">
        <v>70</v>
      </c>
      <c r="BF53" s="36" t="s">
        <v>3716</v>
      </c>
      <c r="BG53" s="36" t="s">
        <v>429</v>
      </c>
      <c r="BH53" s="39">
        <v>70</v>
      </c>
      <c r="BI53" s="36" t="s">
        <v>3717</v>
      </c>
      <c r="BJ53" s="36" t="s">
        <v>429</v>
      </c>
      <c r="BK53" s="39">
        <v>60</v>
      </c>
      <c r="BL53" s="36" t="s">
        <v>3718</v>
      </c>
      <c r="BM53" s="36" t="s">
        <v>429</v>
      </c>
      <c r="BN53" s="39">
        <v>80</v>
      </c>
      <c r="BO53" s="36" t="s">
        <v>3719</v>
      </c>
      <c r="BP53" s="36" t="s">
        <v>429</v>
      </c>
      <c r="BQ53" s="39">
        <v>80</v>
      </c>
      <c r="BR53" s="36" t="s">
        <v>3720</v>
      </c>
      <c r="BS53" s="36" t="s">
        <v>429</v>
      </c>
      <c r="BT53" s="39">
        <v>80</v>
      </c>
      <c r="BU53" s="36" t="s">
        <v>3720</v>
      </c>
      <c r="BV53" s="36" t="s">
        <v>429</v>
      </c>
      <c r="BW53" s="39">
        <v>90</v>
      </c>
      <c r="BX53" s="36" t="s">
        <v>3721</v>
      </c>
      <c r="BY53" s="36" t="s">
        <v>429</v>
      </c>
      <c r="BZ53" s="39">
        <v>90</v>
      </c>
      <c r="CA53" s="36" t="s">
        <v>3722</v>
      </c>
      <c r="CB53" s="36" t="s">
        <v>429</v>
      </c>
      <c r="CC53" s="39">
        <v>70</v>
      </c>
      <c r="CD53" s="36" t="s">
        <v>3723</v>
      </c>
      <c r="CE53" s="36" t="s">
        <v>429</v>
      </c>
    </row>
    <row r="54" ht="30" customHeight="1" spans="1:83">
      <c r="A54" s="34" t="s">
        <v>114</v>
      </c>
      <c r="B54" s="34" t="s">
        <v>115</v>
      </c>
      <c r="C54" s="34" t="s">
        <v>14</v>
      </c>
      <c r="D54" s="34" t="s">
        <v>15</v>
      </c>
      <c r="E54" s="34" t="s">
        <v>16</v>
      </c>
      <c r="F54" s="38">
        <v>100</v>
      </c>
      <c r="G54" s="34" t="s">
        <v>3724</v>
      </c>
      <c r="H54" s="34" t="s">
        <v>429</v>
      </c>
      <c r="I54" s="38">
        <v>100</v>
      </c>
      <c r="J54" s="34" t="s">
        <v>3407</v>
      </c>
      <c r="K54" s="34" t="s">
        <v>429</v>
      </c>
      <c r="L54" s="38">
        <v>100</v>
      </c>
      <c r="M54" s="34" t="s">
        <v>3725</v>
      </c>
      <c r="N54" s="34" t="s">
        <v>429</v>
      </c>
      <c r="O54" s="38">
        <v>95</v>
      </c>
      <c r="P54" s="34" t="s">
        <v>3726</v>
      </c>
      <c r="Q54" s="34" t="s">
        <v>429</v>
      </c>
      <c r="R54" s="38">
        <v>80</v>
      </c>
      <c r="S54" s="34" t="s">
        <v>3727</v>
      </c>
      <c r="T54" s="34" t="s">
        <v>429</v>
      </c>
      <c r="U54" s="38">
        <v>90</v>
      </c>
      <c r="V54" s="34" t="s">
        <v>3728</v>
      </c>
      <c r="W54" s="34" t="s">
        <v>429</v>
      </c>
      <c r="X54" s="38">
        <v>70</v>
      </c>
      <c r="Y54" s="34" t="s">
        <v>3729</v>
      </c>
      <c r="Z54" s="34" t="s">
        <v>429</v>
      </c>
      <c r="AA54" s="38">
        <v>100</v>
      </c>
      <c r="AB54" s="34" t="s">
        <v>1155</v>
      </c>
      <c r="AC54" s="34" t="s">
        <v>429</v>
      </c>
      <c r="AD54" s="38">
        <v>100</v>
      </c>
      <c r="AE54" s="34" t="s">
        <v>805</v>
      </c>
      <c r="AF54" s="34" t="s">
        <v>429</v>
      </c>
      <c r="AG54" s="38">
        <v>100</v>
      </c>
      <c r="AH54" s="34" t="s">
        <v>3730</v>
      </c>
      <c r="AI54" s="34" t="s">
        <v>429</v>
      </c>
      <c r="AJ54" s="38">
        <v>90</v>
      </c>
      <c r="AK54" s="34" t="s">
        <v>3374</v>
      </c>
      <c r="AL54" s="34" t="s">
        <v>429</v>
      </c>
      <c r="AM54" s="38">
        <v>90</v>
      </c>
      <c r="AN54" s="34" t="s">
        <v>3375</v>
      </c>
      <c r="AO54" s="34" t="s">
        <v>429</v>
      </c>
      <c r="AP54" s="38">
        <v>80</v>
      </c>
      <c r="AQ54" s="34" t="s">
        <v>3731</v>
      </c>
      <c r="AR54" s="34" t="s">
        <v>429</v>
      </c>
      <c r="AS54" s="38">
        <v>100</v>
      </c>
      <c r="AT54" s="34" t="s">
        <v>3732</v>
      </c>
      <c r="AU54" s="34" t="s">
        <v>429</v>
      </c>
      <c r="AV54" s="34" t="s">
        <v>682</v>
      </c>
      <c r="AW54" s="34" t="s">
        <v>682</v>
      </c>
      <c r="AX54" s="34" t="s">
        <v>681</v>
      </c>
      <c r="AY54" s="38">
        <v>100</v>
      </c>
      <c r="AZ54" s="34" t="s">
        <v>3733</v>
      </c>
      <c r="BA54" s="34" t="s">
        <v>429</v>
      </c>
      <c r="BB54" s="38">
        <v>70</v>
      </c>
      <c r="BC54" s="34" t="s">
        <v>3734</v>
      </c>
      <c r="BD54" s="34" t="s">
        <v>429</v>
      </c>
      <c r="BE54" s="38">
        <v>70</v>
      </c>
      <c r="BF54" s="34" t="s">
        <v>1735</v>
      </c>
      <c r="BG54" s="34" t="s">
        <v>429</v>
      </c>
      <c r="BH54" s="38">
        <v>80</v>
      </c>
      <c r="BI54" s="34" t="s">
        <v>3735</v>
      </c>
      <c r="BJ54" s="34" t="s">
        <v>429</v>
      </c>
      <c r="BK54" s="38">
        <v>70</v>
      </c>
      <c r="BL54" s="34" t="s">
        <v>3736</v>
      </c>
      <c r="BM54" s="34" t="s">
        <v>429</v>
      </c>
      <c r="BN54" s="38">
        <v>90</v>
      </c>
      <c r="BO54" s="34" t="s">
        <v>3737</v>
      </c>
      <c r="BP54" s="34" t="s">
        <v>429</v>
      </c>
      <c r="BQ54" s="38">
        <v>80</v>
      </c>
      <c r="BR54" s="34" t="s">
        <v>3738</v>
      </c>
      <c r="BS54" s="34" t="s">
        <v>429</v>
      </c>
      <c r="BT54" s="38">
        <v>80</v>
      </c>
      <c r="BU54" s="34" t="s">
        <v>3739</v>
      </c>
      <c r="BV54" s="34" t="s">
        <v>429</v>
      </c>
      <c r="BW54" s="38">
        <v>80</v>
      </c>
      <c r="BX54" s="34" t="s">
        <v>3740</v>
      </c>
      <c r="BY54" s="34" t="s">
        <v>429</v>
      </c>
      <c r="BZ54" s="38">
        <v>90</v>
      </c>
      <c r="CA54" s="34" t="s">
        <v>3741</v>
      </c>
      <c r="CB54" s="34" t="s">
        <v>429</v>
      </c>
      <c r="CC54" s="38">
        <v>80</v>
      </c>
      <c r="CD54" s="34" t="s">
        <v>3742</v>
      </c>
      <c r="CE54" s="34" t="s">
        <v>429</v>
      </c>
    </row>
  </sheetData>
  <mergeCells count="33">
    <mergeCell ref="A1:CE1"/>
    <mergeCell ref="A2:CE2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  <mergeCell ref="BQ3:BS3"/>
    <mergeCell ref="BT3:BV3"/>
    <mergeCell ref="BW3:BY3"/>
    <mergeCell ref="BZ3:CB3"/>
    <mergeCell ref="CC3:CE3"/>
    <mergeCell ref="A3:A4"/>
    <mergeCell ref="B3:B4"/>
    <mergeCell ref="C3:C4"/>
    <mergeCell ref="D3:D4"/>
    <mergeCell ref="E3:E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U52"/>
  <sheetViews>
    <sheetView workbookViewId="0">
      <selection activeCell="I54" sqref="I54"/>
    </sheetView>
  </sheetViews>
  <sheetFormatPr defaultColWidth="8.88888888888889" defaultRowHeight="14.4"/>
  <sheetData>
    <row r="2" ht="78" spans="3:21">
      <c r="C2" s="40" t="s">
        <v>2741</v>
      </c>
      <c r="D2" s="40" t="s">
        <v>2742</v>
      </c>
      <c r="E2" s="40" t="s">
        <v>2744</v>
      </c>
      <c r="F2" s="40" t="s">
        <v>2745</v>
      </c>
      <c r="G2" s="40" t="s">
        <v>2747</v>
      </c>
      <c r="H2" s="40" t="s">
        <v>2748</v>
      </c>
      <c r="I2" s="40" t="s">
        <v>2750</v>
      </c>
      <c r="J2" s="40" t="s">
        <v>2753</v>
      </c>
      <c r="K2" s="40" t="s">
        <v>2754</v>
      </c>
      <c r="L2" s="40" t="s">
        <v>2755</v>
      </c>
      <c r="M2" s="40" t="s">
        <v>2757</v>
      </c>
      <c r="N2" s="40" t="s">
        <v>2758</v>
      </c>
      <c r="O2" s="40" t="s">
        <v>2759</v>
      </c>
      <c r="P2" s="40" t="s">
        <v>2764</v>
      </c>
      <c r="Q2" s="40" t="s">
        <v>2760</v>
      </c>
      <c r="R2" s="40" t="s">
        <v>2761</v>
      </c>
      <c r="S2" s="40" t="s">
        <v>2762</v>
      </c>
      <c r="T2" s="40" t="s">
        <v>2763</v>
      </c>
      <c r="U2" s="40" t="s">
        <v>2765</v>
      </c>
    </row>
    <row r="3" ht="15.6" spans="3:21">
      <c r="C3" s="41">
        <v>80</v>
      </c>
      <c r="D3" s="41">
        <v>80</v>
      </c>
      <c r="E3" s="41">
        <v>100</v>
      </c>
      <c r="F3" s="41">
        <v>80</v>
      </c>
      <c r="G3" s="41">
        <v>80</v>
      </c>
      <c r="H3" s="41">
        <v>80</v>
      </c>
      <c r="I3" s="41" t="s">
        <v>682</v>
      </c>
      <c r="J3" s="41">
        <v>100</v>
      </c>
      <c r="K3" s="41">
        <v>100</v>
      </c>
      <c r="L3" s="41" t="s">
        <v>682</v>
      </c>
      <c r="M3" s="41">
        <v>80</v>
      </c>
      <c r="N3" s="41">
        <v>60</v>
      </c>
      <c r="O3" s="41">
        <v>90</v>
      </c>
      <c r="P3" s="41">
        <v>90</v>
      </c>
      <c r="Q3" s="41">
        <v>80</v>
      </c>
      <c r="R3" s="41">
        <v>100</v>
      </c>
      <c r="S3" s="41">
        <v>80</v>
      </c>
      <c r="T3" s="41">
        <v>80</v>
      </c>
      <c r="U3" s="41" t="s">
        <v>682</v>
      </c>
    </row>
    <row r="4" ht="15.6" spans="3:21">
      <c r="C4" s="42">
        <v>100</v>
      </c>
      <c r="D4" s="42">
        <v>100</v>
      </c>
      <c r="E4" s="42">
        <v>100</v>
      </c>
      <c r="F4" s="42">
        <v>90</v>
      </c>
      <c r="G4" s="42">
        <v>100</v>
      </c>
      <c r="H4" s="42">
        <v>100</v>
      </c>
      <c r="I4" s="42">
        <v>100</v>
      </c>
      <c r="J4" s="42">
        <v>100</v>
      </c>
      <c r="K4" s="42">
        <v>100</v>
      </c>
      <c r="L4" s="42">
        <v>100</v>
      </c>
      <c r="M4" s="42">
        <v>80</v>
      </c>
      <c r="N4" s="42">
        <v>70</v>
      </c>
      <c r="O4" s="42">
        <v>70</v>
      </c>
      <c r="P4" s="42">
        <v>90</v>
      </c>
      <c r="Q4" s="42">
        <v>80</v>
      </c>
      <c r="R4" s="42">
        <v>70</v>
      </c>
      <c r="S4" s="42">
        <v>70</v>
      </c>
      <c r="T4" s="42">
        <v>80</v>
      </c>
      <c r="U4" s="42" t="s">
        <v>682</v>
      </c>
    </row>
    <row r="5" ht="15.6" spans="3:21">
      <c r="C5" s="41">
        <v>100</v>
      </c>
      <c r="D5" s="41">
        <v>100</v>
      </c>
      <c r="E5" s="41">
        <v>100</v>
      </c>
      <c r="F5" s="41">
        <v>80</v>
      </c>
      <c r="G5" s="41">
        <v>100</v>
      </c>
      <c r="H5" s="41">
        <v>100</v>
      </c>
      <c r="I5" s="41">
        <v>80</v>
      </c>
      <c r="J5" s="41">
        <v>100</v>
      </c>
      <c r="K5" s="41">
        <v>100</v>
      </c>
      <c r="L5" s="41">
        <v>100</v>
      </c>
      <c r="M5" s="41">
        <v>80</v>
      </c>
      <c r="N5" s="41">
        <v>70</v>
      </c>
      <c r="O5" s="41">
        <v>70</v>
      </c>
      <c r="P5" s="41">
        <v>90</v>
      </c>
      <c r="Q5" s="41">
        <v>100</v>
      </c>
      <c r="R5" s="41">
        <v>80</v>
      </c>
      <c r="S5" s="41">
        <v>80</v>
      </c>
      <c r="T5" s="41">
        <v>80</v>
      </c>
      <c r="U5" s="41">
        <v>80</v>
      </c>
    </row>
    <row r="6" ht="15.6" spans="3:21">
      <c r="C6" s="42">
        <v>100</v>
      </c>
      <c r="D6" s="42">
        <v>100</v>
      </c>
      <c r="E6" s="42">
        <v>100</v>
      </c>
      <c r="F6" s="42">
        <v>100</v>
      </c>
      <c r="G6" s="42">
        <v>100</v>
      </c>
      <c r="H6" s="42">
        <v>100</v>
      </c>
      <c r="I6" s="42">
        <v>100</v>
      </c>
      <c r="J6" s="42">
        <v>100</v>
      </c>
      <c r="K6" s="42">
        <v>100</v>
      </c>
      <c r="L6" s="42">
        <v>100</v>
      </c>
      <c r="M6" s="42">
        <v>80</v>
      </c>
      <c r="N6" s="42">
        <v>100</v>
      </c>
      <c r="O6" s="42">
        <v>80</v>
      </c>
      <c r="P6" s="42">
        <v>90</v>
      </c>
      <c r="Q6" s="42">
        <v>100</v>
      </c>
      <c r="R6" s="42">
        <v>90</v>
      </c>
      <c r="S6" s="42">
        <v>90</v>
      </c>
      <c r="T6" s="42">
        <v>90</v>
      </c>
      <c r="U6" s="42">
        <v>80</v>
      </c>
    </row>
    <row r="7" ht="15.6" spans="3:21">
      <c r="C7" s="41">
        <v>80</v>
      </c>
      <c r="D7" s="41">
        <v>80</v>
      </c>
      <c r="E7" s="41">
        <v>100</v>
      </c>
      <c r="F7" s="41">
        <v>90</v>
      </c>
      <c r="G7" s="41">
        <v>100</v>
      </c>
      <c r="H7" s="41">
        <v>100</v>
      </c>
      <c r="I7" s="41">
        <v>100</v>
      </c>
      <c r="J7" s="41" t="s">
        <v>682</v>
      </c>
      <c r="K7" s="41">
        <v>100</v>
      </c>
      <c r="L7" s="41">
        <v>100</v>
      </c>
      <c r="M7" s="41">
        <v>80</v>
      </c>
      <c r="N7" s="41">
        <v>100</v>
      </c>
      <c r="O7" s="41">
        <v>80</v>
      </c>
      <c r="P7" s="41">
        <v>90</v>
      </c>
      <c r="Q7" s="41">
        <v>100</v>
      </c>
      <c r="R7" s="41">
        <v>100</v>
      </c>
      <c r="S7" s="41">
        <v>90</v>
      </c>
      <c r="T7" s="41">
        <v>90</v>
      </c>
      <c r="U7" s="41">
        <v>80</v>
      </c>
    </row>
    <row r="8" ht="15.6" spans="3:21">
      <c r="C8" s="42">
        <v>100</v>
      </c>
      <c r="D8" s="42">
        <v>100</v>
      </c>
      <c r="E8" s="42">
        <v>100</v>
      </c>
      <c r="F8" s="42">
        <v>90</v>
      </c>
      <c r="G8" s="42">
        <v>100</v>
      </c>
      <c r="H8" s="42">
        <v>100</v>
      </c>
      <c r="I8" s="42">
        <v>100</v>
      </c>
      <c r="J8" s="42">
        <v>100</v>
      </c>
      <c r="K8" s="42">
        <v>100</v>
      </c>
      <c r="L8" s="42">
        <v>100</v>
      </c>
      <c r="M8" s="42">
        <v>80</v>
      </c>
      <c r="N8" s="42">
        <v>80</v>
      </c>
      <c r="O8" s="42">
        <v>70</v>
      </c>
      <c r="P8" s="42">
        <v>90</v>
      </c>
      <c r="Q8" s="42">
        <v>100</v>
      </c>
      <c r="R8" s="42">
        <v>90</v>
      </c>
      <c r="S8" s="42">
        <v>80</v>
      </c>
      <c r="T8" s="42">
        <v>80</v>
      </c>
      <c r="U8" s="42">
        <v>80</v>
      </c>
    </row>
    <row r="9" ht="15.6" spans="3:21">
      <c r="C9" s="41">
        <v>100</v>
      </c>
      <c r="D9" s="41">
        <v>80</v>
      </c>
      <c r="E9" s="41">
        <v>100</v>
      </c>
      <c r="F9" s="41">
        <v>80</v>
      </c>
      <c r="G9" s="41">
        <v>100</v>
      </c>
      <c r="H9" s="41">
        <v>100</v>
      </c>
      <c r="I9" s="41" t="s">
        <v>682</v>
      </c>
      <c r="J9" s="41">
        <v>100</v>
      </c>
      <c r="K9" s="41">
        <v>100</v>
      </c>
      <c r="L9" s="41">
        <v>100</v>
      </c>
      <c r="M9" s="41">
        <v>70</v>
      </c>
      <c r="N9" s="41">
        <v>50</v>
      </c>
      <c r="O9" s="41">
        <v>60</v>
      </c>
      <c r="P9" s="41">
        <v>90</v>
      </c>
      <c r="Q9" s="41">
        <v>90</v>
      </c>
      <c r="R9" s="41">
        <v>90</v>
      </c>
      <c r="S9" s="41">
        <v>80</v>
      </c>
      <c r="T9" s="41">
        <v>90</v>
      </c>
      <c r="U9" s="41">
        <v>80</v>
      </c>
    </row>
    <row r="10" ht="15.6" spans="3:21">
      <c r="C10" s="42">
        <v>100</v>
      </c>
      <c r="D10" s="42">
        <v>80</v>
      </c>
      <c r="E10" s="42">
        <v>100</v>
      </c>
      <c r="F10" s="42">
        <v>80</v>
      </c>
      <c r="G10" s="42">
        <v>100</v>
      </c>
      <c r="H10" s="42">
        <v>100</v>
      </c>
      <c r="I10" s="42">
        <v>90</v>
      </c>
      <c r="J10" s="42">
        <v>100</v>
      </c>
      <c r="K10" s="42">
        <v>100</v>
      </c>
      <c r="L10" s="42">
        <v>90</v>
      </c>
      <c r="M10" s="42">
        <v>80</v>
      </c>
      <c r="N10" s="42">
        <v>60</v>
      </c>
      <c r="O10" s="42">
        <v>60</v>
      </c>
      <c r="P10" s="42">
        <v>90</v>
      </c>
      <c r="Q10" s="42">
        <v>100</v>
      </c>
      <c r="R10" s="42">
        <v>90</v>
      </c>
      <c r="S10" s="42">
        <v>80</v>
      </c>
      <c r="T10" s="42">
        <v>90</v>
      </c>
      <c r="U10" s="42">
        <v>80</v>
      </c>
    </row>
    <row r="11" ht="15.6" spans="3:21">
      <c r="C11" s="41">
        <v>80</v>
      </c>
      <c r="D11" s="41">
        <v>80</v>
      </c>
      <c r="E11" s="41" t="s">
        <v>682</v>
      </c>
      <c r="F11" s="41" t="s">
        <v>682</v>
      </c>
      <c r="G11" s="41" t="s">
        <v>682</v>
      </c>
      <c r="H11" s="41" t="s">
        <v>682</v>
      </c>
      <c r="I11" s="41" t="s">
        <v>682</v>
      </c>
      <c r="J11" s="41" t="s">
        <v>682</v>
      </c>
      <c r="K11" s="41" t="s">
        <v>682</v>
      </c>
      <c r="L11" s="41" t="s">
        <v>682</v>
      </c>
      <c r="M11" s="41" t="s">
        <v>682</v>
      </c>
      <c r="N11" s="41" t="s">
        <v>682</v>
      </c>
      <c r="O11" s="41" t="s">
        <v>682</v>
      </c>
      <c r="P11" s="41" t="s">
        <v>682</v>
      </c>
      <c r="Q11" s="41" t="s">
        <v>682</v>
      </c>
      <c r="R11" s="41" t="s">
        <v>682</v>
      </c>
      <c r="S11" s="41" t="s">
        <v>682</v>
      </c>
      <c r="T11" s="41" t="s">
        <v>682</v>
      </c>
      <c r="U11" s="41" t="s">
        <v>682</v>
      </c>
    </row>
    <row r="12" ht="15.6" spans="3:21">
      <c r="C12" s="42">
        <v>100</v>
      </c>
      <c r="D12" s="42">
        <v>100</v>
      </c>
      <c r="E12" s="42">
        <v>100</v>
      </c>
      <c r="F12" s="42">
        <v>80</v>
      </c>
      <c r="G12" s="42">
        <v>100</v>
      </c>
      <c r="H12" s="42">
        <v>100</v>
      </c>
      <c r="I12" s="42">
        <v>90</v>
      </c>
      <c r="J12" s="42">
        <v>100</v>
      </c>
      <c r="K12" s="42">
        <v>100</v>
      </c>
      <c r="L12" s="42">
        <v>100</v>
      </c>
      <c r="M12" s="42">
        <v>80</v>
      </c>
      <c r="N12" s="42">
        <v>70</v>
      </c>
      <c r="O12" s="42">
        <v>60</v>
      </c>
      <c r="P12" s="42">
        <v>90</v>
      </c>
      <c r="Q12" s="42">
        <v>100</v>
      </c>
      <c r="R12" s="42">
        <v>70</v>
      </c>
      <c r="S12" s="42">
        <v>80</v>
      </c>
      <c r="T12" s="42">
        <v>90</v>
      </c>
      <c r="U12" s="42">
        <v>70</v>
      </c>
    </row>
    <row r="13" ht="15.6" spans="3:21">
      <c r="C13" s="41">
        <v>100</v>
      </c>
      <c r="D13" s="41">
        <v>80</v>
      </c>
      <c r="E13" s="41">
        <v>100</v>
      </c>
      <c r="F13" s="41">
        <v>100</v>
      </c>
      <c r="G13" s="41">
        <v>100</v>
      </c>
      <c r="H13" s="41">
        <v>100</v>
      </c>
      <c r="I13" s="41">
        <v>80</v>
      </c>
      <c r="J13" s="41">
        <v>80</v>
      </c>
      <c r="K13" s="41">
        <v>100</v>
      </c>
      <c r="L13" s="41">
        <v>100</v>
      </c>
      <c r="M13" s="41">
        <v>60</v>
      </c>
      <c r="N13" s="41">
        <v>50</v>
      </c>
      <c r="O13" s="41">
        <v>70</v>
      </c>
      <c r="P13" s="41">
        <v>90</v>
      </c>
      <c r="Q13" s="41">
        <v>100</v>
      </c>
      <c r="R13" s="41">
        <v>100</v>
      </c>
      <c r="S13" s="41">
        <v>80</v>
      </c>
      <c r="T13" s="41">
        <v>80</v>
      </c>
      <c r="U13" s="41">
        <v>80</v>
      </c>
    </row>
    <row r="14" ht="15.6" spans="3:21">
      <c r="C14" s="42">
        <v>100</v>
      </c>
      <c r="D14" s="42">
        <v>100</v>
      </c>
      <c r="E14" s="42">
        <v>100</v>
      </c>
      <c r="F14" s="42">
        <v>100</v>
      </c>
      <c r="G14" s="42">
        <v>100</v>
      </c>
      <c r="H14" s="42">
        <v>100</v>
      </c>
      <c r="I14" s="42">
        <v>100</v>
      </c>
      <c r="J14" s="42">
        <v>100</v>
      </c>
      <c r="K14" s="42">
        <v>100</v>
      </c>
      <c r="L14" s="42">
        <v>100</v>
      </c>
      <c r="M14" s="42">
        <v>80</v>
      </c>
      <c r="N14" s="42">
        <v>70</v>
      </c>
      <c r="O14" s="42">
        <v>60</v>
      </c>
      <c r="P14" s="42">
        <v>100</v>
      </c>
      <c r="Q14" s="42">
        <v>100</v>
      </c>
      <c r="R14" s="42">
        <v>100</v>
      </c>
      <c r="S14" s="42">
        <v>90</v>
      </c>
      <c r="T14" s="42">
        <v>90</v>
      </c>
      <c r="U14" s="42">
        <v>80</v>
      </c>
    </row>
    <row r="15" ht="15.6" spans="3:21">
      <c r="C15" s="41">
        <v>100</v>
      </c>
      <c r="D15" s="41">
        <v>80</v>
      </c>
      <c r="E15" s="41">
        <v>100</v>
      </c>
      <c r="F15" s="41">
        <v>80</v>
      </c>
      <c r="G15" s="41">
        <v>100</v>
      </c>
      <c r="H15" s="41">
        <v>100</v>
      </c>
      <c r="I15" s="41">
        <v>90</v>
      </c>
      <c r="J15" s="41">
        <v>80</v>
      </c>
      <c r="K15" s="41">
        <v>100</v>
      </c>
      <c r="L15" s="41">
        <v>80</v>
      </c>
      <c r="M15" s="41">
        <v>80</v>
      </c>
      <c r="N15" s="41">
        <v>60</v>
      </c>
      <c r="O15" s="41">
        <v>60</v>
      </c>
      <c r="P15" s="41">
        <v>90</v>
      </c>
      <c r="Q15" s="41">
        <v>100</v>
      </c>
      <c r="R15" s="41">
        <v>90</v>
      </c>
      <c r="S15" s="41">
        <v>80</v>
      </c>
      <c r="T15" s="41">
        <v>90</v>
      </c>
      <c r="U15" s="41">
        <v>70</v>
      </c>
    </row>
    <row r="16" ht="15.6" spans="3:21">
      <c r="C16" s="42">
        <v>100</v>
      </c>
      <c r="D16" s="42">
        <v>100</v>
      </c>
      <c r="E16" s="42">
        <v>100</v>
      </c>
      <c r="F16" s="42">
        <v>80</v>
      </c>
      <c r="G16" s="42">
        <v>80</v>
      </c>
      <c r="H16" s="42">
        <v>80</v>
      </c>
      <c r="I16" s="42">
        <v>80</v>
      </c>
      <c r="J16" s="42">
        <v>100</v>
      </c>
      <c r="K16" s="42">
        <v>100</v>
      </c>
      <c r="L16" s="42">
        <v>100</v>
      </c>
      <c r="M16" s="42">
        <v>60</v>
      </c>
      <c r="N16" s="42">
        <v>60</v>
      </c>
      <c r="O16" s="42">
        <v>70</v>
      </c>
      <c r="P16" s="42">
        <v>90</v>
      </c>
      <c r="Q16" s="42">
        <v>100</v>
      </c>
      <c r="R16" s="42">
        <v>100</v>
      </c>
      <c r="S16" s="42">
        <v>90</v>
      </c>
      <c r="T16" s="42">
        <v>80</v>
      </c>
      <c r="U16" s="42">
        <v>80</v>
      </c>
    </row>
    <row r="17" ht="15.6" spans="3:21">
      <c r="C17" s="41">
        <v>100</v>
      </c>
      <c r="D17" s="41">
        <v>100</v>
      </c>
      <c r="E17" s="41">
        <v>100</v>
      </c>
      <c r="F17" s="41">
        <v>90</v>
      </c>
      <c r="G17" s="41">
        <v>100</v>
      </c>
      <c r="H17" s="41">
        <v>100</v>
      </c>
      <c r="I17" s="41">
        <v>100</v>
      </c>
      <c r="J17" s="41">
        <v>100</v>
      </c>
      <c r="K17" s="41">
        <v>100</v>
      </c>
      <c r="L17" s="41">
        <v>100</v>
      </c>
      <c r="M17" s="41">
        <v>80</v>
      </c>
      <c r="N17" s="41">
        <v>70</v>
      </c>
      <c r="O17" s="41">
        <v>60</v>
      </c>
      <c r="P17" s="41">
        <v>90</v>
      </c>
      <c r="Q17" s="41">
        <v>100</v>
      </c>
      <c r="R17" s="41">
        <v>100</v>
      </c>
      <c r="S17" s="41">
        <v>90</v>
      </c>
      <c r="T17" s="41">
        <v>90</v>
      </c>
      <c r="U17" s="41">
        <v>80</v>
      </c>
    </row>
    <row r="18" ht="15.6" spans="3:21">
      <c r="C18" s="42">
        <v>100</v>
      </c>
      <c r="D18" s="42">
        <v>100</v>
      </c>
      <c r="E18" s="42">
        <v>100</v>
      </c>
      <c r="F18" s="42">
        <v>90</v>
      </c>
      <c r="G18" s="42">
        <v>90</v>
      </c>
      <c r="H18" s="42">
        <v>90</v>
      </c>
      <c r="I18" s="42">
        <v>90</v>
      </c>
      <c r="J18" s="42">
        <v>100</v>
      </c>
      <c r="K18" s="42">
        <v>100</v>
      </c>
      <c r="L18" s="42">
        <v>80</v>
      </c>
      <c r="M18" s="42">
        <v>80</v>
      </c>
      <c r="N18" s="42">
        <v>100</v>
      </c>
      <c r="O18" s="42">
        <v>80</v>
      </c>
      <c r="P18" s="42">
        <v>90</v>
      </c>
      <c r="Q18" s="42">
        <v>80</v>
      </c>
      <c r="R18" s="42">
        <v>100</v>
      </c>
      <c r="S18" s="42">
        <v>80</v>
      </c>
      <c r="T18" s="42">
        <v>90</v>
      </c>
      <c r="U18" s="42">
        <v>80</v>
      </c>
    </row>
    <row r="19" ht="15.6" spans="3:21">
      <c r="C19" s="41">
        <v>100</v>
      </c>
      <c r="D19" s="41">
        <v>100</v>
      </c>
      <c r="E19" s="41">
        <v>100</v>
      </c>
      <c r="F19" s="41">
        <v>90</v>
      </c>
      <c r="G19" s="41">
        <v>100</v>
      </c>
      <c r="H19" s="41">
        <v>100</v>
      </c>
      <c r="I19" s="41">
        <v>80</v>
      </c>
      <c r="J19" s="41">
        <v>100</v>
      </c>
      <c r="K19" s="41">
        <v>100</v>
      </c>
      <c r="L19" s="41">
        <v>80</v>
      </c>
      <c r="M19" s="41">
        <v>70</v>
      </c>
      <c r="N19" s="41">
        <v>100</v>
      </c>
      <c r="O19" s="41">
        <v>80</v>
      </c>
      <c r="P19" s="41">
        <v>90</v>
      </c>
      <c r="Q19" s="41">
        <v>100</v>
      </c>
      <c r="R19" s="41">
        <v>90</v>
      </c>
      <c r="S19" s="41">
        <v>70</v>
      </c>
      <c r="T19" s="41">
        <v>90</v>
      </c>
      <c r="U19" s="41">
        <v>80</v>
      </c>
    </row>
    <row r="20" ht="15.6" spans="3:21">
      <c r="C20" s="42" t="s">
        <v>682</v>
      </c>
      <c r="D20" s="42" t="s">
        <v>682</v>
      </c>
      <c r="E20" s="42" t="s">
        <v>682</v>
      </c>
      <c r="F20" s="42" t="s">
        <v>682</v>
      </c>
      <c r="G20" s="42" t="s">
        <v>682</v>
      </c>
      <c r="H20" s="42" t="s">
        <v>682</v>
      </c>
      <c r="I20" s="42" t="s">
        <v>682</v>
      </c>
      <c r="J20" s="42" t="s">
        <v>682</v>
      </c>
      <c r="K20" s="42" t="s">
        <v>682</v>
      </c>
      <c r="L20" s="42" t="s">
        <v>682</v>
      </c>
      <c r="M20" s="42" t="s">
        <v>682</v>
      </c>
      <c r="N20" s="42">
        <v>70</v>
      </c>
      <c r="O20" s="42">
        <v>90</v>
      </c>
      <c r="P20" s="42">
        <v>90</v>
      </c>
      <c r="Q20" s="42">
        <v>80</v>
      </c>
      <c r="R20" s="42">
        <v>80</v>
      </c>
      <c r="S20" s="42">
        <v>80</v>
      </c>
      <c r="T20" s="42">
        <v>80</v>
      </c>
      <c r="U20" s="42" t="s">
        <v>682</v>
      </c>
    </row>
    <row r="21" ht="15.6" spans="3:21">
      <c r="C21" s="41">
        <v>80</v>
      </c>
      <c r="D21" s="41">
        <v>100</v>
      </c>
      <c r="E21" s="41">
        <v>60</v>
      </c>
      <c r="F21" s="41">
        <v>80</v>
      </c>
      <c r="G21" s="41">
        <v>100</v>
      </c>
      <c r="H21" s="41">
        <v>100</v>
      </c>
      <c r="I21" s="41">
        <v>100</v>
      </c>
      <c r="J21" s="41">
        <v>80</v>
      </c>
      <c r="K21" s="41">
        <v>100</v>
      </c>
      <c r="L21" s="41">
        <v>100</v>
      </c>
      <c r="M21" s="41">
        <v>50</v>
      </c>
      <c r="N21" s="41">
        <v>100</v>
      </c>
      <c r="O21" s="41">
        <v>50</v>
      </c>
      <c r="P21" s="41">
        <v>90</v>
      </c>
      <c r="Q21" s="41">
        <v>90</v>
      </c>
      <c r="R21" s="41">
        <v>80</v>
      </c>
      <c r="S21" s="41">
        <v>70</v>
      </c>
      <c r="T21" s="41">
        <v>80</v>
      </c>
      <c r="U21" s="41">
        <v>70</v>
      </c>
    </row>
    <row r="22" ht="15.6" spans="3:21">
      <c r="C22" s="42">
        <v>100</v>
      </c>
      <c r="D22" s="42">
        <v>80</v>
      </c>
      <c r="E22" s="42">
        <v>100</v>
      </c>
      <c r="F22" s="42">
        <v>80</v>
      </c>
      <c r="G22" s="42">
        <v>100</v>
      </c>
      <c r="H22" s="42">
        <v>100</v>
      </c>
      <c r="I22" s="42">
        <v>80</v>
      </c>
      <c r="J22" s="42">
        <v>100</v>
      </c>
      <c r="K22" s="42">
        <v>100</v>
      </c>
      <c r="L22" s="42">
        <v>100</v>
      </c>
      <c r="M22" s="42">
        <v>50</v>
      </c>
      <c r="N22" s="42">
        <v>60</v>
      </c>
      <c r="O22" s="42">
        <v>90</v>
      </c>
      <c r="P22" s="42">
        <v>90</v>
      </c>
      <c r="Q22" s="42">
        <v>100</v>
      </c>
      <c r="R22" s="42">
        <v>70</v>
      </c>
      <c r="S22" s="42">
        <v>70</v>
      </c>
      <c r="T22" s="42">
        <v>90</v>
      </c>
      <c r="U22" s="42">
        <v>70</v>
      </c>
    </row>
    <row r="23" ht="15.6" spans="3:21">
      <c r="C23" s="41">
        <v>100</v>
      </c>
      <c r="D23" s="41">
        <v>100</v>
      </c>
      <c r="E23" s="41">
        <v>100</v>
      </c>
      <c r="F23" s="41">
        <v>60</v>
      </c>
      <c r="G23" s="41">
        <v>100</v>
      </c>
      <c r="H23" s="41">
        <v>100</v>
      </c>
      <c r="I23" s="41">
        <v>80</v>
      </c>
      <c r="J23" s="41">
        <v>80</v>
      </c>
      <c r="K23" s="41">
        <v>90</v>
      </c>
      <c r="L23" s="41">
        <v>90</v>
      </c>
      <c r="M23" s="41">
        <v>80</v>
      </c>
      <c r="N23" s="41">
        <v>80</v>
      </c>
      <c r="O23" s="41">
        <v>70</v>
      </c>
      <c r="P23" s="41">
        <v>90</v>
      </c>
      <c r="Q23" s="41">
        <v>80</v>
      </c>
      <c r="R23" s="41">
        <v>90</v>
      </c>
      <c r="S23" s="41">
        <v>90</v>
      </c>
      <c r="T23" s="41">
        <v>80</v>
      </c>
      <c r="U23" s="41">
        <v>70</v>
      </c>
    </row>
    <row r="24" ht="15.6" spans="3:21">
      <c r="C24" s="42">
        <v>100</v>
      </c>
      <c r="D24" s="42">
        <v>80</v>
      </c>
      <c r="E24" s="42">
        <v>100</v>
      </c>
      <c r="F24" s="42">
        <v>80</v>
      </c>
      <c r="G24" s="42">
        <v>100</v>
      </c>
      <c r="H24" s="42">
        <v>100</v>
      </c>
      <c r="I24" s="42">
        <v>90</v>
      </c>
      <c r="J24" s="42">
        <v>100</v>
      </c>
      <c r="K24" s="42">
        <v>100</v>
      </c>
      <c r="L24" s="42">
        <v>100</v>
      </c>
      <c r="M24" s="42">
        <v>50</v>
      </c>
      <c r="N24" s="42">
        <v>80</v>
      </c>
      <c r="O24" s="42">
        <v>90</v>
      </c>
      <c r="P24" s="42">
        <v>90</v>
      </c>
      <c r="Q24" s="42">
        <v>100</v>
      </c>
      <c r="R24" s="42">
        <v>90</v>
      </c>
      <c r="S24" s="42">
        <v>80</v>
      </c>
      <c r="T24" s="42">
        <v>80</v>
      </c>
      <c r="U24" s="42" t="s">
        <v>682</v>
      </c>
    </row>
    <row r="25" ht="15.6" spans="3:21">
      <c r="C25" s="41">
        <v>100</v>
      </c>
      <c r="D25" s="41">
        <v>80</v>
      </c>
      <c r="E25" s="41">
        <v>100</v>
      </c>
      <c r="F25" s="41">
        <v>80</v>
      </c>
      <c r="G25" s="41">
        <v>80</v>
      </c>
      <c r="H25" s="41">
        <v>80</v>
      </c>
      <c r="I25" s="41">
        <v>100</v>
      </c>
      <c r="J25" s="41">
        <v>100</v>
      </c>
      <c r="K25" s="41">
        <v>100</v>
      </c>
      <c r="L25" s="41">
        <v>100</v>
      </c>
      <c r="M25" s="41">
        <v>80</v>
      </c>
      <c r="N25" s="41">
        <v>80</v>
      </c>
      <c r="O25" s="41">
        <v>80</v>
      </c>
      <c r="P25" s="41">
        <v>90</v>
      </c>
      <c r="Q25" s="41">
        <v>100</v>
      </c>
      <c r="R25" s="41">
        <v>90</v>
      </c>
      <c r="S25" s="41">
        <v>80</v>
      </c>
      <c r="T25" s="41">
        <v>80</v>
      </c>
      <c r="U25" s="41">
        <v>70</v>
      </c>
    </row>
    <row r="26" ht="15.6" spans="3:21">
      <c r="C26" s="42">
        <v>100</v>
      </c>
      <c r="D26" s="42">
        <v>100</v>
      </c>
      <c r="E26" s="42">
        <v>100</v>
      </c>
      <c r="F26" s="42">
        <v>90</v>
      </c>
      <c r="G26" s="42">
        <v>100</v>
      </c>
      <c r="H26" s="42">
        <v>100</v>
      </c>
      <c r="I26" s="42">
        <v>100</v>
      </c>
      <c r="J26" s="42">
        <v>100</v>
      </c>
      <c r="K26" s="42">
        <v>100</v>
      </c>
      <c r="L26" s="42">
        <v>100</v>
      </c>
      <c r="M26" s="42">
        <v>50</v>
      </c>
      <c r="N26" s="42">
        <v>100</v>
      </c>
      <c r="O26" s="42">
        <v>70</v>
      </c>
      <c r="P26" s="42">
        <v>90</v>
      </c>
      <c r="Q26" s="42">
        <v>90</v>
      </c>
      <c r="R26" s="42">
        <v>80</v>
      </c>
      <c r="S26" s="42">
        <v>80</v>
      </c>
      <c r="T26" s="42">
        <v>80</v>
      </c>
      <c r="U26" s="42">
        <v>80</v>
      </c>
    </row>
    <row r="27" ht="15.6" spans="3:21">
      <c r="C27" s="41">
        <v>100</v>
      </c>
      <c r="D27" s="41">
        <v>80</v>
      </c>
      <c r="E27" s="41">
        <v>100</v>
      </c>
      <c r="F27" s="41">
        <v>90</v>
      </c>
      <c r="G27" s="41">
        <v>100</v>
      </c>
      <c r="H27" s="41">
        <v>100</v>
      </c>
      <c r="I27" s="41">
        <v>90</v>
      </c>
      <c r="J27" s="41">
        <v>80</v>
      </c>
      <c r="K27" s="41">
        <v>100</v>
      </c>
      <c r="L27" s="41">
        <v>100</v>
      </c>
      <c r="M27" s="41">
        <v>80</v>
      </c>
      <c r="N27" s="41">
        <v>70</v>
      </c>
      <c r="O27" s="41">
        <v>90</v>
      </c>
      <c r="P27" s="41">
        <v>90</v>
      </c>
      <c r="Q27" s="41">
        <v>100</v>
      </c>
      <c r="R27" s="41">
        <v>100</v>
      </c>
      <c r="S27" s="41">
        <v>90</v>
      </c>
      <c r="T27" s="41">
        <v>80</v>
      </c>
      <c r="U27" s="41">
        <v>80</v>
      </c>
    </row>
    <row r="28" ht="15.6" spans="3:21">
      <c r="C28" s="42">
        <v>100</v>
      </c>
      <c r="D28" s="42">
        <v>100</v>
      </c>
      <c r="E28" s="42">
        <v>100</v>
      </c>
      <c r="F28" s="42">
        <v>90</v>
      </c>
      <c r="G28" s="42">
        <v>100</v>
      </c>
      <c r="H28" s="42">
        <v>100</v>
      </c>
      <c r="I28" s="42">
        <v>80</v>
      </c>
      <c r="J28" s="42">
        <v>100</v>
      </c>
      <c r="K28" s="42">
        <v>100</v>
      </c>
      <c r="L28" s="42">
        <v>100</v>
      </c>
      <c r="M28" s="42">
        <v>60</v>
      </c>
      <c r="N28" s="42">
        <v>100</v>
      </c>
      <c r="O28" s="42">
        <v>70</v>
      </c>
      <c r="P28" s="42">
        <v>90</v>
      </c>
      <c r="Q28" s="42">
        <v>100</v>
      </c>
      <c r="R28" s="42">
        <v>90</v>
      </c>
      <c r="S28" s="42">
        <v>80</v>
      </c>
      <c r="T28" s="42">
        <v>80</v>
      </c>
      <c r="U28" s="42">
        <v>80</v>
      </c>
    </row>
    <row r="29" ht="15.6" spans="3:21">
      <c r="C29" s="41">
        <v>100</v>
      </c>
      <c r="D29" s="41">
        <v>100</v>
      </c>
      <c r="E29" s="41">
        <v>100</v>
      </c>
      <c r="F29" s="41">
        <v>90</v>
      </c>
      <c r="G29" s="41">
        <v>100</v>
      </c>
      <c r="H29" s="41">
        <v>100</v>
      </c>
      <c r="I29" s="41">
        <v>100</v>
      </c>
      <c r="J29" s="41">
        <v>100</v>
      </c>
      <c r="K29" s="41">
        <v>100</v>
      </c>
      <c r="L29" s="41">
        <v>100</v>
      </c>
      <c r="M29" s="41">
        <v>80</v>
      </c>
      <c r="N29" s="41">
        <v>100</v>
      </c>
      <c r="O29" s="41">
        <v>80</v>
      </c>
      <c r="P29" s="41">
        <v>90</v>
      </c>
      <c r="Q29" s="41">
        <v>100</v>
      </c>
      <c r="R29" s="41">
        <v>90</v>
      </c>
      <c r="S29" s="41">
        <v>70</v>
      </c>
      <c r="T29" s="41">
        <v>90</v>
      </c>
      <c r="U29" s="41" t="s">
        <v>682</v>
      </c>
    </row>
    <row r="30" ht="15.6" spans="3:21">
      <c r="C30" s="42">
        <v>100</v>
      </c>
      <c r="D30" s="42">
        <v>80</v>
      </c>
      <c r="E30" s="42">
        <v>100</v>
      </c>
      <c r="F30" s="42">
        <v>80</v>
      </c>
      <c r="G30" s="42">
        <v>100</v>
      </c>
      <c r="H30" s="42">
        <v>100</v>
      </c>
      <c r="I30" s="42">
        <v>90</v>
      </c>
      <c r="J30" s="42">
        <v>80</v>
      </c>
      <c r="K30" s="42">
        <v>90</v>
      </c>
      <c r="L30" s="42">
        <v>90</v>
      </c>
      <c r="M30" s="42">
        <v>80</v>
      </c>
      <c r="N30" s="42">
        <v>70</v>
      </c>
      <c r="O30" s="42">
        <v>70</v>
      </c>
      <c r="P30" s="42">
        <v>90</v>
      </c>
      <c r="Q30" s="42">
        <v>80</v>
      </c>
      <c r="R30" s="42">
        <v>70</v>
      </c>
      <c r="S30" s="42">
        <v>80</v>
      </c>
      <c r="T30" s="42">
        <v>70</v>
      </c>
      <c r="U30" s="42">
        <v>80</v>
      </c>
    </row>
    <row r="31" ht="15.6" spans="3:21">
      <c r="C31" s="41">
        <v>100</v>
      </c>
      <c r="D31" s="41">
        <v>100</v>
      </c>
      <c r="E31" s="41">
        <v>100</v>
      </c>
      <c r="F31" s="41">
        <v>90</v>
      </c>
      <c r="G31" s="41">
        <v>100</v>
      </c>
      <c r="H31" s="41">
        <v>100</v>
      </c>
      <c r="I31" s="41">
        <v>90</v>
      </c>
      <c r="J31" s="41">
        <v>100</v>
      </c>
      <c r="K31" s="41">
        <v>100</v>
      </c>
      <c r="L31" s="41">
        <v>80</v>
      </c>
      <c r="M31" s="41">
        <v>50</v>
      </c>
      <c r="N31" s="41">
        <v>90</v>
      </c>
      <c r="O31" s="41">
        <v>70</v>
      </c>
      <c r="P31" s="41">
        <v>90</v>
      </c>
      <c r="Q31" s="41">
        <v>90</v>
      </c>
      <c r="R31" s="41">
        <v>80</v>
      </c>
      <c r="S31" s="41">
        <v>80</v>
      </c>
      <c r="T31" s="41">
        <v>80</v>
      </c>
      <c r="U31" s="41" t="s">
        <v>682</v>
      </c>
    </row>
    <row r="32" ht="15.6" spans="3:21">
      <c r="C32" s="42">
        <v>100</v>
      </c>
      <c r="D32" s="42">
        <v>100</v>
      </c>
      <c r="E32" s="42">
        <v>100</v>
      </c>
      <c r="F32" s="42">
        <v>100</v>
      </c>
      <c r="G32" s="42">
        <v>100</v>
      </c>
      <c r="H32" s="42">
        <v>100</v>
      </c>
      <c r="I32" s="42">
        <v>80</v>
      </c>
      <c r="J32" s="42">
        <v>100</v>
      </c>
      <c r="K32" s="42">
        <v>100</v>
      </c>
      <c r="L32" s="42" t="s">
        <v>682</v>
      </c>
      <c r="M32" s="42">
        <v>80</v>
      </c>
      <c r="N32" s="42">
        <v>70</v>
      </c>
      <c r="O32" s="42">
        <v>70</v>
      </c>
      <c r="P32" s="42">
        <v>90</v>
      </c>
      <c r="Q32" s="42">
        <v>100</v>
      </c>
      <c r="R32" s="42">
        <v>60</v>
      </c>
      <c r="S32" s="42">
        <v>70</v>
      </c>
      <c r="T32" s="42">
        <v>70</v>
      </c>
      <c r="U32" s="42" t="s">
        <v>682</v>
      </c>
    </row>
    <row r="33" ht="15.6" spans="3:21">
      <c r="C33" s="41">
        <v>100</v>
      </c>
      <c r="D33" s="41">
        <v>100</v>
      </c>
      <c r="E33" s="41">
        <v>100</v>
      </c>
      <c r="F33" s="41">
        <v>80</v>
      </c>
      <c r="G33" s="41">
        <v>100</v>
      </c>
      <c r="H33" s="41">
        <v>100</v>
      </c>
      <c r="I33" s="41">
        <v>90</v>
      </c>
      <c r="J33" s="41">
        <v>100</v>
      </c>
      <c r="K33" s="41">
        <v>100</v>
      </c>
      <c r="L33" s="41">
        <v>100</v>
      </c>
      <c r="M33" s="41">
        <v>50</v>
      </c>
      <c r="N33" s="41">
        <v>80</v>
      </c>
      <c r="O33" s="41">
        <v>60</v>
      </c>
      <c r="P33" s="41">
        <v>90</v>
      </c>
      <c r="Q33" s="41">
        <v>90</v>
      </c>
      <c r="R33" s="41">
        <v>70</v>
      </c>
      <c r="S33" s="41">
        <v>80</v>
      </c>
      <c r="T33" s="41">
        <v>80</v>
      </c>
      <c r="U33" s="41" t="s">
        <v>682</v>
      </c>
    </row>
    <row r="34" ht="15.6" spans="3:21">
      <c r="C34" s="42">
        <v>100</v>
      </c>
      <c r="D34" s="42">
        <v>100</v>
      </c>
      <c r="E34" s="42">
        <v>100</v>
      </c>
      <c r="F34" s="42">
        <v>100</v>
      </c>
      <c r="G34" s="42">
        <v>100</v>
      </c>
      <c r="H34" s="42">
        <v>100</v>
      </c>
      <c r="I34" s="42">
        <v>80</v>
      </c>
      <c r="J34" s="42">
        <v>100</v>
      </c>
      <c r="K34" s="42">
        <v>100</v>
      </c>
      <c r="L34" s="42">
        <v>100</v>
      </c>
      <c r="M34" s="42">
        <v>50</v>
      </c>
      <c r="N34" s="42">
        <v>80</v>
      </c>
      <c r="O34" s="42">
        <v>80</v>
      </c>
      <c r="P34" s="42">
        <v>90</v>
      </c>
      <c r="Q34" s="42">
        <v>100</v>
      </c>
      <c r="R34" s="42">
        <v>80</v>
      </c>
      <c r="S34" s="42">
        <v>80</v>
      </c>
      <c r="T34" s="42">
        <v>80</v>
      </c>
      <c r="U34" s="42" t="s">
        <v>682</v>
      </c>
    </row>
    <row r="35" ht="15.6" spans="3:21">
      <c r="C35" s="41">
        <v>100</v>
      </c>
      <c r="D35" s="41">
        <v>100</v>
      </c>
      <c r="E35" s="41">
        <v>100</v>
      </c>
      <c r="F35" s="41">
        <v>90</v>
      </c>
      <c r="G35" s="41">
        <v>100</v>
      </c>
      <c r="H35" s="41">
        <v>100</v>
      </c>
      <c r="I35" s="41">
        <v>90</v>
      </c>
      <c r="J35" s="41">
        <v>100</v>
      </c>
      <c r="K35" s="41">
        <v>100</v>
      </c>
      <c r="L35" s="41">
        <v>80</v>
      </c>
      <c r="M35" s="41">
        <v>70</v>
      </c>
      <c r="N35" s="41">
        <v>70</v>
      </c>
      <c r="O35" s="41">
        <v>60</v>
      </c>
      <c r="P35" s="41">
        <v>90</v>
      </c>
      <c r="Q35" s="41">
        <v>100</v>
      </c>
      <c r="R35" s="41">
        <v>100</v>
      </c>
      <c r="S35" s="41">
        <v>80</v>
      </c>
      <c r="T35" s="41">
        <v>80</v>
      </c>
      <c r="U35" s="41">
        <v>80</v>
      </c>
    </row>
    <row r="36" ht="15.6" spans="3:21">
      <c r="C36" s="42">
        <v>100</v>
      </c>
      <c r="D36" s="42">
        <v>100</v>
      </c>
      <c r="E36" s="42">
        <v>100</v>
      </c>
      <c r="F36" s="42" t="s">
        <v>682</v>
      </c>
      <c r="G36" s="42">
        <v>100</v>
      </c>
      <c r="H36" s="42">
        <v>100</v>
      </c>
      <c r="I36" s="42">
        <v>100</v>
      </c>
      <c r="J36" s="42">
        <v>100</v>
      </c>
      <c r="K36" s="42">
        <v>100</v>
      </c>
      <c r="L36" s="42">
        <v>100</v>
      </c>
      <c r="M36" s="42">
        <v>60</v>
      </c>
      <c r="N36" s="42">
        <v>80</v>
      </c>
      <c r="O36" s="42">
        <v>70</v>
      </c>
      <c r="P36" s="42">
        <v>90</v>
      </c>
      <c r="Q36" s="42">
        <v>90</v>
      </c>
      <c r="R36" s="42">
        <v>90</v>
      </c>
      <c r="S36" s="42">
        <v>80</v>
      </c>
      <c r="T36" s="42">
        <v>80</v>
      </c>
      <c r="U36" s="42">
        <v>80</v>
      </c>
    </row>
    <row r="37" ht="15.6" spans="3:21">
      <c r="C37" s="41">
        <v>60</v>
      </c>
      <c r="D37" s="41">
        <v>100</v>
      </c>
      <c r="E37" s="41">
        <v>100</v>
      </c>
      <c r="F37" s="41">
        <v>90</v>
      </c>
      <c r="G37" s="41">
        <v>100</v>
      </c>
      <c r="H37" s="41">
        <v>100</v>
      </c>
      <c r="I37" s="41">
        <v>100</v>
      </c>
      <c r="J37" s="41">
        <v>100</v>
      </c>
      <c r="K37" s="41">
        <v>100</v>
      </c>
      <c r="L37" s="41">
        <v>100</v>
      </c>
      <c r="M37" s="41">
        <v>80</v>
      </c>
      <c r="N37" s="41">
        <v>80</v>
      </c>
      <c r="O37" s="41">
        <v>70</v>
      </c>
      <c r="P37" s="41">
        <v>90</v>
      </c>
      <c r="Q37" s="41">
        <v>80</v>
      </c>
      <c r="R37" s="41">
        <v>80</v>
      </c>
      <c r="S37" s="41">
        <v>70</v>
      </c>
      <c r="T37" s="41">
        <v>80</v>
      </c>
      <c r="U37" s="41" t="s">
        <v>682</v>
      </c>
    </row>
    <row r="38" ht="15.6" spans="3:21">
      <c r="C38" s="42">
        <v>100</v>
      </c>
      <c r="D38" s="42">
        <v>100</v>
      </c>
      <c r="E38" s="42">
        <v>100</v>
      </c>
      <c r="F38" s="42">
        <v>90</v>
      </c>
      <c r="G38" s="42">
        <v>100</v>
      </c>
      <c r="H38" s="42">
        <v>100</v>
      </c>
      <c r="I38" s="42">
        <v>80</v>
      </c>
      <c r="J38" s="42">
        <v>80</v>
      </c>
      <c r="K38" s="42">
        <v>80</v>
      </c>
      <c r="L38" s="42">
        <v>90</v>
      </c>
      <c r="M38" s="42">
        <v>60</v>
      </c>
      <c r="N38" s="42">
        <v>90</v>
      </c>
      <c r="O38" s="42">
        <v>70</v>
      </c>
      <c r="P38" s="42">
        <v>90</v>
      </c>
      <c r="Q38" s="42">
        <v>90</v>
      </c>
      <c r="R38" s="42">
        <v>100</v>
      </c>
      <c r="S38" s="42">
        <v>90</v>
      </c>
      <c r="T38" s="42">
        <v>80</v>
      </c>
      <c r="U38" s="42">
        <v>80</v>
      </c>
    </row>
    <row r="39" ht="15.6" spans="3:21">
      <c r="C39" s="41">
        <v>100</v>
      </c>
      <c r="D39" s="41">
        <v>100</v>
      </c>
      <c r="E39" s="41">
        <v>100</v>
      </c>
      <c r="F39" s="41">
        <v>80</v>
      </c>
      <c r="G39" s="41">
        <v>80</v>
      </c>
      <c r="H39" s="41">
        <v>80</v>
      </c>
      <c r="I39" s="41">
        <v>90</v>
      </c>
      <c r="J39" s="41">
        <v>100</v>
      </c>
      <c r="K39" s="41">
        <v>100</v>
      </c>
      <c r="L39" s="41">
        <v>80</v>
      </c>
      <c r="M39" s="41">
        <v>80</v>
      </c>
      <c r="N39" s="41">
        <v>70</v>
      </c>
      <c r="O39" s="41">
        <v>70</v>
      </c>
      <c r="P39" s="41">
        <v>90</v>
      </c>
      <c r="Q39" s="41">
        <v>90</v>
      </c>
      <c r="R39" s="41">
        <v>80</v>
      </c>
      <c r="S39" s="41">
        <v>80</v>
      </c>
      <c r="T39" s="41">
        <v>80</v>
      </c>
      <c r="U39" s="41">
        <v>80</v>
      </c>
    </row>
    <row r="40" ht="15.6" spans="3:21">
      <c r="C40" s="42">
        <v>100</v>
      </c>
      <c r="D40" s="42">
        <v>100</v>
      </c>
      <c r="E40" s="42">
        <v>100</v>
      </c>
      <c r="F40" s="42">
        <v>80</v>
      </c>
      <c r="G40" s="42">
        <v>100</v>
      </c>
      <c r="H40" s="42">
        <v>100</v>
      </c>
      <c r="I40" s="42">
        <v>90</v>
      </c>
      <c r="J40" s="42">
        <v>90</v>
      </c>
      <c r="K40" s="42">
        <v>100</v>
      </c>
      <c r="L40" s="42">
        <v>80</v>
      </c>
      <c r="M40" s="42">
        <v>80</v>
      </c>
      <c r="N40" s="42">
        <v>60</v>
      </c>
      <c r="O40" s="42">
        <v>70</v>
      </c>
      <c r="P40" s="42">
        <v>90</v>
      </c>
      <c r="Q40" s="42">
        <v>100</v>
      </c>
      <c r="R40" s="42">
        <v>90</v>
      </c>
      <c r="S40" s="42">
        <v>80</v>
      </c>
      <c r="T40" s="42">
        <v>70</v>
      </c>
      <c r="U40" s="42">
        <v>80</v>
      </c>
    </row>
    <row r="41" ht="15.6" spans="3:21">
      <c r="C41" s="41">
        <v>100</v>
      </c>
      <c r="D41" s="41">
        <v>100</v>
      </c>
      <c r="E41" s="41">
        <v>100</v>
      </c>
      <c r="F41" s="41">
        <v>90</v>
      </c>
      <c r="G41" s="41">
        <v>100</v>
      </c>
      <c r="H41" s="41">
        <v>100</v>
      </c>
      <c r="I41" s="41">
        <v>100</v>
      </c>
      <c r="J41" s="41">
        <v>90</v>
      </c>
      <c r="K41" s="41">
        <v>100</v>
      </c>
      <c r="L41" s="41">
        <v>100</v>
      </c>
      <c r="M41" s="41">
        <v>80</v>
      </c>
      <c r="N41" s="41">
        <v>70</v>
      </c>
      <c r="O41" s="41">
        <v>70</v>
      </c>
      <c r="P41" s="41">
        <v>90</v>
      </c>
      <c r="Q41" s="41">
        <v>100</v>
      </c>
      <c r="R41" s="41">
        <v>80</v>
      </c>
      <c r="S41" s="41">
        <v>80</v>
      </c>
      <c r="T41" s="41">
        <v>80</v>
      </c>
      <c r="U41" s="41">
        <v>80</v>
      </c>
    </row>
    <row r="42" ht="15.6" spans="3:21">
      <c r="C42" s="42">
        <v>100</v>
      </c>
      <c r="D42" s="42">
        <v>100</v>
      </c>
      <c r="E42" s="42">
        <v>100</v>
      </c>
      <c r="F42" s="42">
        <v>90</v>
      </c>
      <c r="G42" s="42">
        <v>100</v>
      </c>
      <c r="H42" s="42">
        <v>100</v>
      </c>
      <c r="I42" s="42">
        <v>100</v>
      </c>
      <c r="J42" s="42">
        <v>100</v>
      </c>
      <c r="K42" s="42">
        <v>100</v>
      </c>
      <c r="L42" s="42">
        <v>80</v>
      </c>
      <c r="M42" s="42">
        <v>70</v>
      </c>
      <c r="N42" s="42">
        <v>80</v>
      </c>
      <c r="O42" s="42">
        <v>70</v>
      </c>
      <c r="P42" s="42">
        <v>90</v>
      </c>
      <c r="Q42" s="42">
        <v>100</v>
      </c>
      <c r="R42" s="42">
        <v>90</v>
      </c>
      <c r="S42" s="42">
        <v>80</v>
      </c>
      <c r="T42" s="42">
        <v>80</v>
      </c>
      <c r="U42" s="42">
        <v>80</v>
      </c>
    </row>
    <row r="43" ht="15.6" spans="3:21">
      <c r="C43" s="41">
        <v>100</v>
      </c>
      <c r="D43" s="41">
        <v>100</v>
      </c>
      <c r="E43" s="41">
        <v>100</v>
      </c>
      <c r="F43" s="41" t="s">
        <v>682</v>
      </c>
      <c r="G43" s="41">
        <v>80</v>
      </c>
      <c r="H43" s="41">
        <v>80</v>
      </c>
      <c r="I43" s="41">
        <v>80</v>
      </c>
      <c r="J43" s="41" t="s">
        <v>682</v>
      </c>
      <c r="K43" s="41">
        <v>100</v>
      </c>
      <c r="L43" s="41">
        <v>80</v>
      </c>
      <c r="M43" s="41" t="s">
        <v>682</v>
      </c>
      <c r="N43" s="41" t="s">
        <v>682</v>
      </c>
      <c r="O43" s="41" t="s">
        <v>682</v>
      </c>
      <c r="P43" s="41" t="s">
        <v>682</v>
      </c>
      <c r="Q43" s="41" t="s">
        <v>682</v>
      </c>
      <c r="R43" s="41" t="s">
        <v>682</v>
      </c>
      <c r="S43" s="41" t="s">
        <v>682</v>
      </c>
      <c r="T43" s="41" t="s">
        <v>682</v>
      </c>
      <c r="U43" s="41" t="s">
        <v>682</v>
      </c>
    </row>
    <row r="44" ht="15.6" spans="3:21">
      <c r="C44" s="42">
        <v>100</v>
      </c>
      <c r="D44" s="42">
        <v>100</v>
      </c>
      <c r="E44" s="42">
        <v>100</v>
      </c>
      <c r="F44" s="42">
        <v>90</v>
      </c>
      <c r="G44" s="42">
        <v>100</v>
      </c>
      <c r="H44" s="42">
        <v>100</v>
      </c>
      <c r="I44" s="42">
        <v>100</v>
      </c>
      <c r="J44" s="42">
        <v>100</v>
      </c>
      <c r="K44" s="42">
        <v>100</v>
      </c>
      <c r="L44" s="42">
        <v>100</v>
      </c>
      <c r="M44" s="42">
        <v>80</v>
      </c>
      <c r="N44" s="42">
        <v>80</v>
      </c>
      <c r="O44" s="42">
        <v>70</v>
      </c>
      <c r="P44" s="42">
        <v>90</v>
      </c>
      <c r="Q44" s="42">
        <v>100</v>
      </c>
      <c r="R44" s="42">
        <v>100</v>
      </c>
      <c r="S44" s="42">
        <v>90</v>
      </c>
      <c r="T44" s="42">
        <v>80</v>
      </c>
      <c r="U44" s="42">
        <v>70</v>
      </c>
    </row>
    <row r="45" ht="15.6" spans="3:21">
      <c r="C45" s="41">
        <v>100</v>
      </c>
      <c r="D45" s="41">
        <v>100</v>
      </c>
      <c r="E45" s="41">
        <v>100</v>
      </c>
      <c r="F45" s="41">
        <v>80</v>
      </c>
      <c r="G45" s="41">
        <v>80</v>
      </c>
      <c r="H45" s="41">
        <v>80</v>
      </c>
      <c r="I45" s="41">
        <v>90</v>
      </c>
      <c r="J45" s="41">
        <v>100</v>
      </c>
      <c r="K45" s="41">
        <v>100</v>
      </c>
      <c r="L45" s="41">
        <v>80</v>
      </c>
      <c r="M45" s="41">
        <v>80</v>
      </c>
      <c r="N45" s="41">
        <v>70</v>
      </c>
      <c r="O45" s="41">
        <v>70</v>
      </c>
      <c r="P45" s="41">
        <v>90</v>
      </c>
      <c r="Q45" s="41">
        <v>100</v>
      </c>
      <c r="R45" s="41">
        <v>70</v>
      </c>
      <c r="S45" s="41">
        <v>80</v>
      </c>
      <c r="T45" s="41">
        <v>70</v>
      </c>
      <c r="U45" s="41">
        <v>70</v>
      </c>
    </row>
    <row r="46" ht="15.6" spans="3:21">
      <c r="C46" s="42">
        <v>100</v>
      </c>
      <c r="D46" s="42">
        <v>80</v>
      </c>
      <c r="E46" s="42">
        <v>100</v>
      </c>
      <c r="F46" s="42" t="s">
        <v>682</v>
      </c>
      <c r="G46" s="42">
        <v>80</v>
      </c>
      <c r="H46" s="42">
        <v>80</v>
      </c>
      <c r="I46" s="42">
        <v>80</v>
      </c>
      <c r="J46" s="42">
        <v>100</v>
      </c>
      <c r="K46" s="42">
        <v>100</v>
      </c>
      <c r="L46" s="42">
        <v>100</v>
      </c>
      <c r="M46" s="42">
        <v>80</v>
      </c>
      <c r="N46" s="42">
        <v>70</v>
      </c>
      <c r="O46" s="42">
        <v>90</v>
      </c>
      <c r="P46" s="42">
        <v>90</v>
      </c>
      <c r="Q46" s="42">
        <v>90</v>
      </c>
      <c r="R46" s="42">
        <v>80</v>
      </c>
      <c r="S46" s="42">
        <v>70</v>
      </c>
      <c r="T46" s="42">
        <v>80</v>
      </c>
      <c r="U46" s="42">
        <v>70</v>
      </c>
    </row>
    <row r="47" ht="15.6" spans="3:21">
      <c r="C47" s="41">
        <v>100</v>
      </c>
      <c r="D47" s="41">
        <v>80</v>
      </c>
      <c r="E47" s="41">
        <v>100</v>
      </c>
      <c r="F47" s="41">
        <v>80</v>
      </c>
      <c r="G47" s="41">
        <v>100</v>
      </c>
      <c r="H47" s="41">
        <v>100</v>
      </c>
      <c r="I47" s="41">
        <v>100</v>
      </c>
      <c r="J47" s="41">
        <v>100</v>
      </c>
      <c r="K47" s="41" t="s">
        <v>682</v>
      </c>
      <c r="L47" s="41" t="s">
        <v>682</v>
      </c>
      <c r="M47" s="41">
        <v>80</v>
      </c>
      <c r="N47" s="41">
        <v>70</v>
      </c>
      <c r="O47" s="41">
        <v>90</v>
      </c>
      <c r="P47" s="41">
        <v>90</v>
      </c>
      <c r="Q47" s="41">
        <v>90</v>
      </c>
      <c r="R47" s="41">
        <v>80</v>
      </c>
      <c r="S47" s="41">
        <v>90</v>
      </c>
      <c r="T47" s="41">
        <v>60</v>
      </c>
      <c r="U47" s="41">
        <v>80</v>
      </c>
    </row>
    <row r="48" ht="15.6" spans="3:21">
      <c r="C48" s="42">
        <v>100</v>
      </c>
      <c r="D48" s="42">
        <v>100</v>
      </c>
      <c r="E48" s="42">
        <v>100</v>
      </c>
      <c r="F48" s="42">
        <v>80</v>
      </c>
      <c r="G48" s="42">
        <v>90</v>
      </c>
      <c r="H48" s="42">
        <v>90</v>
      </c>
      <c r="I48" s="42">
        <v>90</v>
      </c>
      <c r="J48" s="42">
        <v>100</v>
      </c>
      <c r="K48" s="42">
        <v>100</v>
      </c>
      <c r="L48" s="42">
        <v>90</v>
      </c>
      <c r="M48" s="42">
        <v>80</v>
      </c>
      <c r="N48" s="42">
        <v>60</v>
      </c>
      <c r="O48" s="42">
        <v>70</v>
      </c>
      <c r="P48" s="42">
        <v>90</v>
      </c>
      <c r="Q48" s="42">
        <v>90</v>
      </c>
      <c r="R48" s="42">
        <v>90</v>
      </c>
      <c r="S48" s="42">
        <v>80</v>
      </c>
      <c r="T48" s="42">
        <v>80</v>
      </c>
      <c r="U48" s="42" t="s">
        <v>682</v>
      </c>
    </row>
    <row r="49" ht="15.6" spans="3:21">
      <c r="C49" s="41">
        <v>100</v>
      </c>
      <c r="D49" s="41">
        <v>80</v>
      </c>
      <c r="E49" s="41">
        <v>100</v>
      </c>
      <c r="F49" s="41">
        <v>80</v>
      </c>
      <c r="G49" s="41">
        <v>100</v>
      </c>
      <c r="H49" s="41">
        <v>100</v>
      </c>
      <c r="I49" s="41">
        <v>100</v>
      </c>
      <c r="J49" s="41">
        <v>100</v>
      </c>
      <c r="K49" s="41">
        <v>100</v>
      </c>
      <c r="L49" s="41">
        <v>100</v>
      </c>
      <c r="M49" s="41">
        <v>80</v>
      </c>
      <c r="N49" s="41">
        <v>70</v>
      </c>
      <c r="O49" s="41">
        <v>70</v>
      </c>
      <c r="P49" s="41">
        <v>90</v>
      </c>
      <c r="Q49" s="41">
        <v>100</v>
      </c>
      <c r="R49" s="41">
        <v>90</v>
      </c>
      <c r="S49" s="41">
        <v>80</v>
      </c>
      <c r="T49" s="41">
        <v>80</v>
      </c>
      <c r="U49" s="41">
        <v>70</v>
      </c>
    </row>
    <row r="50" ht="15.6" spans="3:21">
      <c r="C50" s="42">
        <v>80</v>
      </c>
      <c r="D50" s="42">
        <v>100</v>
      </c>
      <c r="E50" s="42">
        <v>100</v>
      </c>
      <c r="F50" s="42">
        <v>100</v>
      </c>
      <c r="G50" s="42">
        <v>100</v>
      </c>
      <c r="H50" s="42">
        <v>100</v>
      </c>
      <c r="I50" s="42">
        <v>100</v>
      </c>
      <c r="J50" s="42" t="s">
        <v>682</v>
      </c>
      <c r="K50" s="42" t="s">
        <v>682</v>
      </c>
      <c r="L50" s="42">
        <v>100</v>
      </c>
      <c r="M50" s="42">
        <v>80</v>
      </c>
      <c r="N50" s="42" t="s">
        <v>682</v>
      </c>
      <c r="O50" s="42">
        <v>60</v>
      </c>
      <c r="P50" s="42" t="s">
        <v>682</v>
      </c>
      <c r="Q50" s="42">
        <v>100</v>
      </c>
      <c r="R50" s="42">
        <v>80</v>
      </c>
      <c r="S50" s="42">
        <v>70</v>
      </c>
      <c r="T50" s="42">
        <v>80</v>
      </c>
      <c r="U50" s="42">
        <v>80</v>
      </c>
    </row>
    <row r="51" ht="15.6" spans="3:21">
      <c r="C51" s="41">
        <v>100</v>
      </c>
      <c r="D51" s="41">
        <v>100</v>
      </c>
      <c r="E51" s="41">
        <v>100</v>
      </c>
      <c r="F51" s="41">
        <v>80</v>
      </c>
      <c r="G51" s="41">
        <v>100</v>
      </c>
      <c r="H51" s="41">
        <v>100</v>
      </c>
      <c r="I51" s="41">
        <v>100</v>
      </c>
      <c r="J51" s="41">
        <v>100</v>
      </c>
      <c r="K51" s="41">
        <v>100</v>
      </c>
      <c r="L51" s="41">
        <v>100</v>
      </c>
      <c r="M51" s="41">
        <v>70</v>
      </c>
      <c r="N51" s="41">
        <v>70</v>
      </c>
      <c r="O51" s="41">
        <v>60</v>
      </c>
      <c r="P51" s="41">
        <v>90</v>
      </c>
      <c r="Q51" s="41">
        <v>80</v>
      </c>
      <c r="R51" s="41">
        <v>80</v>
      </c>
      <c r="S51" s="41">
        <v>80</v>
      </c>
      <c r="T51" s="41">
        <v>90</v>
      </c>
      <c r="U51" s="41">
        <v>70</v>
      </c>
    </row>
    <row r="52" ht="15.6" spans="3:21">
      <c r="C52" s="42">
        <v>100</v>
      </c>
      <c r="D52" s="42">
        <v>100</v>
      </c>
      <c r="E52" s="42">
        <v>80</v>
      </c>
      <c r="F52" s="42">
        <v>90</v>
      </c>
      <c r="G52" s="42">
        <v>100</v>
      </c>
      <c r="H52" s="42">
        <v>100</v>
      </c>
      <c r="I52" s="42">
        <v>90</v>
      </c>
      <c r="J52" s="42">
        <v>100</v>
      </c>
      <c r="K52" s="42" t="s">
        <v>682</v>
      </c>
      <c r="L52" s="42">
        <v>100</v>
      </c>
      <c r="M52" s="42">
        <v>70</v>
      </c>
      <c r="N52" s="42">
        <v>80</v>
      </c>
      <c r="O52" s="42">
        <v>70</v>
      </c>
      <c r="P52" s="42">
        <v>90</v>
      </c>
      <c r="Q52" s="42">
        <v>90</v>
      </c>
      <c r="R52" s="42">
        <v>80</v>
      </c>
      <c r="S52" s="42">
        <v>80</v>
      </c>
      <c r="T52" s="42">
        <v>80</v>
      </c>
      <c r="U52" s="42">
        <v>80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2" sqref="A2:U52"/>
    </sheetView>
  </sheetViews>
  <sheetFormatPr defaultColWidth="8.88888888888889" defaultRowHeight="14.4"/>
  <cols>
    <col min="1" max="1" width="11" customWidth="1"/>
    <col min="2" max="2" width="13" customWidth="1"/>
    <col min="3" max="3" width="33" customWidth="1"/>
    <col min="4" max="4" width="19" customWidth="1"/>
    <col min="5" max="5" width="11" customWidth="1"/>
    <col min="6" max="6" width="17" customWidth="1"/>
    <col min="7" max="7" width="19" customWidth="1"/>
    <col min="8" max="8" width="31" customWidth="1"/>
    <col min="9" max="9" width="13" customWidth="1"/>
    <col min="10" max="10" width="11" customWidth="1"/>
    <col min="11" max="12" width="19" customWidth="1"/>
    <col min="13" max="13" width="13" customWidth="1"/>
    <col min="14" max="14" width="17.5740740740741" customWidth="1"/>
  </cols>
  <sheetData>
    <row r="1" ht="30" customHeight="1" spans="1:13">
      <c r="A1" s="31" t="s">
        <v>3743</v>
      </c>
    </row>
    <row r="2" ht="30" customHeight="1" spans="1:13">
      <c r="A2" s="32" t="s">
        <v>1</v>
      </c>
    </row>
    <row r="3" ht="15.6" spans="1:13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3744</v>
      </c>
      <c r="G3" s="33"/>
      <c r="H3" s="33"/>
      <c r="I3" s="33"/>
      <c r="J3" s="33" t="s">
        <v>3745</v>
      </c>
      <c r="K3" s="33"/>
      <c r="L3" s="33"/>
      <c r="M3" s="33"/>
    </row>
    <row r="4" ht="15.6" spans="1:13">
      <c r="A4" s="33"/>
      <c r="B4" s="33"/>
      <c r="C4" s="33"/>
      <c r="D4" s="33"/>
      <c r="E4" s="33"/>
      <c r="F4" s="33" t="s">
        <v>2766</v>
      </c>
      <c r="G4" s="33" t="s">
        <v>3746</v>
      </c>
      <c r="H4" s="33" t="s">
        <v>2767</v>
      </c>
      <c r="I4" s="33" t="s">
        <v>427</v>
      </c>
      <c r="J4" s="33" t="s">
        <v>2766</v>
      </c>
      <c r="K4" s="33" t="s">
        <v>3746</v>
      </c>
      <c r="L4" s="33" t="s">
        <v>2767</v>
      </c>
      <c r="M4" s="33" t="s">
        <v>427</v>
      </c>
    </row>
    <row r="5" ht="30" customHeight="1" spans="1:13">
      <c r="A5" s="36" t="s">
        <v>12</v>
      </c>
      <c r="B5" s="36" t="s">
        <v>13</v>
      </c>
      <c r="C5" s="36" t="s">
        <v>14</v>
      </c>
      <c r="D5" s="36" t="s">
        <v>15</v>
      </c>
      <c r="E5" s="36" t="s">
        <v>16</v>
      </c>
      <c r="F5" s="39">
        <v>70</v>
      </c>
      <c r="G5" s="36" t="s">
        <v>3747</v>
      </c>
      <c r="H5" s="36" t="s">
        <v>3748</v>
      </c>
      <c r="I5" s="36" t="s">
        <v>429</v>
      </c>
      <c r="J5" s="39">
        <v>0</v>
      </c>
      <c r="K5" s="36" t="s">
        <v>3749</v>
      </c>
      <c r="L5" s="36" t="s">
        <v>3750</v>
      </c>
      <c r="M5" s="36" t="s">
        <v>3751</v>
      </c>
    </row>
    <row r="6" ht="30" customHeight="1" spans="1:13">
      <c r="A6" s="34" t="s">
        <v>17</v>
      </c>
      <c r="B6" s="34" t="s">
        <v>18</v>
      </c>
      <c r="C6" s="34" t="s">
        <v>14</v>
      </c>
      <c r="D6" s="34" t="s">
        <v>15</v>
      </c>
      <c r="E6" s="34" t="s">
        <v>16</v>
      </c>
      <c r="F6" s="38">
        <v>60</v>
      </c>
      <c r="G6" s="34" t="s">
        <v>3752</v>
      </c>
      <c r="H6" s="34" t="s">
        <v>3753</v>
      </c>
      <c r="I6" s="34" t="s">
        <v>429</v>
      </c>
      <c r="J6" s="38">
        <v>0</v>
      </c>
      <c r="K6" s="34" t="s">
        <v>3754</v>
      </c>
      <c r="L6" s="34" t="s">
        <v>3755</v>
      </c>
      <c r="M6" s="34" t="s">
        <v>3751</v>
      </c>
    </row>
    <row r="7" ht="30" customHeight="1" spans="1:13">
      <c r="A7" s="36" t="s">
        <v>19</v>
      </c>
      <c r="B7" s="36" t="s">
        <v>20</v>
      </c>
      <c r="C7" s="36" t="s">
        <v>14</v>
      </c>
      <c r="D7" s="36" t="s">
        <v>15</v>
      </c>
      <c r="E7" s="36" t="s">
        <v>21</v>
      </c>
      <c r="F7" s="39">
        <v>60</v>
      </c>
      <c r="G7" s="36" t="s">
        <v>3756</v>
      </c>
      <c r="H7" s="36" t="s">
        <v>3757</v>
      </c>
      <c r="I7" s="36" t="s">
        <v>429</v>
      </c>
      <c r="J7" s="39">
        <v>0</v>
      </c>
      <c r="K7" s="36" t="s">
        <v>3758</v>
      </c>
      <c r="L7" s="36" t="s">
        <v>3759</v>
      </c>
      <c r="M7" s="36" t="s">
        <v>3751</v>
      </c>
    </row>
    <row r="8" ht="30" customHeight="1" spans="1:13">
      <c r="A8" s="34" t="s">
        <v>22</v>
      </c>
      <c r="B8" s="34" t="s">
        <v>23</v>
      </c>
      <c r="C8" s="34" t="s">
        <v>14</v>
      </c>
      <c r="D8" s="34" t="s">
        <v>15</v>
      </c>
      <c r="E8" s="34" t="s">
        <v>21</v>
      </c>
      <c r="F8" s="38">
        <v>80</v>
      </c>
      <c r="G8" s="34" t="s">
        <v>3760</v>
      </c>
      <c r="H8" s="34" t="s">
        <v>3761</v>
      </c>
      <c r="I8" s="34" t="s">
        <v>429</v>
      </c>
      <c r="J8" s="38">
        <v>0</v>
      </c>
      <c r="K8" s="34" t="s">
        <v>3762</v>
      </c>
      <c r="L8" s="34" t="s">
        <v>3763</v>
      </c>
      <c r="M8" s="34" t="s">
        <v>3751</v>
      </c>
    </row>
    <row r="9" ht="30" customHeight="1" spans="1:13">
      <c r="A9" s="36" t="s">
        <v>24</v>
      </c>
      <c r="B9" s="36" t="s">
        <v>25</v>
      </c>
      <c r="C9" s="36" t="s">
        <v>14</v>
      </c>
      <c r="D9" s="36" t="s">
        <v>15</v>
      </c>
      <c r="E9" s="36" t="s">
        <v>21</v>
      </c>
      <c r="F9" s="39">
        <v>70</v>
      </c>
      <c r="G9" s="36" t="s">
        <v>3764</v>
      </c>
      <c r="H9" s="36" t="s">
        <v>3765</v>
      </c>
      <c r="I9" s="36" t="s">
        <v>429</v>
      </c>
      <c r="J9" s="39">
        <v>0</v>
      </c>
      <c r="K9" s="36" t="s">
        <v>3766</v>
      </c>
      <c r="L9" s="36" t="s">
        <v>3767</v>
      </c>
      <c r="M9" s="36" t="s">
        <v>3751</v>
      </c>
    </row>
    <row r="10" ht="30" customHeight="1" spans="1:13">
      <c r="A10" s="34" t="s">
        <v>26</v>
      </c>
      <c r="B10" s="34" t="s">
        <v>27</v>
      </c>
      <c r="C10" s="34" t="s">
        <v>14</v>
      </c>
      <c r="D10" s="34" t="s">
        <v>15</v>
      </c>
      <c r="E10" s="34" t="s">
        <v>21</v>
      </c>
      <c r="F10" s="38">
        <v>80</v>
      </c>
      <c r="G10" s="34" t="s">
        <v>3768</v>
      </c>
      <c r="H10" s="34" t="s">
        <v>3769</v>
      </c>
      <c r="I10" s="34" t="s">
        <v>429</v>
      </c>
      <c r="J10" s="38">
        <v>0</v>
      </c>
      <c r="K10" s="34" t="s">
        <v>619</v>
      </c>
      <c r="L10" s="34" t="s">
        <v>3770</v>
      </c>
      <c r="M10" s="34" t="s">
        <v>3751</v>
      </c>
    </row>
    <row r="11" ht="30" customHeight="1" spans="1:13">
      <c r="A11" s="36" t="s">
        <v>28</v>
      </c>
      <c r="B11" s="36" t="s">
        <v>29</v>
      </c>
      <c r="C11" s="36" t="s">
        <v>14</v>
      </c>
      <c r="D11" s="36" t="s">
        <v>15</v>
      </c>
      <c r="E11" s="36" t="s">
        <v>21</v>
      </c>
      <c r="F11" s="39">
        <v>70</v>
      </c>
      <c r="G11" s="36" t="s">
        <v>3771</v>
      </c>
      <c r="H11" s="36" t="s">
        <v>3772</v>
      </c>
      <c r="I11" s="36" t="s">
        <v>429</v>
      </c>
      <c r="J11" s="39">
        <v>0</v>
      </c>
      <c r="K11" s="36" t="s">
        <v>3773</v>
      </c>
      <c r="L11" s="36" t="s">
        <v>3774</v>
      </c>
      <c r="M11" s="36" t="s">
        <v>3751</v>
      </c>
    </row>
    <row r="12" ht="30" customHeight="1" spans="1:13">
      <c r="A12" s="34" t="s">
        <v>30</v>
      </c>
      <c r="B12" s="34" t="s">
        <v>31</v>
      </c>
      <c r="C12" s="34" t="s">
        <v>14</v>
      </c>
      <c r="D12" s="34" t="s">
        <v>15</v>
      </c>
      <c r="E12" s="34" t="s">
        <v>21</v>
      </c>
      <c r="F12" s="38">
        <v>79</v>
      </c>
      <c r="G12" s="34" t="s">
        <v>3775</v>
      </c>
      <c r="H12" s="34" t="s">
        <v>3776</v>
      </c>
      <c r="I12" s="34" t="s">
        <v>429</v>
      </c>
      <c r="J12" s="38">
        <v>0</v>
      </c>
      <c r="K12" s="34" t="s">
        <v>773</v>
      </c>
      <c r="L12" s="34" t="s">
        <v>1553</v>
      </c>
      <c r="M12" s="34" t="s">
        <v>3751</v>
      </c>
    </row>
    <row r="13" ht="30" customHeight="1" spans="1:13">
      <c r="A13" s="36" t="s">
        <v>32</v>
      </c>
      <c r="B13" s="36" t="s">
        <v>33</v>
      </c>
      <c r="C13" s="36" t="s">
        <v>14</v>
      </c>
      <c r="D13" s="36" t="s">
        <v>15</v>
      </c>
      <c r="E13" s="36" t="s">
        <v>21</v>
      </c>
      <c r="F13" s="39">
        <v>0</v>
      </c>
      <c r="G13" s="36" t="s">
        <v>682</v>
      </c>
      <c r="H13" s="36" t="s">
        <v>682</v>
      </c>
      <c r="I13" s="36" t="s">
        <v>3777</v>
      </c>
      <c r="J13" s="39">
        <v>0</v>
      </c>
      <c r="K13" s="36" t="s">
        <v>682</v>
      </c>
      <c r="L13" s="36" t="s">
        <v>682</v>
      </c>
      <c r="M13" s="36" t="s">
        <v>3778</v>
      </c>
    </row>
    <row r="14" ht="30" customHeight="1" spans="1:13">
      <c r="A14" s="34" t="s">
        <v>34</v>
      </c>
      <c r="B14" s="34" t="s">
        <v>35</v>
      </c>
      <c r="C14" s="34" t="s">
        <v>14</v>
      </c>
      <c r="D14" s="34" t="s">
        <v>15</v>
      </c>
      <c r="E14" s="34" t="s">
        <v>21</v>
      </c>
      <c r="F14" s="38">
        <v>80</v>
      </c>
      <c r="G14" s="34" t="s">
        <v>3779</v>
      </c>
      <c r="H14" s="34" t="s">
        <v>3780</v>
      </c>
      <c r="I14" s="34" t="s">
        <v>429</v>
      </c>
      <c r="J14" s="38">
        <v>0</v>
      </c>
      <c r="K14" s="34" t="s">
        <v>3781</v>
      </c>
      <c r="L14" s="34" t="s">
        <v>3782</v>
      </c>
      <c r="M14" s="34" t="s">
        <v>3751</v>
      </c>
    </row>
    <row r="15" ht="30" customHeight="1" spans="1:13">
      <c r="A15" s="36" t="s">
        <v>36</v>
      </c>
      <c r="B15" s="36" t="s">
        <v>37</v>
      </c>
      <c r="C15" s="36" t="s">
        <v>14</v>
      </c>
      <c r="D15" s="36" t="s">
        <v>15</v>
      </c>
      <c r="E15" s="36" t="s">
        <v>21</v>
      </c>
      <c r="F15" s="39">
        <v>70</v>
      </c>
      <c r="G15" s="36" t="s">
        <v>3783</v>
      </c>
      <c r="H15" s="36" t="s">
        <v>3784</v>
      </c>
      <c r="I15" s="36" t="s">
        <v>429</v>
      </c>
      <c r="J15" s="39">
        <v>0</v>
      </c>
      <c r="K15" s="36" t="s">
        <v>3785</v>
      </c>
      <c r="L15" s="36" t="s">
        <v>3786</v>
      </c>
      <c r="M15" s="36" t="s">
        <v>3751</v>
      </c>
    </row>
    <row r="16" ht="30" customHeight="1" spans="1:13">
      <c r="A16" s="34" t="s">
        <v>38</v>
      </c>
      <c r="B16" s="34" t="s">
        <v>39</v>
      </c>
      <c r="C16" s="34" t="s">
        <v>14</v>
      </c>
      <c r="D16" s="34" t="s">
        <v>15</v>
      </c>
      <c r="E16" s="34" t="s">
        <v>21</v>
      </c>
      <c r="F16" s="38">
        <v>90</v>
      </c>
      <c r="G16" s="34" t="s">
        <v>3787</v>
      </c>
      <c r="H16" s="34" t="s">
        <v>3788</v>
      </c>
      <c r="I16" s="34" t="s">
        <v>429</v>
      </c>
      <c r="J16" s="38">
        <v>0</v>
      </c>
      <c r="K16" s="34" t="s">
        <v>3789</v>
      </c>
      <c r="L16" s="34" t="s">
        <v>3790</v>
      </c>
      <c r="M16" s="34" t="s">
        <v>3751</v>
      </c>
    </row>
    <row r="17" ht="30" customHeight="1" spans="1:13">
      <c r="A17" s="36" t="s">
        <v>40</v>
      </c>
      <c r="B17" s="36" t="s">
        <v>41</v>
      </c>
      <c r="C17" s="36" t="s">
        <v>14</v>
      </c>
      <c r="D17" s="36" t="s">
        <v>15</v>
      </c>
      <c r="E17" s="36" t="s">
        <v>21</v>
      </c>
      <c r="F17" s="39">
        <v>70</v>
      </c>
      <c r="G17" s="36" t="s">
        <v>3791</v>
      </c>
      <c r="H17" s="36" t="s">
        <v>3792</v>
      </c>
      <c r="I17" s="36" t="s">
        <v>429</v>
      </c>
      <c r="J17" s="39">
        <v>0</v>
      </c>
      <c r="K17" s="36" t="s">
        <v>3793</v>
      </c>
      <c r="L17" s="36" t="s">
        <v>3794</v>
      </c>
      <c r="M17" s="36" t="s">
        <v>3751</v>
      </c>
    </row>
    <row r="18" ht="30" customHeight="1" spans="1:13">
      <c r="A18" s="34" t="s">
        <v>42</v>
      </c>
      <c r="B18" s="34" t="s">
        <v>43</v>
      </c>
      <c r="C18" s="34" t="s">
        <v>14</v>
      </c>
      <c r="D18" s="34" t="s">
        <v>15</v>
      </c>
      <c r="E18" s="34" t="s">
        <v>21</v>
      </c>
      <c r="F18" s="38">
        <v>70</v>
      </c>
      <c r="G18" s="34" t="s">
        <v>3795</v>
      </c>
      <c r="H18" s="34" t="s">
        <v>3796</v>
      </c>
      <c r="I18" s="34" t="s">
        <v>429</v>
      </c>
      <c r="J18" s="38">
        <v>0</v>
      </c>
      <c r="K18" s="34" t="s">
        <v>3797</v>
      </c>
      <c r="L18" s="34" t="s">
        <v>3797</v>
      </c>
      <c r="M18" s="34" t="s">
        <v>3751</v>
      </c>
    </row>
    <row r="19" ht="30" customHeight="1" spans="1:13">
      <c r="A19" s="36" t="s">
        <v>44</v>
      </c>
      <c r="B19" s="36" t="s">
        <v>45</v>
      </c>
      <c r="C19" s="36" t="s">
        <v>14</v>
      </c>
      <c r="D19" s="36" t="s">
        <v>15</v>
      </c>
      <c r="E19" s="36" t="s">
        <v>21</v>
      </c>
      <c r="F19" s="39">
        <v>70</v>
      </c>
      <c r="G19" s="36" t="s">
        <v>3798</v>
      </c>
      <c r="H19" s="36" t="s">
        <v>3799</v>
      </c>
      <c r="I19" s="36" t="s">
        <v>429</v>
      </c>
      <c r="J19" s="39">
        <v>0</v>
      </c>
      <c r="K19" s="36" t="s">
        <v>3800</v>
      </c>
      <c r="L19" s="36" t="s">
        <v>3800</v>
      </c>
      <c r="M19" s="36" t="s">
        <v>3751</v>
      </c>
    </row>
    <row r="20" ht="30" customHeight="1" spans="1:13">
      <c r="A20" s="34" t="s">
        <v>46</v>
      </c>
      <c r="B20" s="34" t="s">
        <v>47</v>
      </c>
      <c r="C20" s="34" t="s">
        <v>14</v>
      </c>
      <c r="D20" s="34" t="s">
        <v>15</v>
      </c>
      <c r="E20" s="34" t="s">
        <v>21</v>
      </c>
      <c r="F20" s="38">
        <v>80</v>
      </c>
      <c r="G20" s="34" t="s">
        <v>3801</v>
      </c>
      <c r="H20" s="34" t="s">
        <v>3802</v>
      </c>
      <c r="I20" s="34" t="s">
        <v>429</v>
      </c>
      <c r="J20" s="38">
        <v>0</v>
      </c>
      <c r="K20" s="34" t="s">
        <v>3803</v>
      </c>
      <c r="L20" s="34" t="s">
        <v>3804</v>
      </c>
      <c r="M20" s="34" t="s">
        <v>3751</v>
      </c>
    </row>
    <row r="21" ht="30" customHeight="1" spans="1:13">
      <c r="A21" s="36" t="s">
        <v>48</v>
      </c>
      <c r="B21" s="36" t="s">
        <v>49</v>
      </c>
      <c r="C21" s="36" t="s">
        <v>14</v>
      </c>
      <c r="D21" s="36" t="s">
        <v>15</v>
      </c>
      <c r="E21" s="36" t="s">
        <v>21</v>
      </c>
      <c r="F21" s="39">
        <v>70</v>
      </c>
      <c r="G21" s="36" t="s">
        <v>3805</v>
      </c>
      <c r="H21" s="36" t="s">
        <v>3806</v>
      </c>
      <c r="I21" s="36" t="s">
        <v>429</v>
      </c>
      <c r="J21" s="39">
        <v>0</v>
      </c>
      <c r="K21" s="36" t="s">
        <v>3807</v>
      </c>
      <c r="L21" s="36" t="s">
        <v>3800</v>
      </c>
      <c r="M21" s="36" t="s">
        <v>3751</v>
      </c>
    </row>
    <row r="22" ht="30" customHeight="1" spans="1:13">
      <c r="A22" s="34" t="s">
        <v>50</v>
      </c>
      <c r="B22" s="34" t="s">
        <v>51</v>
      </c>
      <c r="C22" s="34" t="s">
        <v>14</v>
      </c>
      <c r="D22" s="34" t="s">
        <v>15</v>
      </c>
      <c r="E22" s="34" t="s">
        <v>21</v>
      </c>
      <c r="F22" s="38">
        <v>0</v>
      </c>
      <c r="G22" s="34" t="s">
        <v>682</v>
      </c>
      <c r="H22" s="34" t="s">
        <v>682</v>
      </c>
      <c r="I22" s="34" t="s">
        <v>3778</v>
      </c>
      <c r="J22" s="38">
        <v>0</v>
      </c>
      <c r="K22" s="34" t="s">
        <v>3808</v>
      </c>
      <c r="L22" s="34" t="s">
        <v>3809</v>
      </c>
      <c r="M22" s="34" t="s">
        <v>3751</v>
      </c>
    </row>
    <row r="23" ht="30" customHeight="1" spans="1:13">
      <c r="A23" s="36" t="s">
        <v>52</v>
      </c>
      <c r="B23" s="36" t="s">
        <v>53</v>
      </c>
      <c r="C23" s="36" t="s">
        <v>14</v>
      </c>
      <c r="D23" s="36" t="s">
        <v>15</v>
      </c>
      <c r="E23" s="36" t="s">
        <v>21</v>
      </c>
      <c r="F23" s="39">
        <v>79</v>
      </c>
      <c r="G23" s="36" t="s">
        <v>3810</v>
      </c>
      <c r="H23" s="36" t="s">
        <v>3811</v>
      </c>
      <c r="I23" s="36" t="s">
        <v>429</v>
      </c>
      <c r="J23" s="39">
        <v>0</v>
      </c>
      <c r="K23" s="36" t="s">
        <v>3812</v>
      </c>
      <c r="L23" s="36" t="s">
        <v>3812</v>
      </c>
      <c r="M23" s="36" t="s">
        <v>3751</v>
      </c>
    </row>
    <row r="24" ht="30" customHeight="1" spans="1:13">
      <c r="A24" s="34" t="s">
        <v>54</v>
      </c>
      <c r="B24" s="34" t="s">
        <v>55</v>
      </c>
      <c r="C24" s="34" t="s">
        <v>14</v>
      </c>
      <c r="D24" s="34" t="s">
        <v>15</v>
      </c>
      <c r="E24" s="34" t="s">
        <v>21</v>
      </c>
      <c r="F24" s="38">
        <v>70</v>
      </c>
      <c r="G24" s="34" t="s">
        <v>3813</v>
      </c>
      <c r="H24" s="34" t="s">
        <v>3814</v>
      </c>
      <c r="I24" s="34" t="s">
        <v>429</v>
      </c>
      <c r="J24" s="38">
        <v>0</v>
      </c>
      <c r="K24" s="34" t="s">
        <v>3815</v>
      </c>
      <c r="L24" s="34" t="s">
        <v>3816</v>
      </c>
      <c r="M24" s="34" t="s">
        <v>3751</v>
      </c>
    </row>
    <row r="25" ht="30" customHeight="1" spans="1:13">
      <c r="A25" s="36" t="s">
        <v>56</v>
      </c>
      <c r="B25" s="36" t="s">
        <v>57</v>
      </c>
      <c r="C25" s="36" t="s">
        <v>14</v>
      </c>
      <c r="D25" s="36" t="s">
        <v>15</v>
      </c>
      <c r="E25" s="36" t="s">
        <v>21</v>
      </c>
      <c r="F25" s="39">
        <v>70</v>
      </c>
      <c r="G25" s="36" t="s">
        <v>3817</v>
      </c>
      <c r="H25" s="36" t="s">
        <v>3818</v>
      </c>
      <c r="I25" s="36" t="s">
        <v>429</v>
      </c>
      <c r="J25" s="39">
        <v>0</v>
      </c>
      <c r="K25" s="36" t="s">
        <v>3749</v>
      </c>
      <c r="L25" s="36" t="s">
        <v>3750</v>
      </c>
      <c r="M25" s="36" t="s">
        <v>3751</v>
      </c>
    </row>
    <row r="26" ht="30" customHeight="1" spans="1:13">
      <c r="A26" s="34" t="s">
        <v>58</v>
      </c>
      <c r="B26" s="34" t="s">
        <v>59</v>
      </c>
      <c r="C26" s="34" t="s">
        <v>14</v>
      </c>
      <c r="D26" s="34" t="s">
        <v>15</v>
      </c>
      <c r="E26" s="34" t="s">
        <v>21</v>
      </c>
      <c r="F26" s="38">
        <v>70</v>
      </c>
      <c r="G26" s="34" t="s">
        <v>3819</v>
      </c>
      <c r="H26" s="34" t="s">
        <v>3820</v>
      </c>
      <c r="I26" s="34" t="s">
        <v>429</v>
      </c>
      <c r="J26" s="38">
        <v>0</v>
      </c>
      <c r="K26" s="34" t="s">
        <v>3821</v>
      </c>
      <c r="L26" s="34" t="s">
        <v>3822</v>
      </c>
      <c r="M26" s="34" t="s">
        <v>3751</v>
      </c>
    </row>
    <row r="27" ht="30" customHeight="1" spans="1:13">
      <c r="A27" s="36" t="s">
        <v>60</v>
      </c>
      <c r="B27" s="36" t="s">
        <v>61</v>
      </c>
      <c r="C27" s="36" t="s">
        <v>14</v>
      </c>
      <c r="D27" s="36" t="s">
        <v>15</v>
      </c>
      <c r="E27" s="36" t="s">
        <v>21</v>
      </c>
      <c r="F27" s="39">
        <v>0</v>
      </c>
      <c r="G27" s="36" t="s">
        <v>682</v>
      </c>
      <c r="H27" s="36" t="s">
        <v>682</v>
      </c>
      <c r="I27" s="36" t="s">
        <v>3777</v>
      </c>
      <c r="J27" s="39">
        <v>0</v>
      </c>
      <c r="K27" s="36" t="s">
        <v>3823</v>
      </c>
      <c r="L27" s="36" t="s">
        <v>3824</v>
      </c>
      <c r="M27" s="36" t="s">
        <v>3751</v>
      </c>
    </row>
    <row r="28" ht="30" customHeight="1" spans="1:13">
      <c r="A28" s="34" t="s">
        <v>62</v>
      </c>
      <c r="B28" s="34" t="s">
        <v>63</v>
      </c>
      <c r="C28" s="34" t="s">
        <v>14</v>
      </c>
      <c r="D28" s="34" t="s">
        <v>15</v>
      </c>
      <c r="E28" s="34" t="s">
        <v>21</v>
      </c>
      <c r="F28" s="38">
        <v>70</v>
      </c>
      <c r="G28" s="34" t="s">
        <v>3825</v>
      </c>
      <c r="H28" s="34" t="s">
        <v>3826</v>
      </c>
      <c r="I28" s="34" t="s">
        <v>429</v>
      </c>
      <c r="J28" s="38">
        <v>0</v>
      </c>
      <c r="K28" s="34" t="s">
        <v>3827</v>
      </c>
      <c r="L28" s="34" t="s">
        <v>3828</v>
      </c>
      <c r="M28" s="34" t="s">
        <v>3751</v>
      </c>
    </row>
    <row r="29" ht="30" customHeight="1" spans="1:13">
      <c r="A29" s="36" t="s">
        <v>64</v>
      </c>
      <c r="B29" s="36" t="s">
        <v>65</v>
      </c>
      <c r="C29" s="36" t="s">
        <v>14</v>
      </c>
      <c r="D29" s="36" t="s">
        <v>15</v>
      </c>
      <c r="E29" s="36" t="s">
        <v>21</v>
      </c>
      <c r="F29" s="39">
        <v>70</v>
      </c>
      <c r="G29" s="36" t="s">
        <v>3783</v>
      </c>
      <c r="H29" s="36" t="s">
        <v>3829</v>
      </c>
      <c r="I29" s="36" t="s">
        <v>429</v>
      </c>
      <c r="J29" s="39">
        <v>0</v>
      </c>
      <c r="K29" s="36" t="s">
        <v>3830</v>
      </c>
      <c r="L29" s="36" t="s">
        <v>3831</v>
      </c>
      <c r="M29" s="36" t="s">
        <v>3751</v>
      </c>
    </row>
    <row r="30" ht="30" customHeight="1" spans="1:13">
      <c r="A30" s="34" t="s">
        <v>66</v>
      </c>
      <c r="B30" s="34" t="s">
        <v>67</v>
      </c>
      <c r="C30" s="34" t="s">
        <v>14</v>
      </c>
      <c r="D30" s="34" t="s">
        <v>15</v>
      </c>
      <c r="E30" s="34" t="s">
        <v>21</v>
      </c>
      <c r="F30" s="38">
        <v>70</v>
      </c>
      <c r="G30" s="34" t="s">
        <v>3832</v>
      </c>
      <c r="H30" s="34" t="s">
        <v>3833</v>
      </c>
      <c r="I30" s="34" t="s">
        <v>429</v>
      </c>
      <c r="J30" s="38">
        <v>0</v>
      </c>
      <c r="K30" s="34" t="s">
        <v>773</v>
      </c>
      <c r="L30" s="34" t="s">
        <v>1553</v>
      </c>
      <c r="M30" s="34" t="s">
        <v>3751</v>
      </c>
    </row>
    <row r="31" ht="30" customHeight="1" spans="1:13">
      <c r="A31" s="36" t="s">
        <v>68</v>
      </c>
      <c r="B31" s="36" t="s">
        <v>69</v>
      </c>
      <c r="C31" s="36" t="s">
        <v>14</v>
      </c>
      <c r="D31" s="36" t="s">
        <v>15</v>
      </c>
      <c r="E31" s="36" t="s">
        <v>21</v>
      </c>
      <c r="F31" s="39">
        <v>70</v>
      </c>
      <c r="G31" s="36" t="s">
        <v>3834</v>
      </c>
      <c r="H31" s="36" t="s">
        <v>3835</v>
      </c>
      <c r="I31" s="36" t="s">
        <v>429</v>
      </c>
      <c r="J31" s="39">
        <v>0</v>
      </c>
      <c r="K31" s="36" t="s">
        <v>3836</v>
      </c>
      <c r="L31" s="36" t="s">
        <v>3837</v>
      </c>
      <c r="M31" s="36" t="s">
        <v>3751</v>
      </c>
    </row>
    <row r="32" ht="30" customHeight="1" spans="1:13">
      <c r="A32" s="34" t="s">
        <v>70</v>
      </c>
      <c r="B32" s="34" t="s">
        <v>71</v>
      </c>
      <c r="C32" s="34" t="s">
        <v>14</v>
      </c>
      <c r="D32" s="34" t="s">
        <v>15</v>
      </c>
      <c r="E32" s="34" t="s">
        <v>16</v>
      </c>
      <c r="F32" s="38">
        <v>70</v>
      </c>
      <c r="G32" s="34" t="s">
        <v>3838</v>
      </c>
      <c r="H32" s="34" t="s">
        <v>3839</v>
      </c>
      <c r="I32" s="34" t="s">
        <v>429</v>
      </c>
      <c r="J32" s="38">
        <v>0</v>
      </c>
      <c r="K32" s="34" t="s">
        <v>3840</v>
      </c>
      <c r="L32" s="34" t="s">
        <v>3841</v>
      </c>
      <c r="M32" s="34" t="s">
        <v>3751</v>
      </c>
    </row>
    <row r="33" ht="30" customHeight="1" spans="1:13">
      <c r="A33" s="36" t="s">
        <v>72</v>
      </c>
      <c r="B33" s="36" t="s">
        <v>73</v>
      </c>
      <c r="C33" s="36" t="s">
        <v>14</v>
      </c>
      <c r="D33" s="36" t="s">
        <v>15</v>
      </c>
      <c r="E33" s="36" t="s">
        <v>16</v>
      </c>
      <c r="F33" s="39">
        <v>60</v>
      </c>
      <c r="G33" s="36" t="s">
        <v>3842</v>
      </c>
      <c r="H33" s="36" t="s">
        <v>3843</v>
      </c>
      <c r="I33" s="36" t="s">
        <v>429</v>
      </c>
      <c r="J33" s="39">
        <v>0</v>
      </c>
      <c r="K33" s="36" t="s">
        <v>3844</v>
      </c>
      <c r="L33" s="36" t="s">
        <v>3844</v>
      </c>
      <c r="M33" s="36" t="s">
        <v>3751</v>
      </c>
    </row>
    <row r="34" ht="30" customHeight="1" spans="1:13">
      <c r="A34" s="34" t="s">
        <v>74</v>
      </c>
      <c r="B34" s="34" t="s">
        <v>75</v>
      </c>
      <c r="C34" s="34" t="s">
        <v>14</v>
      </c>
      <c r="D34" s="34" t="s">
        <v>15</v>
      </c>
      <c r="E34" s="34" t="s">
        <v>16</v>
      </c>
      <c r="F34" s="38">
        <v>60</v>
      </c>
      <c r="G34" s="34" t="s">
        <v>3768</v>
      </c>
      <c r="H34" s="34" t="s">
        <v>3845</v>
      </c>
      <c r="I34" s="34" t="s">
        <v>429</v>
      </c>
      <c r="J34" s="38">
        <v>0</v>
      </c>
      <c r="K34" s="34" t="s">
        <v>3846</v>
      </c>
      <c r="L34" s="34" t="s">
        <v>3846</v>
      </c>
      <c r="M34" s="34" t="s">
        <v>3751</v>
      </c>
    </row>
    <row r="35" ht="30" customHeight="1" spans="1:13">
      <c r="A35" s="36" t="s">
        <v>76</v>
      </c>
      <c r="B35" s="36" t="s">
        <v>77</v>
      </c>
      <c r="C35" s="36" t="s">
        <v>14</v>
      </c>
      <c r="D35" s="36" t="s">
        <v>15</v>
      </c>
      <c r="E35" s="36" t="s">
        <v>16</v>
      </c>
      <c r="F35" s="39">
        <v>70</v>
      </c>
      <c r="G35" s="36" t="s">
        <v>3847</v>
      </c>
      <c r="H35" s="36" t="s">
        <v>3848</v>
      </c>
      <c r="I35" s="36" t="s">
        <v>429</v>
      </c>
      <c r="J35" s="39">
        <v>0</v>
      </c>
      <c r="K35" s="36" t="s">
        <v>3849</v>
      </c>
      <c r="L35" s="36" t="s">
        <v>3850</v>
      </c>
      <c r="M35" s="36" t="s">
        <v>3751</v>
      </c>
    </row>
    <row r="36" ht="30" customHeight="1" spans="1:13">
      <c r="A36" s="34" t="s">
        <v>78</v>
      </c>
      <c r="B36" s="34" t="s">
        <v>79</v>
      </c>
      <c r="C36" s="34" t="s">
        <v>14</v>
      </c>
      <c r="D36" s="34" t="s">
        <v>15</v>
      </c>
      <c r="E36" s="34" t="s">
        <v>16</v>
      </c>
      <c r="F36" s="38">
        <v>70</v>
      </c>
      <c r="G36" s="34" t="s">
        <v>3851</v>
      </c>
      <c r="H36" s="34" t="s">
        <v>3826</v>
      </c>
      <c r="I36" s="34" t="s">
        <v>429</v>
      </c>
      <c r="J36" s="38">
        <v>0</v>
      </c>
      <c r="K36" s="34" t="s">
        <v>3852</v>
      </c>
      <c r="L36" s="34" t="s">
        <v>3853</v>
      </c>
      <c r="M36" s="34" t="s">
        <v>3751</v>
      </c>
    </row>
    <row r="37" ht="30" customHeight="1" spans="1:13">
      <c r="A37" s="36" t="s">
        <v>80</v>
      </c>
      <c r="B37" s="36" t="s">
        <v>81</v>
      </c>
      <c r="C37" s="36" t="s">
        <v>14</v>
      </c>
      <c r="D37" s="36" t="s">
        <v>15</v>
      </c>
      <c r="E37" s="36" t="s">
        <v>16</v>
      </c>
      <c r="F37" s="39">
        <v>70</v>
      </c>
      <c r="G37" s="36" t="s">
        <v>3854</v>
      </c>
      <c r="H37" s="36" t="s">
        <v>3855</v>
      </c>
      <c r="I37" s="36" t="s">
        <v>429</v>
      </c>
      <c r="J37" s="39">
        <v>0</v>
      </c>
      <c r="K37" s="36" t="s">
        <v>3856</v>
      </c>
      <c r="L37" s="36" t="s">
        <v>3856</v>
      </c>
      <c r="M37" s="36" t="s">
        <v>3751</v>
      </c>
    </row>
    <row r="38" ht="30" customHeight="1" spans="1:13">
      <c r="A38" s="34" t="s">
        <v>82</v>
      </c>
      <c r="B38" s="34" t="s">
        <v>83</v>
      </c>
      <c r="C38" s="34" t="s">
        <v>14</v>
      </c>
      <c r="D38" s="34" t="s">
        <v>15</v>
      </c>
      <c r="E38" s="34" t="s">
        <v>16</v>
      </c>
      <c r="F38" s="38">
        <v>70</v>
      </c>
      <c r="G38" s="34" t="s">
        <v>3857</v>
      </c>
      <c r="H38" s="34" t="s">
        <v>3858</v>
      </c>
      <c r="I38" s="34" t="s">
        <v>429</v>
      </c>
      <c r="J38" s="38">
        <v>0</v>
      </c>
      <c r="K38" s="34" t="s">
        <v>3859</v>
      </c>
      <c r="L38" s="34" t="s">
        <v>3860</v>
      </c>
      <c r="M38" s="34" t="s">
        <v>3751</v>
      </c>
    </row>
    <row r="39" ht="30" customHeight="1" spans="1:13">
      <c r="A39" s="36" t="s">
        <v>84</v>
      </c>
      <c r="B39" s="36" t="s">
        <v>85</v>
      </c>
      <c r="C39" s="36" t="s">
        <v>14</v>
      </c>
      <c r="D39" s="36" t="s">
        <v>15</v>
      </c>
      <c r="E39" s="36" t="s">
        <v>16</v>
      </c>
      <c r="F39" s="39">
        <v>70</v>
      </c>
      <c r="G39" s="36" t="s">
        <v>3861</v>
      </c>
      <c r="H39" s="36" t="s">
        <v>3862</v>
      </c>
      <c r="I39" s="36" t="s">
        <v>429</v>
      </c>
      <c r="J39" s="39">
        <v>0</v>
      </c>
      <c r="K39" s="36" t="s">
        <v>3863</v>
      </c>
      <c r="L39" s="36" t="s">
        <v>3864</v>
      </c>
      <c r="M39" s="36" t="s">
        <v>3751</v>
      </c>
    </row>
    <row r="40" ht="30" customHeight="1" spans="1:13">
      <c r="A40" s="34" t="s">
        <v>86</v>
      </c>
      <c r="B40" s="34" t="s">
        <v>87</v>
      </c>
      <c r="C40" s="34" t="s">
        <v>14</v>
      </c>
      <c r="D40" s="34" t="s">
        <v>15</v>
      </c>
      <c r="E40" s="34" t="s">
        <v>16</v>
      </c>
      <c r="F40" s="38">
        <v>70</v>
      </c>
      <c r="G40" s="34" t="s">
        <v>3865</v>
      </c>
      <c r="H40" s="34" t="s">
        <v>3866</v>
      </c>
      <c r="I40" s="34" t="s">
        <v>429</v>
      </c>
      <c r="J40" s="38">
        <v>0</v>
      </c>
      <c r="K40" s="34" t="s">
        <v>3867</v>
      </c>
      <c r="L40" s="34" t="s">
        <v>3868</v>
      </c>
      <c r="M40" s="34" t="s">
        <v>3751</v>
      </c>
    </row>
    <row r="41" ht="30" customHeight="1" spans="1:13">
      <c r="A41" s="36" t="s">
        <v>88</v>
      </c>
      <c r="B41" s="36" t="s">
        <v>89</v>
      </c>
      <c r="C41" s="36" t="s">
        <v>14</v>
      </c>
      <c r="D41" s="36" t="s">
        <v>15</v>
      </c>
      <c r="E41" s="36" t="s">
        <v>16</v>
      </c>
      <c r="F41" s="39">
        <v>70</v>
      </c>
      <c r="G41" s="36" t="s">
        <v>3869</v>
      </c>
      <c r="H41" s="36" t="s">
        <v>3870</v>
      </c>
      <c r="I41" s="36" t="s">
        <v>429</v>
      </c>
      <c r="J41" s="39">
        <v>0</v>
      </c>
      <c r="K41" s="36" t="s">
        <v>3871</v>
      </c>
      <c r="L41" s="36" t="s">
        <v>3872</v>
      </c>
      <c r="M41" s="36" t="s">
        <v>3751</v>
      </c>
    </row>
    <row r="42" ht="30" customHeight="1" spans="1:13">
      <c r="A42" s="34" t="s">
        <v>90</v>
      </c>
      <c r="B42" s="34" t="s">
        <v>91</v>
      </c>
      <c r="C42" s="34" t="s">
        <v>14</v>
      </c>
      <c r="D42" s="34" t="s">
        <v>15</v>
      </c>
      <c r="E42" s="34" t="s">
        <v>16</v>
      </c>
      <c r="F42" s="38">
        <v>79</v>
      </c>
      <c r="G42" s="34" t="s">
        <v>3873</v>
      </c>
      <c r="H42" s="34" t="s">
        <v>3806</v>
      </c>
      <c r="I42" s="34" t="s">
        <v>429</v>
      </c>
      <c r="J42" s="38">
        <v>0</v>
      </c>
      <c r="K42" s="34" t="s">
        <v>3874</v>
      </c>
      <c r="L42" s="34" t="s">
        <v>3874</v>
      </c>
      <c r="M42" s="34" t="s">
        <v>3751</v>
      </c>
    </row>
    <row r="43" ht="30" customHeight="1" spans="1:13">
      <c r="A43" s="36" t="s">
        <v>92</v>
      </c>
      <c r="B43" s="36" t="s">
        <v>93</v>
      </c>
      <c r="C43" s="36" t="s">
        <v>14</v>
      </c>
      <c r="D43" s="36" t="s">
        <v>15</v>
      </c>
      <c r="E43" s="36" t="s">
        <v>16</v>
      </c>
      <c r="F43" s="39">
        <v>70</v>
      </c>
      <c r="G43" s="36" t="s">
        <v>3875</v>
      </c>
      <c r="H43" s="36" t="s">
        <v>3876</v>
      </c>
      <c r="I43" s="36" t="s">
        <v>429</v>
      </c>
      <c r="J43" s="39">
        <v>0</v>
      </c>
      <c r="K43" s="36" t="s">
        <v>3877</v>
      </c>
      <c r="L43" s="36" t="s">
        <v>3878</v>
      </c>
      <c r="M43" s="36" t="s">
        <v>3751</v>
      </c>
    </row>
    <row r="44" ht="30" customHeight="1" spans="1:13">
      <c r="A44" s="34" t="s">
        <v>94</v>
      </c>
      <c r="B44" s="34" t="s">
        <v>95</v>
      </c>
      <c r="C44" s="34" t="s">
        <v>14</v>
      </c>
      <c r="D44" s="34" t="s">
        <v>15</v>
      </c>
      <c r="E44" s="34" t="s">
        <v>16</v>
      </c>
      <c r="F44" s="38">
        <v>80</v>
      </c>
      <c r="G44" s="34" t="s">
        <v>3879</v>
      </c>
      <c r="H44" s="34" t="s">
        <v>3880</v>
      </c>
      <c r="I44" s="34" t="s">
        <v>429</v>
      </c>
      <c r="J44" s="38">
        <v>0</v>
      </c>
      <c r="K44" s="34" t="s">
        <v>3881</v>
      </c>
      <c r="L44" s="34" t="s">
        <v>3882</v>
      </c>
      <c r="M44" s="34" t="s">
        <v>3751</v>
      </c>
    </row>
    <row r="45" ht="30" customHeight="1" spans="1:13">
      <c r="A45" s="36" t="s">
        <v>96</v>
      </c>
      <c r="B45" s="36" t="s">
        <v>97</v>
      </c>
      <c r="C45" s="36" t="s">
        <v>14</v>
      </c>
      <c r="D45" s="36" t="s">
        <v>15</v>
      </c>
      <c r="E45" s="36" t="s">
        <v>16</v>
      </c>
      <c r="F45" s="39">
        <v>0</v>
      </c>
      <c r="G45" s="36" t="s">
        <v>682</v>
      </c>
      <c r="H45" s="36" t="s">
        <v>682</v>
      </c>
      <c r="I45" s="36" t="s">
        <v>3778</v>
      </c>
      <c r="J45" s="39">
        <v>0</v>
      </c>
      <c r="K45" s="36" t="s">
        <v>682</v>
      </c>
      <c r="L45" s="36" t="s">
        <v>682</v>
      </c>
      <c r="M45" s="36" t="s">
        <v>3777</v>
      </c>
    </row>
    <row r="46" ht="30" customHeight="1" spans="1:13">
      <c r="A46" s="34" t="s">
        <v>98</v>
      </c>
      <c r="B46" s="34" t="s">
        <v>99</v>
      </c>
      <c r="C46" s="34" t="s">
        <v>14</v>
      </c>
      <c r="D46" s="34" t="s">
        <v>15</v>
      </c>
      <c r="E46" s="34" t="s">
        <v>16</v>
      </c>
      <c r="F46" s="38">
        <v>70</v>
      </c>
      <c r="G46" s="34" t="s">
        <v>3883</v>
      </c>
      <c r="H46" s="34" t="s">
        <v>3884</v>
      </c>
      <c r="I46" s="34" t="s">
        <v>429</v>
      </c>
      <c r="J46" s="38">
        <v>0</v>
      </c>
      <c r="K46" s="34" t="s">
        <v>3885</v>
      </c>
      <c r="L46" s="34" t="s">
        <v>3885</v>
      </c>
      <c r="M46" s="34" t="s">
        <v>3751</v>
      </c>
    </row>
    <row r="47" ht="30" customHeight="1" spans="1:13">
      <c r="A47" s="36" t="s">
        <v>100</v>
      </c>
      <c r="B47" s="36" t="s">
        <v>101</v>
      </c>
      <c r="C47" s="36" t="s">
        <v>14</v>
      </c>
      <c r="D47" s="36" t="s">
        <v>15</v>
      </c>
      <c r="E47" s="36" t="s">
        <v>16</v>
      </c>
      <c r="F47" s="39">
        <v>70</v>
      </c>
      <c r="G47" s="36" t="s">
        <v>3886</v>
      </c>
      <c r="H47" s="36" t="s">
        <v>3887</v>
      </c>
      <c r="I47" s="36" t="s">
        <v>429</v>
      </c>
      <c r="J47" s="39">
        <v>0</v>
      </c>
      <c r="K47" s="36" t="s">
        <v>3888</v>
      </c>
      <c r="L47" s="36" t="s">
        <v>3888</v>
      </c>
      <c r="M47" s="36" t="s">
        <v>3751</v>
      </c>
    </row>
    <row r="48" ht="30" customHeight="1" spans="1:13">
      <c r="A48" s="34" t="s">
        <v>102</v>
      </c>
      <c r="B48" s="34" t="s">
        <v>103</v>
      </c>
      <c r="C48" s="34" t="s">
        <v>14</v>
      </c>
      <c r="D48" s="34" t="s">
        <v>15</v>
      </c>
      <c r="E48" s="34" t="s">
        <v>16</v>
      </c>
      <c r="F48" s="38">
        <v>80</v>
      </c>
      <c r="G48" s="34" t="s">
        <v>3889</v>
      </c>
      <c r="H48" s="34" t="s">
        <v>3890</v>
      </c>
      <c r="I48" s="34" t="s">
        <v>429</v>
      </c>
      <c r="J48" s="38">
        <v>0</v>
      </c>
      <c r="K48" s="34" t="s">
        <v>3891</v>
      </c>
      <c r="L48" s="34" t="s">
        <v>3892</v>
      </c>
      <c r="M48" s="34" t="s">
        <v>3751</v>
      </c>
    </row>
    <row r="49" ht="30" customHeight="1" spans="1:13">
      <c r="A49" s="36" t="s">
        <v>104</v>
      </c>
      <c r="B49" s="36" t="s">
        <v>105</v>
      </c>
      <c r="C49" s="36" t="s">
        <v>14</v>
      </c>
      <c r="D49" s="36" t="s">
        <v>15</v>
      </c>
      <c r="E49" s="36" t="s">
        <v>16</v>
      </c>
      <c r="F49" s="39">
        <v>70</v>
      </c>
      <c r="G49" s="36" t="s">
        <v>3893</v>
      </c>
      <c r="H49" s="36" t="s">
        <v>3894</v>
      </c>
      <c r="I49" s="36" t="s">
        <v>429</v>
      </c>
      <c r="J49" s="39">
        <v>0</v>
      </c>
      <c r="K49" s="36" t="s">
        <v>3837</v>
      </c>
      <c r="L49" s="36" t="s">
        <v>3895</v>
      </c>
      <c r="M49" s="36" t="s">
        <v>3751</v>
      </c>
    </row>
    <row r="50" ht="30" customHeight="1" spans="1:13">
      <c r="A50" s="34" t="s">
        <v>106</v>
      </c>
      <c r="B50" s="34" t="s">
        <v>107</v>
      </c>
      <c r="C50" s="34" t="s">
        <v>14</v>
      </c>
      <c r="D50" s="34" t="s">
        <v>15</v>
      </c>
      <c r="E50" s="34" t="s">
        <v>16</v>
      </c>
      <c r="F50" s="38">
        <v>60</v>
      </c>
      <c r="G50" s="34" t="s">
        <v>3896</v>
      </c>
      <c r="H50" s="34" t="s">
        <v>3897</v>
      </c>
      <c r="I50" s="34" t="s">
        <v>429</v>
      </c>
      <c r="J50" s="38">
        <v>0</v>
      </c>
      <c r="K50" s="34" t="s">
        <v>3898</v>
      </c>
      <c r="L50" s="34" t="s">
        <v>3899</v>
      </c>
      <c r="M50" s="34" t="s">
        <v>3751</v>
      </c>
    </row>
    <row r="51" ht="30" customHeight="1" spans="1:13">
      <c r="A51" s="36" t="s">
        <v>108</v>
      </c>
      <c r="B51" s="36" t="s">
        <v>109</v>
      </c>
      <c r="C51" s="36" t="s">
        <v>14</v>
      </c>
      <c r="D51" s="36" t="s">
        <v>15</v>
      </c>
      <c r="E51" s="36" t="s">
        <v>16</v>
      </c>
      <c r="F51" s="39">
        <v>70</v>
      </c>
      <c r="G51" s="36" t="s">
        <v>3900</v>
      </c>
      <c r="H51" s="36" t="s">
        <v>3901</v>
      </c>
      <c r="I51" s="36" t="s">
        <v>429</v>
      </c>
      <c r="J51" s="39">
        <v>0</v>
      </c>
      <c r="K51" s="36" t="s">
        <v>1553</v>
      </c>
      <c r="L51" s="36" t="s">
        <v>3902</v>
      </c>
      <c r="M51" s="36" t="s">
        <v>3751</v>
      </c>
    </row>
    <row r="52" ht="30" customHeight="1" spans="1:13">
      <c r="A52" s="34" t="s">
        <v>110</v>
      </c>
      <c r="B52" s="34" t="s">
        <v>111</v>
      </c>
      <c r="C52" s="34" t="s">
        <v>14</v>
      </c>
      <c r="D52" s="34" t="s">
        <v>15</v>
      </c>
      <c r="E52" s="34" t="s">
        <v>16</v>
      </c>
      <c r="F52" s="38">
        <v>80</v>
      </c>
      <c r="G52" s="34" t="s">
        <v>3903</v>
      </c>
      <c r="H52" s="34" t="s">
        <v>3904</v>
      </c>
      <c r="I52" s="34" t="s">
        <v>429</v>
      </c>
      <c r="J52" s="38">
        <v>0</v>
      </c>
      <c r="K52" s="34" t="s">
        <v>497</v>
      </c>
      <c r="L52" s="34" t="s">
        <v>853</v>
      </c>
      <c r="M52" s="34" t="s">
        <v>3751</v>
      </c>
    </row>
    <row r="53" ht="30" customHeight="1" spans="1:13">
      <c r="A53" s="36" t="s">
        <v>112</v>
      </c>
      <c r="B53" s="36" t="s">
        <v>113</v>
      </c>
      <c r="C53" s="36" t="s">
        <v>14</v>
      </c>
      <c r="D53" s="36" t="s">
        <v>15</v>
      </c>
      <c r="E53" s="36" t="s">
        <v>16</v>
      </c>
      <c r="F53" s="39">
        <v>60</v>
      </c>
      <c r="G53" s="36" t="s">
        <v>3905</v>
      </c>
      <c r="H53" s="36" t="s">
        <v>3906</v>
      </c>
      <c r="I53" s="36" t="s">
        <v>429</v>
      </c>
      <c r="J53" s="39">
        <v>0</v>
      </c>
      <c r="K53" s="36" t="s">
        <v>3907</v>
      </c>
      <c r="L53" s="36" t="s">
        <v>3908</v>
      </c>
      <c r="M53" s="36" t="s">
        <v>3751</v>
      </c>
    </row>
    <row r="54" ht="30" customHeight="1" spans="1:13">
      <c r="A54" s="34" t="s">
        <v>114</v>
      </c>
      <c r="B54" s="34" t="s">
        <v>115</v>
      </c>
      <c r="C54" s="34" t="s">
        <v>14</v>
      </c>
      <c r="D54" s="34" t="s">
        <v>15</v>
      </c>
      <c r="E54" s="34" t="s">
        <v>16</v>
      </c>
      <c r="F54" s="38">
        <v>80</v>
      </c>
      <c r="G54" s="34" t="s">
        <v>3909</v>
      </c>
      <c r="H54" s="34" t="s">
        <v>3910</v>
      </c>
      <c r="I54" s="34" t="s">
        <v>429</v>
      </c>
      <c r="J54" s="38">
        <v>0</v>
      </c>
      <c r="K54" s="34" t="s">
        <v>3911</v>
      </c>
      <c r="L54" s="34" t="s">
        <v>3912</v>
      </c>
      <c r="M54" s="34" t="s">
        <v>3751</v>
      </c>
    </row>
  </sheetData>
  <mergeCells count="9">
    <mergeCell ref="A1:M1"/>
    <mergeCell ref="A2:M2"/>
    <mergeCell ref="F3:I3"/>
    <mergeCell ref="J3:M3"/>
    <mergeCell ref="A3:A4"/>
    <mergeCell ref="B3:B4"/>
    <mergeCell ref="C3:C4"/>
    <mergeCell ref="D3:D4"/>
    <mergeCell ref="E3:E4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workbookViewId="0">
      <pane xSplit="1" ySplit="4" topLeftCell="B11" activePane="bottomRight" state="frozen"/>
      <selection/>
      <selection pane="topRight"/>
      <selection pane="bottomLeft"/>
      <selection pane="bottomRight" activeCell="A2" sqref="A2:U52"/>
    </sheetView>
  </sheetViews>
  <sheetFormatPr defaultColWidth="8.88888888888889" defaultRowHeight="14.4" outlineLevelCol="4"/>
  <cols>
    <col min="1" max="1" width="11" customWidth="1"/>
    <col min="2" max="2" width="13" customWidth="1"/>
    <col min="3" max="3" width="33" customWidth="1"/>
    <col min="4" max="4" width="19" customWidth="1"/>
    <col min="5" max="5" width="28" customWidth="1"/>
    <col min="6" max="6" width="17.5740740740741" customWidth="1"/>
  </cols>
  <sheetData>
    <row r="1" ht="30" customHeight="1" spans="1:5">
      <c r="A1" s="31" t="s">
        <v>3913</v>
      </c>
    </row>
    <row r="2" ht="30" customHeight="1" spans="1:5">
      <c r="A2" s="32" t="s">
        <v>1</v>
      </c>
    </row>
    <row r="3" spans="1:5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</row>
    <row r="4" spans="1:5">
      <c r="A4" s="33"/>
      <c r="B4" s="33"/>
      <c r="C4" s="33"/>
      <c r="D4" s="33"/>
      <c r="E4" s="33"/>
    </row>
    <row r="5" ht="30" customHeight="1" spans="1:5">
      <c r="A5" s="36" t="s">
        <v>12</v>
      </c>
      <c r="B5" s="36" t="s">
        <v>13</v>
      </c>
      <c r="C5" s="36" t="s">
        <v>14</v>
      </c>
      <c r="D5" s="36" t="s">
        <v>15</v>
      </c>
      <c r="E5" s="36" t="s">
        <v>16</v>
      </c>
    </row>
    <row r="6" ht="30" customHeight="1" spans="1:5">
      <c r="A6" s="34" t="s">
        <v>17</v>
      </c>
      <c r="B6" s="34" t="s">
        <v>18</v>
      </c>
      <c r="C6" s="34" t="s">
        <v>14</v>
      </c>
      <c r="D6" s="34" t="s">
        <v>15</v>
      </c>
      <c r="E6" s="34" t="s">
        <v>16</v>
      </c>
    </row>
    <row r="7" ht="30" customHeight="1" spans="1:5">
      <c r="A7" s="36" t="s">
        <v>19</v>
      </c>
      <c r="B7" s="36" t="s">
        <v>20</v>
      </c>
      <c r="C7" s="36" t="s">
        <v>14</v>
      </c>
      <c r="D7" s="36" t="s">
        <v>15</v>
      </c>
      <c r="E7" s="36" t="s">
        <v>21</v>
      </c>
    </row>
    <row r="8" ht="30" customHeight="1" spans="1:5">
      <c r="A8" s="34" t="s">
        <v>22</v>
      </c>
      <c r="B8" s="34" t="s">
        <v>23</v>
      </c>
      <c r="C8" s="34" t="s">
        <v>14</v>
      </c>
      <c r="D8" s="34" t="s">
        <v>15</v>
      </c>
      <c r="E8" s="34" t="s">
        <v>21</v>
      </c>
    </row>
    <row r="9" ht="30" customHeight="1" spans="1:5">
      <c r="A9" s="36" t="s">
        <v>24</v>
      </c>
      <c r="B9" s="36" t="s">
        <v>25</v>
      </c>
      <c r="C9" s="36" t="s">
        <v>14</v>
      </c>
      <c r="D9" s="36" t="s">
        <v>15</v>
      </c>
      <c r="E9" s="36" t="s">
        <v>21</v>
      </c>
    </row>
    <row r="10" ht="30" customHeight="1" spans="1:5">
      <c r="A10" s="34" t="s">
        <v>26</v>
      </c>
      <c r="B10" s="34" t="s">
        <v>27</v>
      </c>
      <c r="C10" s="34" t="s">
        <v>14</v>
      </c>
      <c r="D10" s="34" t="s">
        <v>15</v>
      </c>
      <c r="E10" s="34" t="s">
        <v>21</v>
      </c>
    </row>
    <row r="11" ht="30" customHeight="1" spans="1:5">
      <c r="A11" s="36" t="s">
        <v>28</v>
      </c>
      <c r="B11" s="36" t="s">
        <v>29</v>
      </c>
      <c r="C11" s="36" t="s">
        <v>14</v>
      </c>
      <c r="D11" s="36" t="s">
        <v>15</v>
      </c>
      <c r="E11" s="36" t="s">
        <v>21</v>
      </c>
    </row>
    <row r="12" ht="30" customHeight="1" spans="1:5">
      <c r="A12" s="34" t="s">
        <v>30</v>
      </c>
      <c r="B12" s="34" t="s">
        <v>31</v>
      </c>
      <c r="C12" s="34" t="s">
        <v>14</v>
      </c>
      <c r="D12" s="34" t="s">
        <v>15</v>
      </c>
      <c r="E12" s="34" t="s">
        <v>21</v>
      </c>
    </row>
    <row r="13" ht="30" customHeight="1" spans="1:5">
      <c r="A13" s="36" t="s">
        <v>32</v>
      </c>
      <c r="B13" s="36" t="s">
        <v>33</v>
      </c>
      <c r="C13" s="36" t="s">
        <v>14</v>
      </c>
      <c r="D13" s="36" t="s">
        <v>15</v>
      </c>
      <c r="E13" s="36" t="s">
        <v>21</v>
      </c>
    </row>
    <row r="14" ht="30" customHeight="1" spans="1:5">
      <c r="A14" s="34" t="s">
        <v>34</v>
      </c>
      <c r="B14" s="34" t="s">
        <v>35</v>
      </c>
      <c r="C14" s="34" t="s">
        <v>14</v>
      </c>
      <c r="D14" s="34" t="s">
        <v>15</v>
      </c>
      <c r="E14" s="34" t="s">
        <v>21</v>
      </c>
    </row>
    <row r="15" ht="30" customHeight="1" spans="1:5">
      <c r="A15" s="36" t="s">
        <v>36</v>
      </c>
      <c r="B15" s="36" t="s">
        <v>37</v>
      </c>
      <c r="C15" s="36" t="s">
        <v>14</v>
      </c>
      <c r="D15" s="36" t="s">
        <v>15</v>
      </c>
      <c r="E15" s="36" t="s">
        <v>21</v>
      </c>
    </row>
    <row r="16" ht="30" customHeight="1" spans="1:5">
      <c r="A16" s="34" t="s">
        <v>38</v>
      </c>
      <c r="B16" s="34" t="s">
        <v>39</v>
      </c>
      <c r="C16" s="34" t="s">
        <v>14</v>
      </c>
      <c r="D16" s="34" t="s">
        <v>15</v>
      </c>
      <c r="E16" s="34" t="s">
        <v>21</v>
      </c>
    </row>
    <row r="17" ht="30" customHeight="1" spans="1:5">
      <c r="A17" s="36" t="s">
        <v>40</v>
      </c>
      <c r="B17" s="36" t="s">
        <v>41</v>
      </c>
      <c r="C17" s="36" t="s">
        <v>14</v>
      </c>
      <c r="D17" s="36" t="s">
        <v>15</v>
      </c>
      <c r="E17" s="36" t="s">
        <v>21</v>
      </c>
    </row>
    <row r="18" ht="30" customHeight="1" spans="1:5">
      <c r="A18" s="34" t="s">
        <v>42</v>
      </c>
      <c r="B18" s="34" t="s">
        <v>43</v>
      </c>
      <c r="C18" s="34" t="s">
        <v>14</v>
      </c>
      <c r="D18" s="34" t="s">
        <v>15</v>
      </c>
      <c r="E18" s="34" t="s">
        <v>21</v>
      </c>
    </row>
    <row r="19" ht="30" customHeight="1" spans="1:5">
      <c r="A19" s="36" t="s">
        <v>44</v>
      </c>
      <c r="B19" s="36" t="s">
        <v>45</v>
      </c>
      <c r="C19" s="36" t="s">
        <v>14</v>
      </c>
      <c r="D19" s="36" t="s">
        <v>15</v>
      </c>
      <c r="E19" s="36" t="s">
        <v>21</v>
      </c>
    </row>
    <row r="20" ht="30" customHeight="1" spans="1:5">
      <c r="A20" s="34" t="s">
        <v>46</v>
      </c>
      <c r="B20" s="34" t="s">
        <v>47</v>
      </c>
      <c r="C20" s="34" t="s">
        <v>14</v>
      </c>
      <c r="D20" s="34" t="s">
        <v>15</v>
      </c>
      <c r="E20" s="34" t="s">
        <v>21</v>
      </c>
    </row>
    <row r="21" ht="30" customHeight="1" spans="1:5">
      <c r="A21" s="36" t="s">
        <v>48</v>
      </c>
      <c r="B21" s="36" t="s">
        <v>49</v>
      </c>
      <c r="C21" s="36" t="s">
        <v>14</v>
      </c>
      <c r="D21" s="36" t="s">
        <v>15</v>
      </c>
      <c r="E21" s="36" t="s">
        <v>21</v>
      </c>
    </row>
    <row r="22" ht="30" customHeight="1" spans="1:5">
      <c r="A22" s="34" t="s">
        <v>50</v>
      </c>
      <c r="B22" s="34" t="s">
        <v>51</v>
      </c>
      <c r="C22" s="34" t="s">
        <v>14</v>
      </c>
      <c r="D22" s="34" t="s">
        <v>15</v>
      </c>
      <c r="E22" s="34" t="s">
        <v>21</v>
      </c>
    </row>
    <row r="23" ht="30" customHeight="1" spans="1:5">
      <c r="A23" s="36" t="s">
        <v>52</v>
      </c>
      <c r="B23" s="36" t="s">
        <v>53</v>
      </c>
      <c r="C23" s="36" t="s">
        <v>14</v>
      </c>
      <c r="D23" s="36" t="s">
        <v>15</v>
      </c>
      <c r="E23" s="36" t="s">
        <v>21</v>
      </c>
    </row>
    <row r="24" ht="30" customHeight="1" spans="1:5">
      <c r="A24" s="34" t="s">
        <v>54</v>
      </c>
      <c r="B24" s="34" t="s">
        <v>55</v>
      </c>
      <c r="C24" s="34" t="s">
        <v>14</v>
      </c>
      <c r="D24" s="34" t="s">
        <v>15</v>
      </c>
      <c r="E24" s="34" t="s">
        <v>21</v>
      </c>
    </row>
    <row r="25" ht="30" customHeight="1" spans="1:5">
      <c r="A25" s="36" t="s">
        <v>56</v>
      </c>
      <c r="B25" s="36" t="s">
        <v>57</v>
      </c>
      <c r="C25" s="36" t="s">
        <v>14</v>
      </c>
      <c r="D25" s="36" t="s">
        <v>15</v>
      </c>
      <c r="E25" s="36" t="s">
        <v>21</v>
      </c>
    </row>
    <row r="26" ht="30" customHeight="1" spans="1:5">
      <c r="A26" s="34" t="s">
        <v>58</v>
      </c>
      <c r="B26" s="34" t="s">
        <v>59</v>
      </c>
      <c r="C26" s="34" t="s">
        <v>14</v>
      </c>
      <c r="D26" s="34" t="s">
        <v>15</v>
      </c>
      <c r="E26" s="34" t="s">
        <v>21</v>
      </c>
    </row>
    <row r="27" ht="30" customHeight="1" spans="1:5">
      <c r="A27" s="36" t="s">
        <v>60</v>
      </c>
      <c r="B27" s="36" t="s">
        <v>61</v>
      </c>
      <c r="C27" s="36" t="s">
        <v>14</v>
      </c>
      <c r="D27" s="36" t="s">
        <v>15</v>
      </c>
      <c r="E27" s="36" t="s">
        <v>21</v>
      </c>
    </row>
    <row r="28" ht="30" customHeight="1" spans="1:5">
      <c r="A28" s="34" t="s">
        <v>62</v>
      </c>
      <c r="B28" s="34" t="s">
        <v>63</v>
      </c>
      <c r="C28" s="34" t="s">
        <v>14</v>
      </c>
      <c r="D28" s="34" t="s">
        <v>15</v>
      </c>
      <c r="E28" s="34" t="s">
        <v>21</v>
      </c>
    </row>
    <row r="29" ht="30" customHeight="1" spans="1:5">
      <c r="A29" s="36" t="s">
        <v>64</v>
      </c>
      <c r="B29" s="36" t="s">
        <v>65</v>
      </c>
      <c r="C29" s="36" t="s">
        <v>14</v>
      </c>
      <c r="D29" s="36" t="s">
        <v>15</v>
      </c>
      <c r="E29" s="36" t="s">
        <v>21</v>
      </c>
    </row>
    <row r="30" ht="30" customHeight="1" spans="1:5">
      <c r="A30" s="34" t="s">
        <v>66</v>
      </c>
      <c r="B30" s="34" t="s">
        <v>67</v>
      </c>
      <c r="C30" s="34" t="s">
        <v>14</v>
      </c>
      <c r="D30" s="34" t="s">
        <v>15</v>
      </c>
      <c r="E30" s="34" t="s">
        <v>21</v>
      </c>
    </row>
    <row r="31" ht="30" customHeight="1" spans="1:5">
      <c r="A31" s="36" t="s">
        <v>68</v>
      </c>
      <c r="B31" s="36" t="s">
        <v>69</v>
      </c>
      <c r="C31" s="36" t="s">
        <v>14</v>
      </c>
      <c r="D31" s="36" t="s">
        <v>15</v>
      </c>
      <c r="E31" s="36" t="s">
        <v>21</v>
      </c>
    </row>
    <row r="32" ht="30" customHeight="1" spans="1:5">
      <c r="A32" s="34" t="s">
        <v>70</v>
      </c>
      <c r="B32" s="34" t="s">
        <v>71</v>
      </c>
      <c r="C32" s="34" t="s">
        <v>14</v>
      </c>
      <c r="D32" s="34" t="s">
        <v>15</v>
      </c>
      <c r="E32" s="34" t="s">
        <v>16</v>
      </c>
    </row>
    <row r="33" ht="30" customHeight="1" spans="1:5">
      <c r="A33" s="36" t="s">
        <v>72</v>
      </c>
      <c r="B33" s="36" t="s">
        <v>73</v>
      </c>
      <c r="C33" s="36" t="s">
        <v>14</v>
      </c>
      <c r="D33" s="36" t="s">
        <v>15</v>
      </c>
      <c r="E33" s="36" t="s">
        <v>16</v>
      </c>
    </row>
    <row r="34" ht="30" customHeight="1" spans="1:5">
      <c r="A34" s="34" t="s">
        <v>74</v>
      </c>
      <c r="B34" s="34" t="s">
        <v>75</v>
      </c>
      <c r="C34" s="34" t="s">
        <v>14</v>
      </c>
      <c r="D34" s="34" t="s">
        <v>15</v>
      </c>
      <c r="E34" s="34" t="s">
        <v>16</v>
      </c>
    </row>
    <row r="35" ht="30" customHeight="1" spans="1:5">
      <c r="A35" s="36" t="s">
        <v>76</v>
      </c>
      <c r="B35" s="36" t="s">
        <v>77</v>
      </c>
      <c r="C35" s="36" t="s">
        <v>14</v>
      </c>
      <c r="D35" s="36" t="s">
        <v>15</v>
      </c>
      <c r="E35" s="36" t="s">
        <v>16</v>
      </c>
    </row>
    <row r="36" ht="30" customHeight="1" spans="1:5">
      <c r="A36" s="34" t="s">
        <v>78</v>
      </c>
      <c r="B36" s="34" t="s">
        <v>79</v>
      </c>
      <c r="C36" s="34" t="s">
        <v>14</v>
      </c>
      <c r="D36" s="34" t="s">
        <v>15</v>
      </c>
      <c r="E36" s="34" t="s">
        <v>16</v>
      </c>
    </row>
    <row r="37" ht="30" customHeight="1" spans="1:5">
      <c r="A37" s="36" t="s">
        <v>80</v>
      </c>
      <c r="B37" s="36" t="s">
        <v>81</v>
      </c>
      <c r="C37" s="36" t="s">
        <v>14</v>
      </c>
      <c r="D37" s="36" t="s">
        <v>15</v>
      </c>
      <c r="E37" s="36" t="s">
        <v>16</v>
      </c>
    </row>
    <row r="38" ht="30" customHeight="1" spans="1:5">
      <c r="A38" s="34" t="s">
        <v>82</v>
      </c>
      <c r="B38" s="34" t="s">
        <v>83</v>
      </c>
      <c r="C38" s="34" t="s">
        <v>14</v>
      </c>
      <c r="D38" s="34" t="s">
        <v>15</v>
      </c>
      <c r="E38" s="34" t="s">
        <v>16</v>
      </c>
    </row>
    <row r="39" ht="30" customHeight="1" spans="1:5">
      <c r="A39" s="36" t="s">
        <v>84</v>
      </c>
      <c r="B39" s="36" t="s">
        <v>85</v>
      </c>
      <c r="C39" s="36" t="s">
        <v>14</v>
      </c>
      <c r="D39" s="36" t="s">
        <v>15</v>
      </c>
      <c r="E39" s="36" t="s">
        <v>16</v>
      </c>
    </row>
    <row r="40" ht="30" customHeight="1" spans="1:5">
      <c r="A40" s="34" t="s">
        <v>86</v>
      </c>
      <c r="B40" s="34" t="s">
        <v>87</v>
      </c>
      <c r="C40" s="34" t="s">
        <v>14</v>
      </c>
      <c r="D40" s="34" t="s">
        <v>15</v>
      </c>
      <c r="E40" s="34" t="s">
        <v>16</v>
      </c>
    </row>
    <row r="41" ht="30" customHeight="1" spans="1:5">
      <c r="A41" s="36" t="s">
        <v>88</v>
      </c>
      <c r="B41" s="36" t="s">
        <v>89</v>
      </c>
      <c r="C41" s="36" t="s">
        <v>14</v>
      </c>
      <c r="D41" s="36" t="s">
        <v>15</v>
      </c>
      <c r="E41" s="36" t="s">
        <v>16</v>
      </c>
    </row>
    <row r="42" ht="30" customHeight="1" spans="1:5">
      <c r="A42" s="34" t="s">
        <v>90</v>
      </c>
      <c r="B42" s="34" t="s">
        <v>91</v>
      </c>
      <c r="C42" s="34" t="s">
        <v>14</v>
      </c>
      <c r="D42" s="34" t="s">
        <v>15</v>
      </c>
      <c r="E42" s="34" t="s">
        <v>16</v>
      </c>
    </row>
    <row r="43" ht="30" customHeight="1" spans="1:5">
      <c r="A43" s="36" t="s">
        <v>92</v>
      </c>
      <c r="B43" s="36" t="s">
        <v>93</v>
      </c>
      <c r="C43" s="36" t="s">
        <v>14</v>
      </c>
      <c r="D43" s="36" t="s">
        <v>15</v>
      </c>
      <c r="E43" s="36" t="s">
        <v>16</v>
      </c>
    </row>
    <row r="44" ht="30" customHeight="1" spans="1:5">
      <c r="A44" s="34" t="s">
        <v>94</v>
      </c>
      <c r="B44" s="34" t="s">
        <v>95</v>
      </c>
      <c r="C44" s="34" t="s">
        <v>14</v>
      </c>
      <c r="D44" s="34" t="s">
        <v>15</v>
      </c>
      <c r="E44" s="34" t="s">
        <v>16</v>
      </c>
    </row>
    <row r="45" ht="30" customHeight="1" spans="1:5">
      <c r="A45" s="36" t="s">
        <v>96</v>
      </c>
      <c r="B45" s="36" t="s">
        <v>97</v>
      </c>
      <c r="C45" s="36" t="s">
        <v>14</v>
      </c>
      <c r="D45" s="36" t="s">
        <v>15</v>
      </c>
      <c r="E45" s="36" t="s">
        <v>16</v>
      </c>
    </row>
    <row r="46" ht="30" customHeight="1" spans="1:5">
      <c r="A46" s="34" t="s">
        <v>98</v>
      </c>
      <c r="B46" s="34" t="s">
        <v>99</v>
      </c>
      <c r="C46" s="34" t="s">
        <v>14</v>
      </c>
      <c r="D46" s="34" t="s">
        <v>15</v>
      </c>
      <c r="E46" s="34" t="s">
        <v>16</v>
      </c>
    </row>
    <row r="47" ht="30" customHeight="1" spans="1:5">
      <c r="A47" s="36" t="s">
        <v>100</v>
      </c>
      <c r="B47" s="36" t="s">
        <v>101</v>
      </c>
      <c r="C47" s="36" t="s">
        <v>14</v>
      </c>
      <c r="D47" s="36" t="s">
        <v>15</v>
      </c>
      <c r="E47" s="36" t="s">
        <v>16</v>
      </c>
    </row>
    <row r="48" ht="30" customHeight="1" spans="1:5">
      <c r="A48" s="34" t="s">
        <v>102</v>
      </c>
      <c r="B48" s="34" t="s">
        <v>103</v>
      </c>
      <c r="C48" s="34" t="s">
        <v>14</v>
      </c>
      <c r="D48" s="34" t="s">
        <v>15</v>
      </c>
      <c r="E48" s="34" t="s">
        <v>16</v>
      </c>
    </row>
    <row r="49" ht="30" customHeight="1" spans="1:5">
      <c r="A49" s="36" t="s">
        <v>104</v>
      </c>
      <c r="B49" s="36" t="s">
        <v>105</v>
      </c>
      <c r="C49" s="36" t="s">
        <v>14</v>
      </c>
      <c r="D49" s="36" t="s">
        <v>15</v>
      </c>
      <c r="E49" s="36" t="s">
        <v>16</v>
      </c>
    </row>
    <row r="50" ht="30" customHeight="1" spans="1:5">
      <c r="A50" s="34" t="s">
        <v>106</v>
      </c>
      <c r="B50" s="34" t="s">
        <v>107</v>
      </c>
      <c r="C50" s="34" t="s">
        <v>14</v>
      </c>
      <c r="D50" s="34" t="s">
        <v>15</v>
      </c>
      <c r="E50" s="34" t="s">
        <v>16</v>
      </c>
    </row>
    <row r="51" ht="30" customHeight="1" spans="1:5">
      <c r="A51" s="36" t="s">
        <v>108</v>
      </c>
      <c r="B51" s="36" t="s">
        <v>109</v>
      </c>
      <c r="C51" s="36" t="s">
        <v>14</v>
      </c>
      <c r="D51" s="36" t="s">
        <v>15</v>
      </c>
      <c r="E51" s="36" t="s">
        <v>16</v>
      </c>
    </row>
    <row r="52" ht="30" customHeight="1" spans="1:5">
      <c r="A52" s="34" t="s">
        <v>110</v>
      </c>
      <c r="B52" s="34" t="s">
        <v>111</v>
      </c>
      <c r="C52" s="34" t="s">
        <v>14</v>
      </c>
      <c r="D52" s="34" t="s">
        <v>15</v>
      </c>
      <c r="E52" s="34" t="s">
        <v>16</v>
      </c>
    </row>
    <row r="53" ht="30" customHeight="1" spans="1:5">
      <c r="A53" s="36" t="s">
        <v>112</v>
      </c>
      <c r="B53" s="36" t="s">
        <v>113</v>
      </c>
      <c r="C53" s="36" t="s">
        <v>14</v>
      </c>
      <c r="D53" s="36" t="s">
        <v>15</v>
      </c>
      <c r="E53" s="36" t="s">
        <v>16</v>
      </c>
    </row>
    <row r="54" ht="30" customHeight="1" spans="1:5">
      <c r="A54" s="34" t="s">
        <v>114</v>
      </c>
      <c r="B54" s="34" t="s">
        <v>115</v>
      </c>
      <c r="C54" s="34" t="s">
        <v>14</v>
      </c>
      <c r="D54" s="34" t="s">
        <v>15</v>
      </c>
      <c r="E54" s="34" t="s">
        <v>16</v>
      </c>
    </row>
  </sheetData>
  <mergeCells count="7">
    <mergeCell ref="A1:E1"/>
    <mergeCell ref="A2:E2"/>
    <mergeCell ref="A3:A4"/>
    <mergeCell ref="B3:B4"/>
    <mergeCell ref="C3:C4"/>
    <mergeCell ref="D3:D4"/>
    <mergeCell ref="E3:E4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workbookViewId="0">
      <pane xSplit="1" ySplit="3" topLeftCell="B9" activePane="bottomRight" state="frozen"/>
      <selection/>
      <selection pane="topRight"/>
      <selection pane="bottomLeft"/>
      <selection pane="bottomRight" activeCell="A2" sqref="A2:U52"/>
    </sheetView>
  </sheetViews>
  <sheetFormatPr defaultColWidth="8.88888888888889" defaultRowHeight="14.4" outlineLevelCol="5"/>
  <cols>
    <col min="1" max="1" width="11" customWidth="1"/>
    <col min="2" max="2" width="13" customWidth="1"/>
    <col min="3" max="3" width="33" customWidth="1"/>
    <col min="4" max="4" width="19" customWidth="1"/>
    <col min="5" max="6" width="11" customWidth="1"/>
  </cols>
  <sheetData>
    <row r="1" ht="30" customHeight="1" spans="1:6">
      <c r="A1" s="31" t="s">
        <v>3914</v>
      </c>
    </row>
    <row r="2" ht="30" customHeight="1" spans="1:6">
      <c r="A2" s="32" t="s">
        <v>1</v>
      </c>
    </row>
    <row r="3" ht="30" customHeight="1" spans="1:6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0</v>
      </c>
    </row>
    <row r="4" ht="30" customHeight="1" spans="1:6">
      <c r="A4" s="34" t="s">
        <v>12</v>
      </c>
      <c r="B4" s="34" t="s">
        <v>13</v>
      </c>
      <c r="C4" s="34" t="s">
        <v>14</v>
      </c>
      <c r="D4" s="34" t="s">
        <v>15</v>
      </c>
      <c r="E4" s="34" t="s">
        <v>16</v>
      </c>
      <c r="F4" s="38">
        <v>0</v>
      </c>
    </row>
    <row r="5" ht="30" customHeight="1" spans="1:6">
      <c r="A5" s="36" t="s">
        <v>17</v>
      </c>
      <c r="B5" s="36" t="s">
        <v>18</v>
      </c>
      <c r="C5" s="36" t="s">
        <v>14</v>
      </c>
      <c r="D5" s="36" t="s">
        <v>15</v>
      </c>
      <c r="E5" s="36" t="s">
        <v>16</v>
      </c>
      <c r="F5" s="39">
        <v>0</v>
      </c>
    </row>
    <row r="6" ht="30" customHeight="1" spans="1:6">
      <c r="A6" s="34" t="s">
        <v>19</v>
      </c>
      <c r="B6" s="34" t="s">
        <v>20</v>
      </c>
      <c r="C6" s="34" t="s">
        <v>14</v>
      </c>
      <c r="D6" s="34" t="s">
        <v>15</v>
      </c>
      <c r="E6" s="34" t="s">
        <v>21</v>
      </c>
      <c r="F6" s="38">
        <v>0</v>
      </c>
    </row>
    <row r="7" ht="30" customHeight="1" spans="1:6">
      <c r="A7" s="36" t="s">
        <v>22</v>
      </c>
      <c r="B7" s="36" t="s">
        <v>23</v>
      </c>
      <c r="C7" s="36" t="s">
        <v>14</v>
      </c>
      <c r="D7" s="36" t="s">
        <v>15</v>
      </c>
      <c r="E7" s="36" t="s">
        <v>21</v>
      </c>
      <c r="F7" s="39">
        <v>0</v>
      </c>
    </row>
    <row r="8" ht="30" customHeight="1" spans="1:6">
      <c r="A8" s="34" t="s">
        <v>24</v>
      </c>
      <c r="B8" s="34" t="s">
        <v>25</v>
      </c>
      <c r="C8" s="34" t="s">
        <v>14</v>
      </c>
      <c r="D8" s="34" t="s">
        <v>15</v>
      </c>
      <c r="E8" s="34" t="s">
        <v>21</v>
      </c>
      <c r="F8" s="38">
        <v>0</v>
      </c>
    </row>
    <row r="9" ht="30" customHeight="1" spans="1:6">
      <c r="A9" s="36" t="s">
        <v>26</v>
      </c>
      <c r="B9" s="36" t="s">
        <v>27</v>
      </c>
      <c r="C9" s="36" t="s">
        <v>14</v>
      </c>
      <c r="D9" s="36" t="s">
        <v>15</v>
      </c>
      <c r="E9" s="36" t="s">
        <v>21</v>
      </c>
      <c r="F9" s="39">
        <v>0</v>
      </c>
    </row>
    <row r="10" ht="30" customHeight="1" spans="1:6">
      <c r="A10" s="34" t="s">
        <v>28</v>
      </c>
      <c r="B10" s="34" t="s">
        <v>29</v>
      </c>
      <c r="C10" s="34" t="s">
        <v>14</v>
      </c>
      <c r="D10" s="34" t="s">
        <v>15</v>
      </c>
      <c r="E10" s="34" t="s">
        <v>21</v>
      </c>
      <c r="F10" s="38">
        <v>0</v>
      </c>
    </row>
    <row r="11" ht="30" customHeight="1" spans="1:6">
      <c r="A11" s="36" t="s">
        <v>30</v>
      </c>
      <c r="B11" s="36" t="s">
        <v>31</v>
      </c>
      <c r="C11" s="36" t="s">
        <v>14</v>
      </c>
      <c r="D11" s="36" t="s">
        <v>15</v>
      </c>
      <c r="E11" s="36" t="s">
        <v>21</v>
      </c>
      <c r="F11" s="39">
        <v>0</v>
      </c>
    </row>
    <row r="12" ht="30" customHeight="1" spans="1:6">
      <c r="A12" s="34" t="s">
        <v>32</v>
      </c>
      <c r="B12" s="34" t="s">
        <v>33</v>
      </c>
      <c r="C12" s="34" t="s">
        <v>14</v>
      </c>
      <c r="D12" s="34" t="s">
        <v>15</v>
      </c>
      <c r="E12" s="34" t="s">
        <v>21</v>
      </c>
      <c r="F12" s="38">
        <v>0</v>
      </c>
    </row>
    <row r="13" ht="30" customHeight="1" spans="1:6">
      <c r="A13" s="36" t="s">
        <v>34</v>
      </c>
      <c r="B13" s="36" t="s">
        <v>35</v>
      </c>
      <c r="C13" s="36" t="s">
        <v>14</v>
      </c>
      <c r="D13" s="36" t="s">
        <v>15</v>
      </c>
      <c r="E13" s="36" t="s">
        <v>21</v>
      </c>
      <c r="F13" s="39">
        <v>0</v>
      </c>
    </row>
    <row r="14" ht="30" customHeight="1" spans="1:6">
      <c r="A14" s="34" t="s">
        <v>36</v>
      </c>
      <c r="B14" s="34" t="s">
        <v>37</v>
      </c>
      <c r="C14" s="34" t="s">
        <v>14</v>
      </c>
      <c r="D14" s="34" t="s">
        <v>15</v>
      </c>
      <c r="E14" s="34" t="s">
        <v>21</v>
      </c>
      <c r="F14" s="38">
        <v>0</v>
      </c>
    </row>
    <row r="15" ht="30" customHeight="1" spans="1:6">
      <c r="A15" s="36" t="s">
        <v>38</v>
      </c>
      <c r="B15" s="36" t="s">
        <v>39</v>
      </c>
      <c r="C15" s="36" t="s">
        <v>14</v>
      </c>
      <c r="D15" s="36" t="s">
        <v>15</v>
      </c>
      <c r="E15" s="36" t="s">
        <v>21</v>
      </c>
      <c r="F15" s="39">
        <v>0</v>
      </c>
    </row>
    <row r="16" ht="30" customHeight="1" spans="1:6">
      <c r="A16" s="34" t="s">
        <v>40</v>
      </c>
      <c r="B16" s="34" t="s">
        <v>41</v>
      </c>
      <c r="C16" s="34" t="s">
        <v>14</v>
      </c>
      <c r="D16" s="34" t="s">
        <v>15</v>
      </c>
      <c r="E16" s="34" t="s">
        <v>21</v>
      </c>
      <c r="F16" s="38">
        <v>0</v>
      </c>
    </row>
    <row r="17" ht="30" customHeight="1" spans="1:6">
      <c r="A17" s="36" t="s">
        <v>42</v>
      </c>
      <c r="B17" s="36" t="s">
        <v>43</v>
      </c>
      <c r="C17" s="36" t="s">
        <v>14</v>
      </c>
      <c r="D17" s="36" t="s">
        <v>15</v>
      </c>
      <c r="E17" s="36" t="s">
        <v>21</v>
      </c>
      <c r="F17" s="39">
        <v>0</v>
      </c>
    </row>
    <row r="18" ht="30" customHeight="1" spans="1:6">
      <c r="A18" s="34" t="s">
        <v>44</v>
      </c>
      <c r="B18" s="34" t="s">
        <v>45</v>
      </c>
      <c r="C18" s="34" t="s">
        <v>14</v>
      </c>
      <c r="D18" s="34" t="s">
        <v>15</v>
      </c>
      <c r="E18" s="34" t="s">
        <v>21</v>
      </c>
      <c r="F18" s="38">
        <v>0</v>
      </c>
    </row>
    <row r="19" ht="30" customHeight="1" spans="1:6">
      <c r="A19" s="36" t="s">
        <v>46</v>
      </c>
      <c r="B19" s="36" t="s">
        <v>47</v>
      </c>
      <c r="C19" s="36" t="s">
        <v>14</v>
      </c>
      <c r="D19" s="36" t="s">
        <v>15</v>
      </c>
      <c r="E19" s="36" t="s">
        <v>21</v>
      </c>
      <c r="F19" s="39">
        <v>0</v>
      </c>
    </row>
    <row r="20" ht="30" customHeight="1" spans="1:6">
      <c r="A20" s="34" t="s">
        <v>48</v>
      </c>
      <c r="B20" s="34" t="s">
        <v>49</v>
      </c>
      <c r="C20" s="34" t="s">
        <v>14</v>
      </c>
      <c r="D20" s="34" t="s">
        <v>15</v>
      </c>
      <c r="E20" s="34" t="s">
        <v>21</v>
      </c>
      <c r="F20" s="38">
        <v>0</v>
      </c>
    </row>
    <row r="21" ht="30" customHeight="1" spans="1:6">
      <c r="A21" s="36" t="s">
        <v>50</v>
      </c>
      <c r="B21" s="36" t="s">
        <v>51</v>
      </c>
      <c r="C21" s="36" t="s">
        <v>14</v>
      </c>
      <c r="D21" s="36" t="s">
        <v>15</v>
      </c>
      <c r="E21" s="36" t="s">
        <v>21</v>
      </c>
      <c r="F21" s="39">
        <v>0</v>
      </c>
    </row>
    <row r="22" ht="30" customHeight="1" spans="1:6">
      <c r="A22" s="34" t="s">
        <v>52</v>
      </c>
      <c r="B22" s="34" t="s">
        <v>53</v>
      </c>
      <c r="C22" s="34" t="s">
        <v>14</v>
      </c>
      <c r="D22" s="34" t="s">
        <v>15</v>
      </c>
      <c r="E22" s="34" t="s">
        <v>21</v>
      </c>
      <c r="F22" s="38">
        <v>0</v>
      </c>
    </row>
    <row r="23" ht="30" customHeight="1" spans="1:6">
      <c r="A23" s="36" t="s">
        <v>54</v>
      </c>
      <c r="B23" s="36" t="s">
        <v>55</v>
      </c>
      <c r="C23" s="36" t="s">
        <v>14</v>
      </c>
      <c r="D23" s="36" t="s">
        <v>15</v>
      </c>
      <c r="E23" s="36" t="s">
        <v>21</v>
      </c>
      <c r="F23" s="39">
        <v>0</v>
      </c>
    </row>
    <row r="24" ht="30" customHeight="1" spans="1:6">
      <c r="A24" s="34" t="s">
        <v>56</v>
      </c>
      <c r="B24" s="34" t="s">
        <v>57</v>
      </c>
      <c r="C24" s="34" t="s">
        <v>14</v>
      </c>
      <c r="D24" s="34" t="s">
        <v>15</v>
      </c>
      <c r="E24" s="34" t="s">
        <v>21</v>
      </c>
      <c r="F24" s="38">
        <v>0</v>
      </c>
    </row>
    <row r="25" ht="30" customHeight="1" spans="1:6">
      <c r="A25" s="36" t="s">
        <v>58</v>
      </c>
      <c r="B25" s="36" t="s">
        <v>59</v>
      </c>
      <c r="C25" s="36" t="s">
        <v>14</v>
      </c>
      <c r="D25" s="36" t="s">
        <v>15</v>
      </c>
      <c r="E25" s="36" t="s">
        <v>21</v>
      </c>
      <c r="F25" s="39">
        <v>0</v>
      </c>
    </row>
    <row r="26" ht="30" customHeight="1" spans="1:6">
      <c r="A26" s="34" t="s">
        <v>60</v>
      </c>
      <c r="B26" s="34" t="s">
        <v>61</v>
      </c>
      <c r="C26" s="34" t="s">
        <v>14</v>
      </c>
      <c r="D26" s="34" t="s">
        <v>15</v>
      </c>
      <c r="E26" s="34" t="s">
        <v>21</v>
      </c>
      <c r="F26" s="38">
        <v>0</v>
      </c>
    </row>
    <row r="27" ht="30" customHeight="1" spans="1:6">
      <c r="A27" s="36" t="s">
        <v>62</v>
      </c>
      <c r="B27" s="36" t="s">
        <v>63</v>
      </c>
      <c r="C27" s="36" t="s">
        <v>14</v>
      </c>
      <c r="D27" s="36" t="s">
        <v>15</v>
      </c>
      <c r="E27" s="36" t="s">
        <v>21</v>
      </c>
      <c r="F27" s="39">
        <v>0</v>
      </c>
    </row>
    <row r="28" ht="30" customHeight="1" spans="1:6">
      <c r="A28" s="34" t="s">
        <v>64</v>
      </c>
      <c r="B28" s="34" t="s">
        <v>65</v>
      </c>
      <c r="C28" s="34" t="s">
        <v>14</v>
      </c>
      <c r="D28" s="34" t="s">
        <v>15</v>
      </c>
      <c r="E28" s="34" t="s">
        <v>21</v>
      </c>
      <c r="F28" s="38">
        <v>0</v>
      </c>
    </row>
    <row r="29" ht="30" customHeight="1" spans="1:6">
      <c r="A29" s="36" t="s">
        <v>66</v>
      </c>
      <c r="B29" s="36" t="s">
        <v>67</v>
      </c>
      <c r="C29" s="36" t="s">
        <v>14</v>
      </c>
      <c r="D29" s="36" t="s">
        <v>15</v>
      </c>
      <c r="E29" s="36" t="s">
        <v>21</v>
      </c>
      <c r="F29" s="39">
        <v>0</v>
      </c>
    </row>
    <row r="30" ht="30" customHeight="1" spans="1:6">
      <c r="A30" s="34" t="s">
        <v>68</v>
      </c>
      <c r="B30" s="34" t="s">
        <v>69</v>
      </c>
      <c r="C30" s="34" t="s">
        <v>14</v>
      </c>
      <c r="D30" s="34" t="s">
        <v>15</v>
      </c>
      <c r="E30" s="34" t="s">
        <v>21</v>
      </c>
      <c r="F30" s="38">
        <v>0</v>
      </c>
    </row>
    <row r="31" ht="30" customHeight="1" spans="1:6">
      <c r="A31" s="36" t="s">
        <v>70</v>
      </c>
      <c r="B31" s="36" t="s">
        <v>71</v>
      </c>
      <c r="C31" s="36" t="s">
        <v>14</v>
      </c>
      <c r="D31" s="36" t="s">
        <v>15</v>
      </c>
      <c r="E31" s="36" t="s">
        <v>16</v>
      </c>
      <c r="F31" s="39">
        <v>0</v>
      </c>
    </row>
    <row r="32" ht="30" customHeight="1" spans="1:6">
      <c r="A32" s="34" t="s">
        <v>72</v>
      </c>
      <c r="B32" s="34" t="s">
        <v>73</v>
      </c>
      <c r="C32" s="34" t="s">
        <v>14</v>
      </c>
      <c r="D32" s="34" t="s">
        <v>15</v>
      </c>
      <c r="E32" s="34" t="s">
        <v>16</v>
      </c>
      <c r="F32" s="38">
        <v>0</v>
      </c>
    </row>
    <row r="33" ht="30" customHeight="1" spans="1:6">
      <c r="A33" s="36" t="s">
        <v>74</v>
      </c>
      <c r="B33" s="36" t="s">
        <v>75</v>
      </c>
      <c r="C33" s="36" t="s">
        <v>14</v>
      </c>
      <c r="D33" s="36" t="s">
        <v>15</v>
      </c>
      <c r="E33" s="36" t="s">
        <v>16</v>
      </c>
      <c r="F33" s="39">
        <v>0</v>
      </c>
    </row>
    <row r="34" ht="30" customHeight="1" spans="1:6">
      <c r="A34" s="34" t="s">
        <v>76</v>
      </c>
      <c r="B34" s="34" t="s">
        <v>77</v>
      </c>
      <c r="C34" s="34" t="s">
        <v>14</v>
      </c>
      <c r="D34" s="34" t="s">
        <v>15</v>
      </c>
      <c r="E34" s="34" t="s">
        <v>16</v>
      </c>
      <c r="F34" s="38">
        <v>0</v>
      </c>
    </row>
    <row r="35" ht="30" customHeight="1" spans="1:6">
      <c r="A35" s="36" t="s">
        <v>78</v>
      </c>
      <c r="B35" s="36" t="s">
        <v>79</v>
      </c>
      <c r="C35" s="36" t="s">
        <v>14</v>
      </c>
      <c r="D35" s="36" t="s">
        <v>15</v>
      </c>
      <c r="E35" s="36" t="s">
        <v>16</v>
      </c>
      <c r="F35" s="39">
        <v>0</v>
      </c>
    </row>
    <row r="36" ht="30" customHeight="1" spans="1:6">
      <c r="A36" s="34" t="s">
        <v>80</v>
      </c>
      <c r="B36" s="34" t="s">
        <v>81</v>
      </c>
      <c r="C36" s="34" t="s">
        <v>14</v>
      </c>
      <c r="D36" s="34" t="s">
        <v>15</v>
      </c>
      <c r="E36" s="34" t="s">
        <v>16</v>
      </c>
      <c r="F36" s="38">
        <v>0</v>
      </c>
    </row>
    <row r="37" ht="30" customHeight="1" spans="1:6">
      <c r="A37" s="36" t="s">
        <v>82</v>
      </c>
      <c r="B37" s="36" t="s">
        <v>83</v>
      </c>
      <c r="C37" s="36" t="s">
        <v>14</v>
      </c>
      <c r="D37" s="36" t="s">
        <v>15</v>
      </c>
      <c r="E37" s="36" t="s">
        <v>16</v>
      </c>
      <c r="F37" s="39">
        <v>0</v>
      </c>
    </row>
    <row r="38" ht="30" customHeight="1" spans="1:6">
      <c r="A38" s="34" t="s">
        <v>84</v>
      </c>
      <c r="B38" s="34" t="s">
        <v>85</v>
      </c>
      <c r="C38" s="34" t="s">
        <v>14</v>
      </c>
      <c r="D38" s="34" t="s">
        <v>15</v>
      </c>
      <c r="E38" s="34" t="s">
        <v>16</v>
      </c>
      <c r="F38" s="38">
        <v>0</v>
      </c>
    </row>
    <row r="39" ht="30" customHeight="1" spans="1:6">
      <c r="A39" s="36" t="s">
        <v>86</v>
      </c>
      <c r="B39" s="36" t="s">
        <v>87</v>
      </c>
      <c r="C39" s="36" t="s">
        <v>14</v>
      </c>
      <c r="D39" s="36" t="s">
        <v>15</v>
      </c>
      <c r="E39" s="36" t="s">
        <v>16</v>
      </c>
      <c r="F39" s="39">
        <v>0</v>
      </c>
    </row>
    <row r="40" ht="30" customHeight="1" spans="1:6">
      <c r="A40" s="34" t="s">
        <v>88</v>
      </c>
      <c r="B40" s="34" t="s">
        <v>89</v>
      </c>
      <c r="C40" s="34" t="s">
        <v>14</v>
      </c>
      <c r="D40" s="34" t="s">
        <v>15</v>
      </c>
      <c r="E40" s="34" t="s">
        <v>16</v>
      </c>
      <c r="F40" s="38">
        <v>0</v>
      </c>
    </row>
    <row r="41" ht="30" customHeight="1" spans="1:6">
      <c r="A41" s="36" t="s">
        <v>90</v>
      </c>
      <c r="B41" s="36" t="s">
        <v>91</v>
      </c>
      <c r="C41" s="36" t="s">
        <v>14</v>
      </c>
      <c r="D41" s="36" t="s">
        <v>15</v>
      </c>
      <c r="E41" s="36" t="s">
        <v>16</v>
      </c>
      <c r="F41" s="39">
        <v>0</v>
      </c>
    </row>
    <row r="42" ht="30" customHeight="1" spans="1:6">
      <c r="A42" s="34" t="s">
        <v>92</v>
      </c>
      <c r="B42" s="34" t="s">
        <v>93</v>
      </c>
      <c r="C42" s="34" t="s">
        <v>14</v>
      </c>
      <c r="D42" s="34" t="s">
        <v>15</v>
      </c>
      <c r="E42" s="34" t="s">
        <v>16</v>
      </c>
      <c r="F42" s="38">
        <v>0</v>
      </c>
    </row>
    <row r="43" ht="30" customHeight="1" spans="1:6">
      <c r="A43" s="36" t="s">
        <v>94</v>
      </c>
      <c r="B43" s="36" t="s">
        <v>95</v>
      </c>
      <c r="C43" s="36" t="s">
        <v>14</v>
      </c>
      <c r="D43" s="36" t="s">
        <v>15</v>
      </c>
      <c r="E43" s="36" t="s">
        <v>16</v>
      </c>
      <c r="F43" s="39">
        <v>0</v>
      </c>
    </row>
    <row r="44" ht="30" customHeight="1" spans="1:6">
      <c r="A44" s="34" t="s">
        <v>96</v>
      </c>
      <c r="B44" s="34" t="s">
        <v>97</v>
      </c>
      <c r="C44" s="34" t="s">
        <v>14</v>
      </c>
      <c r="D44" s="34" t="s">
        <v>15</v>
      </c>
      <c r="E44" s="34" t="s">
        <v>16</v>
      </c>
      <c r="F44" s="38">
        <v>0</v>
      </c>
    </row>
    <row r="45" ht="30" customHeight="1" spans="1:6">
      <c r="A45" s="36" t="s">
        <v>98</v>
      </c>
      <c r="B45" s="36" t="s">
        <v>99</v>
      </c>
      <c r="C45" s="36" t="s">
        <v>14</v>
      </c>
      <c r="D45" s="36" t="s">
        <v>15</v>
      </c>
      <c r="E45" s="36" t="s">
        <v>16</v>
      </c>
      <c r="F45" s="39">
        <v>0</v>
      </c>
    </row>
    <row r="46" ht="30" customHeight="1" spans="1:6">
      <c r="A46" s="34" t="s">
        <v>100</v>
      </c>
      <c r="B46" s="34" t="s">
        <v>101</v>
      </c>
      <c r="C46" s="34" t="s">
        <v>14</v>
      </c>
      <c r="D46" s="34" t="s">
        <v>15</v>
      </c>
      <c r="E46" s="34" t="s">
        <v>16</v>
      </c>
      <c r="F46" s="38">
        <v>0</v>
      </c>
    </row>
    <row r="47" ht="30" customHeight="1" spans="1:6">
      <c r="A47" s="36" t="s">
        <v>102</v>
      </c>
      <c r="B47" s="36" t="s">
        <v>103</v>
      </c>
      <c r="C47" s="36" t="s">
        <v>14</v>
      </c>
      <c r="D47" s="36" t="s">
        <v>15</v>
      </c>
      <c r="E47" s="36" t="s">
        <v>16</v>
      </c>
      <c r="F47" s="39">
        <v>0</v>
      </c>
    </row>
    <row r="48" ht="30" customHeight="1" spans="1:6">
      <c r="A48" s="34" t="s">
        <v>104</v>
      </c>
      <c r="B48" s="34" t="s">
        <v>105</v>
      </c>
      <c r="C48" s="34" t="s">
        <v>14</v>
      </c>
      <c r="D48" s="34" t="s">
        <v>15</v>
      </c>
      <c r="E48" s="34" t="s">
        <v>16</v>
      </c>
      <c r="F48" s="38">
        <v>0</v>
      </c>
    </row>
    <row r="49" ht="30" customHeight="1" spans="1:6">
      <c r="A49" s="36" t="s">
        <v>106</v>
      </c>
      <c r="B49" s="36" t="s">
        <v>107</v>
      </c>
      <c r="C49" s="36" t="s">
        <v>14</v>
      </c>
      <c r="D49" s="36" t="s">
        <v>15</v>
      </c>
      <c r="E49" s="36" t="s">
        <v>16</v>
      </c>
      <c r="F49" s="39">
        <v>0</v>
      </c>
    </row>
    <row r="50" ht="30" customHeight="1" spans="1:6">
      <c r="A50" s="34" t="s">
        <v>108</v>
      </c>
      <c r="B50" s="34" t="s">
        <v>109</v>
      </c>
      <c r="C50" s="34" t="s">
        <v>14</v>
      </c>
      <c r="D50" s="34" t="s">
        <v>15</v>
      </c>
      <c r="E50" s="34" t="s">
        <v>16</v>
      </c>
      <c r="F50" s="38">
        <v>0</v>
      </c>
    </row>
    <row r="51" ht="30" customHeight="1" spans="1:6">
      <c r="A51" s="36" t="s">
        <v>110</v>
      </c>
      <c r="B51" s="36" t="s">
        <v>111</v>
      </c>
      <c r="C51" s="36" t="s">
        <v>14</v>
      </c>
      <c r="D51" s="36" t="s">
        <v>15</v>
      </c>
      <c r="E51" s="36" t="s">
        <v>16</v>
      </c>
      <c r="F51" s="39">
        <v>0</v>
      </c>
    </row>
    <row r="52" ht="30" customHeight="1" spans="1:6">
      <c r="A52" s="34" t="s">
        <v>112</v>
      </c>
      <c r="B52" s="34" t="s">
        <v>113</v>
      </c>
      <c r="C52" s="34" t="s">
        <v>14</v>
      </c>
      <c r="D52" s="34" t="s">
        <v>15</v>
      </c>
      <c r="E52" s="34" t="s">
        <v>16</v>
      </c>
      <c r="F52" s="38">
        <v>0</v>
      </c>
    </row>
    <row r="53" ht="30" customHeight="1" spans="1:6">
      <c r="A53" s="36" t="s">
        <v>114</v>
      </c>
      <c r="B53" s="36" t="s">
        <v>115</v>
      </c>
      <c r="C53" s="36" t="s">
        <v>14</v>
      </c>
      <c r="D53" s="36" t="s">
        <v>15</v>
      </c>
      <c r="E53" s="36" t="s">
        <v>16</v>
      </c>
      <c r="F53" s="39">
        <v>0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D16" sqref="D16"/>
    </sheetView>
  </sheetViews>
  <sheetFormatPr defaultColWidth="8.88888888888889" defaultRowHeight="14.4" outlineLevelRow="5"/>
  <cols>
    <col min="1" max="1" width="13" customWidth="1"/>
    <col min="2" max="2" width="12" customWidth="1"/>
    <col min="3" max="3" width="11" customWidth="1"/>
    <col min="4" max="4" width="33" customWidth="1"/>
    <col min="5" max="5" width="11" customWidth="1"/>
    <col min="6" max="6" width="15" customWidth="1"/>
    <col min="7" max="7" width="17" customWidth="1"/>
    <col min="8" max="8" width="19" customWidth="1"/>
    <col min="9" max="9" width="15" customWidth="1"/>
    <col min="10" max="13" width="13" customWidth="1"/>
  </cols>
  <sheetData>
    <row r="1" ht="30" customHeight="1" spans="1:13">
      <c r="A1" s="31" t="s">
        <v>3915</v>
      </c>
    </row>
    <row r="2" ht="30" customHeight="1" spans="1:13">
      <c r="A2" s="32" t="s">
        <v>1</v>
      </c>
    </row>
    <row r="3" ht="30" customHeight="1" spans="1:13">
      <c r="A3" s="33" t="s">
        <v>3916</v>
      </c>
      <c r="B3" s="33" t="s">
        <v>3917</v>
      </c>
      <c r="C3" s="33" t="s">
        <v>3918</v>
      </c>
      <c r="D3" s="33" t="s">
        <v>3919</v>
      </c>
      <c r="E3" s="33" t="s">
        <v>3920</v>
      </c>
      <c r="F3" s="33" t="s">
        <v>3921</v>
      </c>
      <c r="G3" s="33" t="s">
        <v>3922</v>
      </c>
      <c r="H3" s="33" t="s">
        <v>3923</v>
      </c>
      <c r="I3" s="33" t="s">
        <v>130</v>
      </c>
      <c r="J3" s="33" t="s">
        <v>3924</v>
      </c>
      <c r="K3" s="33" t="s">
        <v>3925</v>
      </c>
      <c r="L3" s="33" t="s">
        <v>3926</v>
      </c>
      <c r="M3" s="33" t="s">
        <v>3927</v>
      </c>
    </row>
    <row r="4" ht="30" customHeight="1" spans="1:13">
      <c r="A4" s="34" t="s">
        <v>3928</v>
      </c>
      <c r="B4" s="34" t="s">
        <v>3929</v>
      </c>
      <c r="C4" s="34" t="s">
        <v>3930</v>
      </c>
      <c r="D4" s="34" t="s">
        <v>682</v>
      </c>
      <c r="E4" s="35">
        <v>50</v>
      </c>
      <c r="F4" s="35">
        <v>44</v>
      </c>
      <c r="G4" s="35">
        <v>37</v>
      </c>
      <c r="H4" s="35">
        <v>0</v>
      </c>
      <c r="I4" s="35">
        <v>5542</v>
      </c>
      <c r="J4" s="35">
        <v>26</v>
      </c>
      <c r="K4" s="35">
        <v>2</v>
      </c>
      <c r="L4" s="35">
        <v>17</v>
      </c>
      <c r="M4" s="35">
        <v>4</v>
      </c>
    </row>
    <row r="5" ht="30" customHeight="1" spans="1:13">
      <c r="A5" s="36" t="s">
        <v>16</v>
      </c>
      <c r="B5" s="36" t="s">
        <v>3931</v>
      </c>
      <c r="C5" s="36" t="s">
        <v>3932</v>
      </c>
      <c r="D5" s="36" t="s">
        <v>682</v>
      </c>
      <c r="E5" s="37">
        <v>52</v>
      </c>
      <c r="F5" s="37">
        <v>44</v>
      </c>
      <c r="G5" s="37">
        <v>37</v>
      </c>
      <c r="H5" s="37">
        <v>0</v>
      </c>
      <c r="I5" s="37">
        <v>11</v>
      </c>
      <c r="J5" s="37">
        <v>0</v>
      </c>
      <c r="K5" s="37">
        <v>0</v>
      </c>
      <c r="L5" s="37">
        <v>1</v>
      </c>
      <c r="M5" s="37">
        <v>0</v>
      </c>
    </row>
    <row r="6" ht="30" customHeight="1" spans="1:13">
      <c r="A6" s="34" t="s">
        <v>21</v>
      </c>
      <c r="B6" s="34" t="s">
        <v>3933</v>
      </c>
      <c r="C6" s="34" t="s">
        <v>3932</v>
      </c>
      <c r="D6" s="34" t="s">
        <v>3934</v>
      </c>
      <c r="E6" s="35">
        <v>49</v>
      </c>
      <c r="F6" s="35">
        <v>44</v>
      </c>
      <c r="G6" s="35">
        <v>37</v>
      </c>
      <c r="H6" s="35">
        <v>0</v>
      </c>
      <c r="I6" s="35">
        <v>56</v>
      </c>
      <c r="J6" s="35">
        <v>0</v>
      </c>
      <c r="K6" s="35">
        <v>0</v>
      </c>
      <c r="L6" s="35">
        <v>1</v>
      </c>
      <c r="M6" s="35">
        <v>0</v>
      </c>
    </row>
  </sheetData>
  <mergeCells count="2">
    <mergeCell ref="A1:M1"/>
    <mergeCell ref="A2:M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2"/>
  <sheetViews>
    <sheetView workbookViewId="0">
      <selection activeCell="A1" sqref="A1:H1"/>
    </sheetView>
  </sheetViews>
  <sheetFormatPr defaultColWidth="8.88888888888889" defaultRowHeight="14.4" outlineLevelCol="7"/>
  <cols>
    <col min="1" max="1" width="13.5555555555556" customWidth="1"/>
    <col min="8" max="8" width="8.11111111111111" customWidth="1"/>
  </cols>
  <sheetData>
    <row r="1" spans="1:8">
      <c r="A1" s="11" t="s">
        <v>3935</v>
      </c>
      <c r="B1" s="11"/>
      <c r="C1" s="11"/>
      <c r="D1" s="11"/>
      <c r="E1" s="11"/>
      <c r="F1" s="11"/>
      <c r="G1" s="11"/>
      <c r="H1" s="11"/>
    </row>
    <row r="2" ht="28.8" spans="1:8">
      <c r="A2" s="24" t="s">
        <v>3936</v>
      </c>
      <c r="B2" s="24" t="s">
        <v>3937</v>
      </c>
      <c r="C2" s="25" t="s">
        <v>3938</v>
      </c>
      <c r="D2" s="25" t="s">
        <v>3939</v>
      </c>
      <c r="E2" s="25" t="s">
        <v>3940</v>
      </c>
      <c r="F2" s="25" t="s">
        <v>3941</v>
      </c>
      <c r="G2" s="25" t="s">
        <v>3942</v>
      </c>
      <c r="H2" s="24" t="s">
        <v>3943</v>
      </c>
    </row>
    <row r="3" spans="1:8">
      <c r="A3" s="26" t="s">
        <v>13</v>
      </c>
      <c r="B3" s="27" t="s">
        <v>12</v>
      </c>
      <c r="C3" s="28">
        <v>76</v>
      </c>
      <c r="D3" s="28">
        <v>71</v>
      </c>
      <c r="E3" s="28">
        <v>72</v>
      </c>
      <c r="F3" s="29">
        <v>68</v>
      </c>
      <c r="G3" s="30">
        <f t="shared" ref="G3:G10" si="0">C3*0.3+D3*0.2+E3*0.2+F3*0.3</f>
        <v>71.8</v>
      </c>
      <c r="H3" s="8">
        <v>71.8</v>
      </c>
    </row>
    <row r="4" spans="1:8">
      <c r="A4" s="26" t="s">
        <v>18</v>
      </c>
      <c r="B4" s="27" t="s">
        <v>17</v>
      </c>
      <c r="C4" s="28">
        <v>76</v>
      </c>
      <c r="D4" s="28">
        <v>70</v>
      </c>
      <c r="E4" s="28">
        <v>50</v>
      </c>
      <c r="F4" s="29">
        <v>80</v>
      </c>
      <c r="G4" s="30">
        <f t="shared" si="0"/>
        <v>70.8</v>
      </c>
      <c r="H4" s="8">
        <v>70.8</v>
      </c>
    </row>
    <row r="5" spans="1:8">
      <c r="A5" s="26" t="s">
        <v>20</v>
      </c>
      <c r="B5" s="27" t="s">
        <v>19</v>
      </c>
      <c r="C5" s="28">
        <v>62</v>
      </c>
      <c r="D5" s="28">
        <v>50</v>
      </c>
      <c r="E5" s="28">
        <v>50</v>
      </c>
      <c r="F5" s="29">
        <v>60</v>
      </c>
      <c r="G5" s="30">
        <f t="shared" si="0"/>
        <v>56.6</v>
      </c>
      <c r="H5" s="8">
        <v>56.6</v>
      </c>
    </row>
    <row r="6" spans="1:8">
      <c r="A6" s="26" t="s">
        <v>23</v>
      </c>
      <c r="B6" s="27" t="s">
        <v>22</v>
      </c>
      <c r="C6" s="28">
        <v>92</v>
      </c>
      <c r="D6" s="28">
        <v>91</v>
      </c>
      <c r="E6" s="28">
        <v>92</v>
      </c>
      <c r="F6" s="29">
        <v>87</v>
      </c>
      <c r="G6" s="30">
        <f t="shared" si="0"/>
        <v>90.3</v>
      </c>
      <c r="H6" s="8">
        <v>90.3</v>
      </c>
    </row>
    <row r="7" spans="1:8">
      <c r="A7" s="26" t="s">
        <v>25</v>
      </c>
      <c r="B7" s="27" t="s">
        <v>24</v>
      </c>
      <c r="C7" s="28">
        <v>92</v>
      </c>
      <c r="D7" s="28">
        <v>91</v>
      </c>
      <c r="E7" s="28">
        <v>92</v>
      </c>
      <c r="F7" s="29">
        <v>93</v>
      </c>
      <c r="G7" s="30">
        <f t="shared" si="0"/>
        <v>92.1</v>
      </c>
      <c r="H7" s="8">
        <v>92.1</v>
      </c>
    </row>
    <row r="8" spans="1:8">
      <c r="A8" s="26" t="s">
        <v>27</v>
      </c>
      <c r="B8" s="27" t="s">
        <v>26</v>
      </c>
      <c r="C8" s="28">
        <v>78</v>
      </c>
      <c r="D8" s="28">
        <v>78</v>
      </c>
      <c r="E8" s="28">
        <v>86</v>
      </c>
      <c r="F8" s="29">
        <v>87</v>
      </c>
      <c r="G8" s="30">
        <f t="shared" si="0"/>
        <v>82.3</v>
      </c>
      <c r="H8" s="8">
        <v>82.3</v>
      </c>
    </row>
    <row r="9" spans="1:8">
      <c r="A9" s="26" t="s">
        <v>29</v>
      </c>
      <c r="B9" s="27" t="s">
        <v>28</v>
      </c>
      <c r="C9" s="28">
        <v>50</v>
      </c>
      <c r="D9" s="28">
        <v>50</v>
      </c>
      <c r="E9" s="28">
        <v>70</v>
      </c>
      <c r="F9" s="29">
        <v>62.7</v>
      </c>
      <c r="G9" s="30">
        <f t="shared" si="0"/>
        <v>57.81</v>
      </c>
      <c r="H9" s="8">
        <v>57.81</v>
      </c>
    </row>
    <row r="10" spans="1:8">
      <c r="A10" s="26" t="s">
        <v>31</v>
      </c>
      <c r="B10" s="27" t="s">
        <v>30</v>
      </c>
      <c r="C10" s="28">
        <v>88</v>
      </c>
      <c r="D10" s="28">
        <v>80</v>
      </c>
      <c r="E10" s="28">
        <v>90</v>
      </c>
      <c r="F10" s="29">
        <v>74</v>
      </c>
      <c r="G10" s="30">
        <f t="shared" si="0"/>
        <v>82.6</v>
      </c>
      <c r="H10" s="8">
        <v>82.6</v>
      </c>
    </row>
    <row r="11" spans="1:8">
      <c r="A11" s="26" t="s">
        <v>33</v>
      </c>
      <c r="B11" s="27" t="s">
        <v>32</v>
      </c>
      <c r="C11" s="28">
        <v>0</v>
      </c>
      <c r="D11" s="28">
        <v>0</v>
      </c>
      <c r="E11" s="28">
        <v>0</v>
      </c>
      <c r="F11" s="29">
        <v>0</v>
      </c>
      <c r="G11" s="30">
        <v>0</v>
      </c>
      <c r="H11" s="8">
        <v>0</v>
      </c>
    </row>
    <row r="12" spans="1:8">
      <c r="A12" s="26" t="s">
        <v>35</v>
      </c>
      <c r="B12" s="27" t="s">
        <v>34</v>
      </c>
      <c r="C12" s="28">
        <v>80</v>
      </c>
      <c r="D12" s="28">
        <v>70</v>
      </c>
      <c r="E12" s="28">
        <v>72</v>
      </c>
      <c r="F12" s="29">
        <v>78</v>
      </c>
      <c r="G12" s="30">
        <f t="shared" ref="G12:G42" si="1">C12*0.3+D12*0.2+E12*0.2+F12*0.3</f>
        <v>75.8</v>
      </c>
      <c r="H12" s="8">
        <v>75.8</v>
      </c>
    </row>
    <row r="13" spans="1:8">
      <c r="A13" s="26" t="s">
        <v>37</v>
      </c>
      <c r="B13" s="27" t="s">
        <v>36</v>
      </c>
      <c r="C13" s="28">
        <v>94</v>
      </c>
      <c r="D13" s="28">
        <v>92</v>
      </c>
      <c r="E13" s="28">
        <v>94</v>
      </c>
      <c r="F13" s="29">
        <v>84.7</v>
      </c>
      <c r="G13" s="30">
        <f t="shared" si="1"/>
        <v>90.81</v>
      </c>
      <c r="H13" s="8">
        <v>90.81</v>
      </c>
    </row>
    <row r="14" spans="1:8">
      <c r="A14" s="26" t="s">
        <v>39</v>
      </c>
      <c r="B14" s="27" t="s">
        <v>38</v>
      </c>
      <c r="C14" s="28">
        <v>90</v>
      </c>
      <c r="D14" s="28">
        <v>90</v>
      </c>
      <c r="E14" s="28">
        <v>94</v>
      </c>
      <c r="F14" s="29">
        <v>90</v>
      </c>
      <c r="G14" s="30">
        <f t="shared" si="1"/>
        <v>90.8</v>
      </c>
      <c r="H14" s="8">
        <v>90.8</v>
      </c>
    </row>
    <row r="15" spans="1:8">
      <c r="A15" s="26" t="s">
        <v>41</v>
      </c>
      <c r="B15" s="27" t="s">
        <v>40</v>
      </c>
      <c r="C15" s="28">
        <v>80</v>
      </c>
      <c r="D15" s="28">
        <v>70</v>
      </c>
      <c r="E15" s="28">
        <v>70</v>
      </c>
      <c r="F15" s="29">
        <v>83.3</v>
      </c>
      <c r="G15" s="30">
        <f t="shared" si="1"/>
        <v>76.99</v>
      </c>
      <c r="H15" s="8">
        <v>76.99</v>
      </c>
    </row>
    <row r="16" spans="1:8">
      <c r="A16" s="26" t="s">
        <v>43</v>
      </c>
      <c r="B16" s="27" t="s">
        <v>42</v>
      </c>
      <c r="C16" s="28">
        <v>90</v>
      </c>
      <c r="D16" s="28">
        <v>90</v>
      </c>
      <c r="E16" s="28">
        <v>90</v>
      </c>
      <c r="F16" s="29">
        <v>93</v>
      </c>
      <c r="G16" s="30">
        <f t="shared" si="1"/>
        <v>90.9</v>
      </c>
      <c r="H16" s="8">
        <v>90.9</v>
      </c>
    </row>
    <row r="17" spans="1:8">
      <c r="A17" s="26" t="s">
        <v>45</v>
      </c>
      <c r="B17" s="27" t="s">
        <v>44</v>
      </c>
      <c r="C17" s="28">
        <v>86</v>
      </c>
      <c r="D17" s="28">
        <v>84</v>
      </c>
      <c r="E17" s="28">
        <v>88</v>
      </c>
      <c r="F17" s="29">
        <v>80</v>
      </c>
      <c r="G17" s="30">
        <f t="shared" si="1"/>
        <v>84.2</v>
      </c>
      <c r="H17" s="8">
        <v>84.2</v>
      </c>
    </row>
    <row r="18" spans="1:8">
      <c r="A18" s="26" t="s">
        <v>47</v>
      </c>
      <c r="B18" s="27" t="s">
        <v>46</v>
      </c>
      <c r="C18" s="28">
        <v>80</v>
      </c>
      <c r="D18" s="28">
        <v>76</v>
      </c>
      <c r="E18" s="28">
        <v>80</v>
      </c>
      <c r="F18" s="29">
        <v>82</v>
      </c>
      <c r="G18" s="30">
        <f t="shared" si="1"/>
        <v>79.8</v>
      </c>
      <c r="H18" s="8">
        <v>79.8</v>
      </c>
    </row>
    <row r="19" spans="1:8">
      <c r="A19" s="26" t="s">
        <v>49</v>
      </c>
      <c r="B19" s="27" t="s">
        <v>48</v>
      </c>
      <c r="C19" s="28">
        <v>78</v>
      </c>
      <c r="D19" s="28">
        <v>76</v>
      </c>
      <c r="E19" s="28">
        <v>80</v>
      </c>
      <c r="F19" s="29">
        <v>84</v>
      </c>
      <c r="G19" s="30">
        <f t="shared" si="1"/>
        <v>79.8</v>
      </c>
      <c r="H19" s="8">
        <v>79.8</v>
      </c>
    </row>
    <row r="20" spans="1:8">
      <c r="A20" s="26" t="s">
        <v>51</v>
      </c>
      <c r="B20" s="27" t="s">
        <v>50</v>
      </c>
      <c r="C20" s="28">
        <v>80</v>
      </c>
      <c r="D20" s="28">
        <v>70</v>
      </c>
      <c r="E20" s="28">
        <v>80</v>
      </c>
      <c r="F20" s="29">
        <v>83.3</v>
      </c>
      <c r="G20" s="30">
        <f t="shared" si="1"/>
        <v>78.99</v>
      </c>
      <c r="H20" s="8">
        <v>78.99</v>
      </c>
    </row>
    <row r="21" spans="1:8">
      <c r="A21" s="26" t="s">
        <v>53</v>
      </c>
      <c r="B21" s="27" t="s">
        <v>52</v>
      </c>
      <c r="C21" s="28">
        <v>70</v>
      </c>
      <c r="D21" s="28">
        <v>70</v>
      </c>
      <c r="E21" s="28">
        <v>68</v>
      </c>
      <c r="F21" s="29">
        <v>74</v>
      </c>
      <c r="G21" s="30">
        <f t="shared" si="1"/>
        <v>70.8</v>
      </c>
      <c r="H21" s="8">
        <v>70.8</v>
      </c>
    </row>
    <row r="22" spans="1:8">
      <c r="A22" s="26" t="s">
        <v>55</v>
      </c>
      <c r="B22" s="27" t="s">
        <v>54</v>
      </c>
      <c r="C22" s="28">
        <v>90</v>
      </c>
      <c r="D22" s="28">
        <v>88</v>
      </c>
      <c r="E22" s="28">
        <v>93</v>
      </c>
      <c r="F22" s="29">
        <v>90.7</v>
      </c>
      <c r="G22" s="30">
        <f t="shared" si="1"/>
        <v>90.41</v>
      </c>
      <c r="H22" s="8">
        <v>90.41</v>
      </c>
    </row>
    <row r="23" spans="1:8">
      <c r="A23" s="26" t="s">
        <v>57</v>
      </c>
      <c r="B23" s="27" t="s">
        <v>56</v>
      </c>
      <c r="C23" s="28">
        <v>70</v>
      </c>
      <c r="D23" s="28">
        <v>70</v>
      </c>
      <c r="E23" s="28">
        <v>64</v>
      </c>
      <c r="F23" s="29">
        <v>60</v>
      </c>
      <c r="G23" s="30">
        <f t="shared" si="1"/>
        <v>65.8</v>
      </c>
      <c r="H23" s="8">
        <v>65.8</v>
      </c>
    </row>
    <row r="24" spans="1:8">
      <c r="A24" s="26" t="s">
        <v>59</v>
      </c>
      <c r="B24" s="27" t="s">
        <v>58</v>
      </c>
      <c r="C24" s="28">
        <v>90</v>
      </c>
      <c r="D24" s="28">
        <v>88</v>
      </c>
      <c r="E24" s="28">
        <v>92</v>
      </c>
      <c r="F24" s="29">
        <v>81</v>
      </c>
      <c r="G24" s="30">
        <f t="shared" si="1"/>
        <v>87.3</v>
      </c>
      <c r="H24" s="8">
        <v>87.3</v>
      </c>
    </row>
    <row r="25" spans="1:8">
      <c r="A25" s="26" t="s">
        <v>61</v>
      </c>
      <c r="B25" s="27" t="s">
        <v>60</v>
      </c>
      <c r="C25" s="28">
        <v>80</v>
      </c>
      <c r="D25" s="28">
        <v>80</v>
      </c>
      <c r="E25" s="28">
        <v>78</v>
      </c>
      <c r="F25" s="29">
        <v>72</v>
      </c>
      <c r="G25" s="30">
        <f t="shared" si="1"/>
        <v>77.2</v>
      </c>
      <c r="H25" s="8">
        <v>77.2</v>
      </c>
    </row>
    <row r="26" spans="1:8">
      <c r="A26" s="26" t="s">
        <v>63</v>
      </c>
      <c r="B26" s="27" t="s">
        <v>62</v>
      </c>
      <c r="C26" s="28">
        <v>70</v>
      </c>
      <c r="D26" s="28">
        <v>70</v>
      </c>
      <c r="E26" s="28">
        <v>76</v>
      </c>
      <c r="F26" s="29">
        <v>80</v>
      </c>
      <c r="G26" s="30">
        <f t="shared" si="1"/>
        <v>74.2</v>
      </c>
      <c r="H26" s="8">
        <v>74.2</v>
      </c>
    </row>
    <row r="27" spans="1:8">
      <c r="A27" s="26" t="s">
        <v>65</v>
      </c>
      <c r="B27" s="27" t="s">
        <v>64</v>
      </c>
      <c r="C27" s="28">
        <v>96</v>
      </c>
      <c r="D27" s="28">
        <v>94</v>
      </c>
      <c r="E27" s="28">
        <v>98</v>
      </c>
      <c r="F27" s="29">
        <v>94.7</v>
      </c>
      <c r="G27" s="30">
        <f t="shared" si="1"/>
        <v>95.61</v>
      </c>
      <c r="H27" s="8">
        <v>95.61</v>
      </c>
    </row>
    <row r="28" spans="1:8">
      <c r="A28" s="26" t="s">
        <v>67</v>
      </c>
      <c r="B28" s="27" t="s">
        <v>66</v>
      </c>
      <c r="C28" s="28">
        <v>67</v>
      </c>
      <c r="D28" s="28">
        <v>62</v>
      </c>
      <c r="E28" s="28">
        <v>62</v>
      </c>
      <c r="F28" s="29">
        <v>82</v>
      </c>
      <c r="G28" s="30">
        <f t="shared" si="1"/>
        <v>69.5</v>
      </c>
      <c r="H28" s="8">
        <v>69.5</v>
      </c>
    </row>
    <row r="29" spans="1:8">
      <c r="A29" s="26" t="s">
        <v>69</v>
      </c>
      <c r="B29" s="27" t="s">
        <v>68</v>
      </c>
      <c r="C29" s="28">
        <v>82</v>
      </c>
      <c r="D29" s="28">
        <v>80</v>
      </c>
      <c r="E29" s="28">
        <v>82</v>
      </c>
      <c r="F29" s="29">
        <v>67</v>
      </c>
      <c r="G29" s="30">
        <f t="shared" si="1"/>
        <v>77.1</v>
      </c>
      <c r="H29" s="8">
        <v>77.1</v>
      </c>
    </row>
    <row r="30" spans="1:8">
      <c r="A30" s="26" t="s">
        <v>71</v>
      </c>
      <c r="B30" s="27" t="s">
        <v>70</v>
      </c>
      <c r="C30" s="28">
        <v>80</v>
      </c>
      <c r="D30" s="28">
        <v>70</v>
      </c>
      <c r="E30" s="28">
        <v>68</v>
      </c>
      <c r="F30" s="29">
        <v>79.3</v>
      </c>
      <c r="G30" s="30">
        <f t="shared" si="1"/>
        <v>75.39</v>
      </c>
      <c r="H30" s="8">
        <v>75.39</v>
      </c>
    </row>
    <row r="31" spans="1:8">
      <c r="A31" s="26" t="s">
        <v>73</v>
      </c>
      <c r="B31" s="27" t="s">
        <v>72</v>
      </c>
      <c r="C31" s="28">
        <v>82</v>
      </c>
      <c r="D31" s="28">
        <v>78</v>
      </c>
      <c r="E31" s="28">
        <v>70</v>
      </c>
      <c r="F31" s="29">
        <v>68</v>
      </c>
      <c r="G31" s="30">
        <f t="shared" si="1"/>
        <v>74.6</v>
      </c>
      <c r="H31" s="8">
        <v>74.6</v>
      </c>
    </row>
    <row r="32" spans="1:8">
      <c r="A32" s="26" t="s">
        <v>75</v>
      </c>
      <c r="B32" s="27" t="s">
        <v>74</v>
      </c>
      <c r="C32" s="28">
        <v>80</v>
      </c>
      <c r="D32" s="28">
        <v>78</v>
      </c>
      <c r="E32" s="28">
        <v>78</v>
      </c>
      <c r="F32" s="29">
        <v>73</v>
      </c>
      <c r="G32" s="30">
        <f t="shared" si="1"/>
        <v>77.1</v>
      </c>
      <c r="H32" s="8">
        <v>77.1</v>
      </c>
    </row>
    <row r="33" spans="1:8">
      <c r="A33" s="26" t="s">
        <v>77</v>
      </c>
      <c r="B33" s="27" t="s">
        <v>76</v>
      </c>
      <c r="C33" s="28">
        <v>90</v>
      </c>
      <c r="D33" s="28">
        <v>88</v>
      </c>
      <c r="E33" s="28">
        <v>90</v>
      </c>
      <c r="F33" s="29">
        <v>89.7</v>
      </c>
      <c r="G33" s="30">
        <f t="shared" si="1"/>
        <v>89.51</v>
      </c>
      <c r="H33" s="8">
        <v>89.51</v>
      </c>
    </row>
    <row r="34" spans="1:8">
      <c r="A34" s="26" t="s">
        <v>79</v>
      </c>
      <c r="B34" s="27" t="s">
        <v>78</v>
      </c>
      <c r="C34" s="28">
        <v>66</v>
      </c>
      <c r="D34" s="28">
        <v>62</v>
      </c>
      <c r="E34" s="28">
        <v>62</v>
      </c>
      <c r="F34" s="29">
        <v>75</v>
      </c>
      <c r="G34" s="30">
        <f t="shared" si="1"/>
        <v>67.1</v>
      </c>
      <c r="H34" s="8">
        <v>67.1</v>
      </c>
    </row>
    <row r="35" spans="1:8">
      <c r="A35" s="26" t="s">
        <v>81</v>
      </c>
      <c r="B35" s="27" t="s">
        <v>80</v>
      </c>
      <c r="C35" s="28">
        <v>78</v>
      </c>
      <c r="D35" s="28">
        <v>76</v>
      </c>
      <c r="E35" s="28">
        <v>76</v>
      </c>
      <c r="F35" s="29">
        <v>73</v>
      </c>
      <c r="G35" s="30">
        <f t="shared" si="1"/>
        <v>75.7</v>
      </c>
      <c r="H35" s="8">
        <v>75.7</v>
      </c>
    </row>
    <row r="36" spans="1:8">
      <c r="A36" s="26" t="s">
        <v>83</v>
      </c>
      <c r="B36" s="27" t="s">
        <v>82</v>
      </c>
      <c r="C36" s="28">
        <v>88</v>
      </c>
      <c r="D36" s="28">
        <v>86</v>
      </c>
      <c r="E36" s="28">
        <v>84</v>
      </c>
      <c r="F36" s="29">
        <v>87</v>
      </c>
      <c r="G36" s="30">
        <f t="shared" si="1"/>
        <v>86.5</v>
      </c>
      <c r="H36" s="8">
        <v>86.5</v>
      </c>
    </row>
    <row r="37" spans="1:8">
      <c r="A37" s="26" t="s">
        <v>85</v>
      </c>
      <c r="B37" s="27" t="s">
        <v>84</v>
      </c>
      <c r="C37" s="28">
        <v>78</v>
      </c>
      <c r="D37" s="28">
        <v>76</v>
      </c>
      <c r="E37" s="28">
        <v>82</v>
      </c>
      <c r="F37" s="29">
        <v>88.3</v>
      </c>
      <c r="G37" s="30">
        <f t="shared" si="1"/>
        <v>81.49</v>
      </c>
      <c r="H37" s="8">
        <v>81.49</v>
      </c>
    </row>
    <row r="38" spans="1:8">
      <c r="A38" s="26" t="s">
        <v>87</v>
      </c>
      <c r="B38" s="27" t="s">
        <v>86</v>
      </c>
      <c r="C38" s="28">
        <v>94</v>
      </c>
      <c r="D38" s="28">
        <v>92</v>
      </c>
      <c r="E38" s="28">
        <v>96</v>
      </c>
      <c r="F38" s="29">
        <v>92</v>
      </c>
      <c r="G38" s="30">
        <f t="shared" si="1"/>
        <v>93.4</v>
      </c>
      <c r="H38" s="8">
        <v>93.4</v>
      </c>
    </row>
    <row r="39" spans="1:8">
      <c r="A39" s="26" t="s">
        <v>89</v>
      </c>
      <c r="B39" s="27" t="s">
        <v>88</v>
      </c>
      <c r="C39" s="28">
        <v>78</v>
      </c>
      <c r="D39" s="28">
        <v>76</v>
      </c>
      <c r="E39" s="28">
        <v>74</v>
      </c>
      <c r="F39" s="29">
        <v>79.3</v>
      </c>
      <c r="G39" s="30">
        <f t="shared" si="1"/>
        <v>77.19</v>
      </c>
      <c r="H39" s="8">
        <v>77.19</v>
      </c>
    </row>
    <row r="40" spans="1:8">
      <c r="A40" s="26" t="s">
        <v>91</v>
      </c>
      <c r="B40" s="27" t="s">
        <v>90</v>
      </c>
      <c r="C40" s="28">
        <v>92</v>
      </c>
      <c r="D40" s="28">
        <v>90</v>
      </c>
      <c r="E40" s="28">
        <v>88</v>
      </c>
      <c r="F40" s="29">
        <v>92</v>
      </c>
      <c r="G40" s="30">
        <f t="shared" si="1"/>
        <v>90.8</v>
      </c>
      <c r="H40" s="8">
        <v>90.8</v>
      </c>
    </row>
    <row r="41" spans="1:8">
      <c r="A41" s="26" t="s">
        <v>93</v>
      </c>
      <c r="B41" s="27" t="s">
        <v>92</v>
      </c>
      <c r="C41" s="28">
        <v>80</v>
      </c>
      <c r="D41" s="28">
        <v>70</v>
      </c>
      <c r="E41" s="28">
        <v>80</v>
      </c>
      <c r="F41" s="29">
        <v>50</v>
      </c>
      <c r="G41" s="30">
        <f t="shared" si="1"/>
        <v>69</v>
      </c>
      <c r="H41" s="8">
        <v>69</v>
      </c>
    </row>
    <row r="42" spans="1:8">
      <c r="A42" s="26" t="s">
        <v>95</v>
      </c>
      <c r="B42" s="27" t="s">
        <v>94</v>
      </c>
      <c r="C42" s="28">
        <v>78</v>
      </c>
      <c r="D42" s="28">
        <v>76</v>
      </c>
      <c r="E42" s="28">
        <v>80</v>
      </c>
      <c r="F42" s="29">
        <v>90</v>
      </c>
      <c r="G42" s="30">
        <f t="shared" si="1"/>
        <v>81.6</v>
      </c>
      <c r="H42" s="8">
        <v>81.6</v>
      </c>
    </row>
    <row r="43" spans="1:8">
      <c r="A43" s="26" t="s">
        <v>97</v>
      </c>
      <c r="B43" s="27" t="s">
        <v>96</v>
      </c>
      <c r="C43" s="28">
        <v>0</v>
      </c>
      <c r="D43" s="28">
        <v>0</v>
      </c>
      <c r="E43" s="28">
        <v>0</v>
      </c>
      <c r="F43" s="29">
        <v>0</v>
      </c>
      <c r="G43" s="30">
        <v>0</v>
      </c>
      <c r="H43" s="8">
        <v>0</v>
      </c>
    </row>
    <row r="44" spans="1:8">
      <c r="A44" s="26" t="s">
        <v>99</v>
      </c>
      <c r="B44" s="27" t="s">
        <v>98</v>
      </c>
      <c r="C44" s="28">
        <v>50</v>
      </c>
      <c r="D44" s="28">
        <v>50</v>
      </c>
      <c r="E44" s="28">
        <v>50</v>
      </c>
      <c r="F44" s="29">
        <v>60</v>
      </c>
      <c r="G44" s="30">
        <f t="shared" ref="G44:G52" si="2">C44*0.3+D44*0.2+E44*0.2+F44*0.3</f>
        <v>53</v>
      </c>
      <c r="H44" s="8">
        <v>53</v>
      </c>
    </row>
    <row r="45" spans="1:8">
      <c r="A45" s="26" t="s">
        <v>101</v>
      </c>
      <c r="B45" s="27" t="s">
        <v>100</v>
      </c>
      <c r="C45" s="28">
        <v>86</v>
      </c>
      <c r="D45" s="28">
        <v>82</v>
      </c>
      <c r="E45" s="28">
        <v>80</v>
      </c>
      <c r="F45" s="29">
        <v>81</v>
      </c>
      <c r="G45" s="30">
        <f t="shared" si="2"/>
        <v>82.5</v>
      </c>
      <c r="H45" s="8">
        <v>82.5</v>
      </c>
    </row>
    <row r="46" spans="1:8">
      <c r="A46" s="26" t="s">
        <v>103</v>
      </c>
      <c r="B46" s="27" t="s">
        <v>102</v>
      </c>
      <c r="C46" s="28">
        <v>64</v>
      </c>
      <c r="D46" s="28">
        <v>62</v>
      </c>
      <c r="E46" s="28">
        <v>68</v>
      </c>
      <c r="F46" s="29">
        <v>67.3</v>
      </c>
      <c r="G46" s="30">
        <f t="shared" si="2"/>
        <v>65.39</v>
      </c>
      <c r="H46" s="8">
        <v>65.39</v>
      </c>
    </row>
    <row r="47" spans="1:8">
      <c r="A47" s="26" t="s">
        <v>105</v>
      </c>
      <c r="B47" s="27" t="s">
        <v>104</v>
      </c>
      <c r="C47" s="28">
        <v>80</v>
      </c>
      <c r="D47" s="28">
        <v>78</v>
      </c>
      <c r="E47" s="28">
        <v>78</v>
      </c>
      <c r="F47" s="29">
        <v>70</v>
      </c>
      <c r="G47" s="30">
        <f t="shared" si="2"/>
        <v>76.2</v>
      </c>
      <c r="H47" s="8">
        <v>76.2</v>
      </c>
    </row>
    <row r="48" spans="1:8">
      <c r="A48" s="26" t="s">
        <v>107</v>
      </c>
      <c r="B48" s="27" t="s">
        <v>106</v>
      </c>
      <c r="C48" s="28">
        <v>80</v>
      </c>
      <c r="D48" s="28">
        <v>70</v>
      </c>
      <c r="E48" s="28">
        <v>76</v>
      </c>
      <c r="F48" s="29">
        <v>76.7</v>
      </c>
      <c r="G48" s="30">
        <f t="shared" si="2"/>
        <v>76.21</v>
      </c>
      <c r="H48" s="8">
        <v>76.21</v>
      </c>
    </row>
    <row r="49" spans="1:8">
      <c r="A49" s="26" t="s">
        <v>109</v>
      </c>
      <c r="B49" s="27" t="s">
        <v>108</v>
      </c>
      <c r="C49" s="28">
        <v>60</v>
      </c>
      <c r="D49" s="28">
        <v>60</v>
      </c>
      <c r="E49" s="28">
        <v>50</v>
      </c>
      <c r="F49" s="29">
        <v>60</v>
      </c>
      <c r="G49" s="30">
        <f t="shared" si="2"/>
        <v>58</v>
      </c>
      <c r="H49" s="8">
        <v>58</v>
      </c>
    </row>
    <row r="50" spans="1:8">
      <c r="A50" s="26" t="s">
        <v>111</v>
      </c>
      <c r="B50" s="27" t="s">
        <v>110</v>
      </c>
      <c r="C50" s="28">
        <v>78</v>
      </c>
      <c r="D50" s="28">
        <v>76</v>
      </c>
      <c r="E50" s="28">
        <v>78</v>
      </c>
      <c r="F50" s="29">
        <v>77</v>
      </c>
      <c r="G50" s="30">
        <f t="shared" si="2"/>
        <v>77.3</v>
      </c>
      <c r="H50" s="8">
        <v>77.3</v>
      </c>
    </row>
    <row r="51" spans="1:8">
      <c r="A51" s="26" t="s">
        <v>113</v>
      </c>
      <c r="B51" s="27" t="s">
        <v>112</v>
      </c>
      <c r="C51" s="28">
        <v>76</v>
      </c>
      <c r="D51" s="28">
        <v>74</v>
      </c>
      <c r="E51" s="28">
        <v>60</v>
      </c>
      <c r="F51" s="29">
        <v>60</v>
      </c>
      <c r="G51" s="30">
        <f t="shared" si="2"/>
        <v>67.6</v>
      </c>
      <c r="H51" s="8">
        <v>67.6</v>
      </c>
    </row>
    <row r="52" spans="1:8">
      <c r="A52" s="26" t="s">
        <v>115</v>
      </c>
      <c r="B52" s="27" t="s">
        <v>114</v>
      </c>
      <c r="C52" s="28">
        <v>92</v>
      </c>
      <c r="D52" s="28">
        <v>92</v>
      </c>
      <c r="E52" s="28">
        <v>94</v>
      </c>
      <c r="F52" s="29">
        <v>90</v>
      </c>
      <c r="G52" s="30">
        <f t="shared" si="2"/>
        <v>91.8</v>
      </c>
      <c r="H52" s="8">
        <v>91.8</v>
      </c>
    </row>
  </sheetData>
  <mergeCells count="1">
    <mergeCell ref="A1:H1"/>
  </mergeCells>
  <printOptions horizontalCentered="1" verticalCentered="1"/>
  <pageMargins left="0.751388888888889" right="0.751388888888889" top="1" bottom="1" header="0.5" footer="0.5"/>
  <pageSetup paperSize="9" scale="97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2"/>
  <sheetViews>
    <sheetView topLeftCell="A40" workbookViewId="0">
      <selection activeCell="M12" sqref="M12"/>
    </sheetView>
  </sheetViews>
  <sheetFormatPr defaultColWidth="8.88888888888889" defaultRowHeight="14.4"/>
  <cols>
    <col min="1" max="1" width="13.5555555555556" customWidth="1"/>
    <col min="10" max="10" width="10" customWidth="1"/>
  </cols>
  <sheetData>
    <row r="1" spans="1:10">
      <c r="A1" s="20" t="s">
        <v>3944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11" t="s">
        <v>3936</v>
      </c>
      <c r="B2" s="11" t="s">
        <v>3937</v>
      </c>
      <c r="C2" s="11" t="s">
        <v>3945</v>
      </c>
      <c r="D2" s="11" t="s">
        <v>3946</v>
      </c>
      <c r="E2" s="11" t="s">
        <v>3947</v>
      </c>
      <c r="F2" s="11" t="s">
        <v>3948</v>
      </c>
      <c r="G2" s="11" t="s">
        <v>3949</v>
      </c>
      <c r="H2" s="11" t="s">
        <v>3950</v>
      </c>
      <c r="I2" s="11" t="s">
        <v>3951</v>
      </c>
      <c r="J2" s="11" t="s">
        <v>3952</v>
      </c>
    </row>
    <row r="3" spans="1:10">
      <c r="A3" s="12" t="str">
        <f>作业统计!B5</f>
        <v>2020211034</v>
      </c>
      <c r="B3" s="12" t="str">
        <f>作业统计!A5</f>
        <v>张梦杰</v>
      </c>
      <c r="C3" s="12">
        <f>作业统计!F5</f>
        <v>80</v>
      </c>
      <c r="D3" s="12">
        <f>作业统计!O5</f>
        <v>80</v>
      </c>
      <c r="E3" s="12">
        <f>作业统计!X5</f>
        <v>80</v>
      </c>
      <c r="F3" s="12">
        <f>作业统计!AG5</f>
        <v>100</v>
      </c>
      <c r="G3" s="12">
        <f>作业统计!AM5</f>
        <v>70</v>
      </c>
      <c r="H3" s="12">
        <f>作业统计!AP5</f>
        <v>70</v>
      </c>
      <c r="I3" s="12">
        <f>作业统计!BB5</f>
        <v>70</v>
      </c>
      <c r="J3" s="23">
        <f>AVERAGE(C3:I3)</f>
        <v>78.5714285714286</v>
      </c>
    </row>
    <row r="4" spans="1:10">
      <c r="A4" s="12" t="str">
        <f>作业统计!B6</f>
        <v>2020213700</v>
      </c>
      <c r="B4" s="12" t="str">
        <f>作业统计!A6</f>
        <v>童其凡</v>
      </c>
      <c r="C4" s="12">
        <f>作业统计!F6</f>
        <v>90</v>
      </c>
      <c r="D4" s="12">
        <f>作业统计!O6</f>
        <v>90</v>
      </c>
      <c r="E4" s="12">
        <f>作业统计!X6</f>
        <v>80</v>
      </c>
      <c r="F4" s="12">
        <f>作业统计!AG6</f>
        <v>100</v>
      </c>
      <c r="G4" s="12">
        <f>作业统计!AM6</f>
        <v>60</v>
      </c>
      <c r="H4" s="12">
        <f>作业统计!AP6</f>
        <v>90</v>
      </c>
      <c r="I4" s="12">
        <f>作业统计!BB6</f>
        <v>70</v>
      </c>
      <c r="J4" s="23">
        <f t="shared" ref="J4:J35" si="0">AVERAGE(C4:I4)</f>
        <v>82.8571428571429</v>
      </c>
    </row>
    <row r="5" spans="1:10">
      <c r="A5" s="12" t="str">
        <f>作业统计!B7</f>
        <v>2022210331</v>
      </c>
      <c r="B5" s="12" t="str">
        <f>作业统计!A7</f>
        <v>曹安晨</v>
      </c>
      <c r="C5" s="12">
        <f>作业统计!F7</f>
        <v>100</v>
      </c>
      <c r="D5" s="12">
        <f>作业统计!O7</f>
        <v>90</v>
      </c>
      <c r="E5" s="12">
        <f>作业统计!X7</f>
        <v>100</v>
      </c>
      <c r="F5" s="12">
        <f>作业统计!AG7</f>
        <v>100</v>
      </c>
      <c r="G5" s="12">
        <f>作业统计!AM7</f>
        <v>70</v>
      </c>
      <c r="H5" s="12">
        <f>作业统计!AP7</f>
        <v>80</v>
      </c>
      <c r="I5" s="12">
        <f>作业统计!BB7</f>
        <v>70</v>
      </c>
      <c r="J5" s="23">
        <f t="shared" si="0"/>
        <v>87.1428571428571</v>
      </c>
    </row>
    <row r="6" spans="1:10">
      <c r="A6" s="12" t="str">
        <f>作业统计!B8</f>
        <v>2022210332</v>
      </c>
      <c r="B6" s="12" t="str">
        <f>作业统计!A8</f>
        <v>陈晨</v>
      </c>
      <c r="C6" s="12">
        <f>作业统计!F8</f>
        <v>100</v>
      </c>
      <c r="D6" s="12">
        <f>作业统计!O8</f>
        <v>90</v>
      </c>
      <c r="E6" s="12">
        <f>作业统计!X8</f>
        <v>70</v>
      </c>
      <c r="F6" s="12">
        <f>作业统计!AG8</f>
        <v>100</v>
      </c>
      <c r="G6" s="12">
        <f>作业统计!AM8</f>
        <v>80</v>
      </c>
      <c r="H6" s="12">
        <f>作业统计!AP8</f>
        <v>90</v>
      </c>
      <c r="I6" s="12">
        <f>作业统计!BB8</f>
        <v>70</v>
      </c>
      <c r="J6" s="23">
        <f t="shared" si="0"/>
        <v>85.7142857142857</v>
      </c>
    </row>
    <row r="7" spans="1:10">
      <c r="A7" s="12" t="str">
        <f>作业统计!B9</f>
        <v>2022210333</v>
      </c>
      <c r="B7" s="12" t="str">
        <f>作业统计!A9</f>
        <v>陈创东</v>
      </c>
      <c r="C7" s="12">
        <f>作业统计!F9</f>
        <v>100</v>
      </c>
      <c r="D7" s="12">
        <f>作业统计!O9</f>
        <v>60</v>
      </c>
      <c r="E7" s="12">
        <f>作业统计!X9</f>
        <v>70</v>
      </c>
      <c r="F7" s="12">
        <f>作业统计!AG9</f>
        <v>80</v>
      </c>
      <c r="G7" s="12">
        <f>作业统计!AM9</f>
        <v>95</v>
      </c>
      <c r="H7" s="12">
        <f>作业统计!AP9</f>
        <v>90</v>
      </c>
      <c r="I7" s="12">
        <f>作业统计!BB9</f>
        <v>60</v>
      </c>
      <c r="J7" s="23">
        <f t="shared" si="0"/>
        <v>79.2857142857143</v>
      </c>
    </row>
    <row r="8" spans="1:10">
      <c r="A8" s="12" t="str">
        <f>作业统计!B10</f>
        <v>2022210334</v>
      </c>
      <c r="B8" s="12" t="str">
        <f>作业统计!A10</f>
        <v>程纪阳</v>
      </c>
      <c r="C8" s="12">
        <f>作业统计!F10</f>
        <v>80</v>
      </c>
      <c r="D8" s="12">
        <f>作业统计!O10</f>
        <v>100</v>
      </c>
      <c r="E8" s="12">
        <f>作业统计!X10</f>
        <v>100</v>
      </c>
      <c r="F8" s="12">
        <f>作业统计!AG10</f>
        <v>100</v>
      </c>
      <c r="G8" s="12">
        <f>作业统计!AM10</f>
        <v>80</v>
      </c>
      <c r="H8" s="12">
        <f>作业统计!AP10</f>
        <v>80</v>
      </c>
      <c r="I8" s="12">
        <f>作业统计!BB10</f>
        <v>80</v>
      </c>
      <c r="J8" s="23">
        <f t="shared" si="0"/>
        <v>88.5714285714286</v>
      </c>
    </row>
    <row r="9" spans="1:10">
      <c r="A9" s="12" t="str">
        <f>作业统计!B11</f>
        <v>2022210335</v>
      </c>
      <c r="B9" s="12" t="str">
        <f>作业统计!A11</f>
        <v>程梦圆</v>
      </c>
      <c r="C9" s="12">
        <f>作业统计!F11</f>
        <v>100</v>
      </c>
      <c r="D9" s="12">
        <f>作业统计!O11</f>
        <v>90</v>
      </c>
      <c r="E9" s="12">
        <f>作业统计!X11</f>
        <v>80</v>
      </c>
      <c r="F9" s="12">
        <f>作业统计!AG11</f>
        <v>100</v>
      </c>
      <c r="G9" s="12">
        <f>作业统计!AM11</f>
        <v>80</v>
      </c>
      <c r="H9" s="12">
        <f>作业统计!AP11</f>
        <v>70</v>
      </c>
      <c r="I9" s="12">
        <f>作业统计!BB11</f>
        <v>70</v>
      </c>
      <c r="J9" s="23">
        <f t="shared" si="0"/>
        <v>84.2857142857143</v>
      </c>
    </row>
    <row r="10" spans="1:10">
      <c r="A10" s="12" t="str">
        <f>作业统计!B12</f>
        <v>2022210337</v>
      </c>
      <c r="B10" s="12" t="str">
        <f>作业统计!A12</f>
        <v>邓慧茹</v>
      </c>
      <c r="C10" s="12">
        <f>作业统计!F12</f>
        <v>100</v>
      </c>
      <c r="D10" s="12">
        <f>作业统计!O12</f>
        <v>80</v>
      </c>
      <c r="E10" s="12">
        <f>作业统计!X12</f>
        <v>95</v>
      </c>
      <c r="F10" s="12">
        <f>作业统计!AG12</f>
        <v>90</v>
      </c>
      <c r="G10" s="12">
        <f>作业统计!AM12</f>
        <v>80</v>
      </c>
      <c r="H10" s="12">
        <f>作业统计!AP12</f>
        <v>60</v>
      </c>
      <c r="I10" s="12">
        <f>作业统计!BB12</f>
        <v>70</v>
      </c>
      <c r="J10" s="23">
        <f t="shared" si="0"/>
        <v>82.1428571428571</v>
      </c>
    </row>
    <row r="11" spans="1:10">
      <c r="A11" s="12" t="str">
        <f>作业统计!B13</f>
        <v>2022210338</v>
      </c>
      <c r="B11" s="12" t="str">
        <f>作业统计!A13</f>
        <v>丁玉耀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23">
        <v>0</v>
      </c>
    </row>
    <row r="12" spans="1:10">
      <c r="A12" s="12" t="str">
        <f>作业统计!B14</f>
        <v>2022210339</v>
      </c>
      <c r="B12" s="12" t="str">
        <f>作业统计!A14</f>
        <v>范鑫蕊</v>
      </c>
      <c r="C12" s="12">
        <f>作业统计!F14</f>
        <v>100</v>
      </c>
      <c r="D12" s="12">
        <f>作业统计!O14</f>
        <v>80</v>
      </c>
      <c r="E12" s="12">
        <f>作业统计!X14</f>
        <v>90</v>
      </c>
      <c r="F12" s="12">
        <f>作业统计!AG14</f>
        <v>80</v>
      </c>
      <c r="G12" s="12">
        <f>作业统计!AM14</f>
        <v>70</v>
      </c>
      <c r="H12" s="12">
        <f>作业统计!AP14</f>
        <v>80</v>
      </c>
      <c r="I12" s="12">
        <f>作业统计!BB14</f>
        <v>70</v>
      </c>
      <c r="J12" s="23">
        <f t="shared" si="0"/>
        <v>81.4285714285714</v>
      </c>
    </row>
    <row r="13" spans="1:10">
      <c r="A13" s="12" t="str">
        <f>作业统计!B15</f>
        <v>2022210342</v>
      </c>
      <c r="B13" s="12" t="str">
        <f>作业统计!A15</f>
        <v>高恩鹏</v>
      </c>
      <c r="C13" s="12">
        <f>作业统计!F15</f>
        <v>100</v>
      </c>
      <c r="D13" s="12">
        <f>作业统计!O15</f>
        <v>100</v>
      </c>
      <c r="E13" s="12">
        <f>作业统计!X15</f>
        <v>80</v>
      </c>
      <c r="F13" s="12">
        <f>作业统计!AG15</f>
        <v>100</v>
      </c>
      <c r="G13" s="12">
        <f>作业统计!AM15</f>
        <v>80</v>
      </c>
      <c r="H13" s="12">
        <f>作业统计!AP15</f>
        <v>80</v>
      </c>
      <c r="I13" s="12">
        <f>作业统计!BB15</f>
        <v>95</v>
      </c>
      <c r="J13" s="23">
        <f t="shared" si="0"/>
        <v>90.7142857142857</v>
      </c>
    </row>
    <row r="14" spans="1:10">
      <c r="A14" s="12" t="str">
        <f>作业统计!B16</f>
        <v>2022210343</v>
      </c>
      <c r="B14" s="12" t="str">
        <f>作业统计!A16</f>
        <v>关雪艳</v>
      </c>
      <c r="C14" s="12">
        <f>作业统计!F16</f>
        <v>100</v>
      </c>
      <c r="D14" s="12">
        <f>作业统计!O16</f>
        <v>80</v>
      </c>
      <c r="E14" s="12">
        <f>作业统计!X16</f>
        <v>90</v>
      </c>
      <c r="F14" s="12">
        <f>作业统计!AG16</f>
        <v>95</v>
      </c>
      <c r="G14" s="12">
        <f>作业统计!AM16</f>
        <v>80</v>
      </c>
      <c r="H14" s="12">
        <f>作业统计!AP16</f>
        <v>80</v>
      </c>
      <c r="I14" s="12">
        <f>作业统计!BB16</f>
        <v>70</v>
      </c>
      <c r="J14" s="23">
        <f t="shared" si="0"/>
        <v>85</v>
      </c>
    </row>
    <row r="15" spans="1:10">
      <c r="A15" s="12" t="str">
        <f>作业统计!B17</f>
        <v>2022210344</v>
      </c>
      <c r="B15" s="12" t="str">
        <f>作业统计!A17</f>
        <v>郭新杰</v>
      </c>
      <c r="C15" s="12">
        <f>作业统计!F17</f>
        <v>100</v>
      </c>
      <c r="D15" s="12">
        <f>作业统计!O17</f>
        <v>90</v>
      </c>
      <c r="E15" s="12">
        <f>作业统计!X17</f>
        <v>70</v>
      </c>
      <c r="F15" s="12">
        <f>作业统计!AG17</f>
        <v>100</v>
      </c>
      <c r="G15" s="12">
        <f>作业统计!AM17</f>
        <v>80</v>
      </c>
      <c r="H15" s="12">
        <f>作业统计!AP17</f>
        <v>70</v>
      </c>
      <c r="I15" s="12">
        <f>作业统计!BB17</f>
        <v>70</v>
      </c>
      <c r="J15" s="23">
        <f t="shared" si="0"/>
        <v>82.8571428571429</v>
      </c>
    </row>
    <row r="16" spans="1:10">
      <c r="A16" s="12" t="str">
        <f>作业统计!B18</f>
        <v>2022210346</v>
      </c>
      <c r="B16" s="12" t="str">
        <f>作业统计!A18</f>
        <v>洪晓瑞</v>
      </c>
      <c r="C16" s="12">
        <f>作业统计!F18</f>
        <v>100</v>
      </c>
      <c r="D16" s="12">
        <f>作业统计!O18</f>
        <v>100</v>
      </c>
      <c r="E16" s="12">
        <f>作业统计!X18</f>
        <v>80</v>
      </c>
      <c r="F16" s="12">
        <f>作业统计!AG18</f>
        <v>100</v>
      </c>
      <c r="G16" s="12">
        <f>作业统计!AM18</f>
        <v>70</v>
      </c>
      <c r="H16" s="12">
        <f>作业统计!AP18</f>
        <v>80</v>
      </c>
      <c r="I16" s="12">
        <f>作业统计!BB18</f>
        <v>95</v>
      </c>
      <c r="J16" s="23">
        <f t="shared" si="0"/>
        <v>89.2857142857143</v>
      </c>
    </row>
    <row r="17" spans="1:10">
      <c r="A17" s="12" t="str">
        <f>作业统计!B19</f>
        <v>2022210347</v>
      </c>
      <c r="B17" s="12" t="str">
        <f>作业统计!A19</f>
        <v>胡步兴</v>
      </c>
      <c r="C17" s="12">
        <f>作业统计!F19</f>
        <v>100</v>
      </c>
      <c r="D17" s="12">
        <f>作业统计!O19</f>
        <v>90</v>
      </c>
      <c r="E17" s="12">
        <f>作业统计!X19</f>
        <v>90</v>
      </c>
      <c r="F17" s="12">
        <f>作业统计!AG19</f>
        <v>95</v>
      </c>
      <c r="G17" s="12">
        <f>作业统计!AM19</f>
        <v>90</v>
      </c>
      <c r="H17" s="12">
        <f>作业统计!AP19</f>
        <v>80</v>
      </c>
      <c r="I17" s="12">
        <f>作业统计!BB19</f>
        <v>70</v>
      </c>
      <c r="J17" s="23">
        <f t="shared" si="0"/>
        <v>87.8571428571429</v>
      </c>
    </row>
    <row r="18" spans="1:10">
      <c r="A18" s="12" t="str">
        <f>作业统计!B20</f>
        <v>2022210348</v>
      </c>
      <c r="B18" s="12" t="str">
        <f>作业统计!A20</f>
        <v>胡昊泱</v>
      </c>
      <c r="C18" s="12">
        <f>作业统计!F20</f>
        <v>100</v>
      </c>
      <c r="D18" s="12">
        <f>作业统计!O20</f>
        <v>80</v>
      </c>
      <c r="E18" s="12">
        <f>作业统计!X20</f>
        <v>70</v>
      </c>
      <c r="F18" s="12">
        <f>作业统计!AG20</f>
        <v>100</v>
      </c>
      <c r="G18" s="12">
        <f>作业统计!AM20</f>
        <v>80</v>
      </c>
      <c r="H18" s="12">
        <f>作业统计!AP20</f>
        <v>70</v>
      </c>
      <c r="I18" s="12">
        <f>作业统计!BB20</f>
        <v>70</v>
      </c>
      <c r="J18" s="23">
        <f t="shared" si="0"/>
        <v>81.4285714285714</v>
      </c>
    </row>
    <row r="19" spans="1:10">
      <c r="A19" s="12" t="str">
        <f>作业统计!B21</f>
        <v>2022210351</v>
      </c>
      <c r="B19" s="12" t="str">
        <f>作业统计!A21</f>
        <v>季玮</v>
      </c>
      <c r="C19" s="12">
        <f>作业统计!F21</f>
        <v>100</v>
      </c>
      <c r="D19" s="12">
        <f>作业统计!O21</f>
        <v>80</v>
      </c>
      <c r="E19" s="12">
        <f>作业统计!X21</f>
        <v>100</v>
      </c>
      <c r="F19" s="12">
        <f>作业统计!AG21</f>
        <v>100</v>
      </c>
      <c r="G19" s="12">
        <f>作业统计!AM21</f>
        <v>90</v>
      </c>
      <c r="H19" s="12">
        <f>作业统计!AP21</f>
        <v>80</v>
      </c>
      <c r="I19" s="12">
        <f>作业统计!BB21</f>
        <v>70</v>
      </c>
      <c r="J19" s="23">
        <f t="shared" si="0"/>
        <v>88.5714285714286</v>
      </c>
    </row>
    <row r="20" spans="1:10">
      <c r="A20" s="12" t="str">
        <f>作业统计!B22</f>
        <v>2022210359</v>
      </c>
      <c r="B20" s="12" t="str">
        <f>作业统计!A22</f>
        <v>李宝航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23">
        <v>0</v>
      </c>
    </row>
    <row r="21" spans="1:10">
      <c r="A21" s="12" t="str">
        <f>作业统计!B23</f>
        <v>2022210360</v>
      </c>
      <c r="B21" s="12" t="str">
        <f>作业统计!A23</f>
        <v>李浩</v>
      </c>
      <c r="C21" s="12">
        <f>作业统计!F23</f>
        <v>100</v>
      </c>
      <c r="D21" s="12">
        <f>作业统计!O23</f>
        <v>95</v>
      </c>
      <c r="E21" s="12">
        <f>作业统计!X23</f>
        <v>80</v>
      </c>
      <c r="F21" s="12">
        <f>作业统计!AG23</f>
        <v>100</v>
      </c>
      <c r="G21" s="12">
        <f>作业统计!AM23</f>
        <v>90</v>
      </c>
      <c r="H21" s="12">
        <f>作业统计!AP23</f>
        <v>80</v>
      </c>
      <c r="I21" s="12">
        <f>作业统计!BB23</f>
        <v>70</v>
      </c>
      <c r="J21" s="23">
        <f t="shared" si="0"/>
        <v>87.8571428571429</v>
      </c>
    </row>
    <row r="22" spans="1:10">
      <c r="A22" s="12" t="str">
        <f>作业统计!B24</f>
        <v>2022210361</v>
      </c>
      <c r="B22" s="12" t="str">
        <f>作业统计!A24</f>
        <v>李今朝</v>
      </c>
      <c r="C22" s="12">
        <f>作业统计!F24</f>
        <v>100</v>
      </c>
      <c r="D22" s="12">
        <f>作业统计!O24</f>
        <v>90</v>
      </c>
      <c r="E22" s="12">
        <f>作业统计!X24</f>
        <v>80</v>
      </c>
      <c r="F22" s="12">
        <f>作业统计!AG24</f>
        <v>100</v>
      </c>
      <c r="G22" s="12">
        <f>作业统计!AM24</f>
        <v>70</v>
      </c>
      <c r="H22" s="12">
        <v>0</v>
      </c>
      <c r="I22" s="12">
        <f>作业统计!BB24</f>
        <v>60</v>
      </c>
      <c r="J22" s="23">
        <f t="shared" si="0"/>
        <v>71.4285714285714</v>
      </c>
    </row>
    <row r="23" spans="1:10">
      <c r="A23" s="12" t="str">
        <f>作业统计!B25</f>
        <v>2022210362</v>
      </c>
      <c r="B23" s="12" t="str">
        <f>作业统计!A25</f>
        <v>李良辰</v>
      </c>
      <c r="C23" s="12">
        <f>作业统计!F25</f>
        <v>100</v>
      </c>
      <c r="D23" s="12">
        <f>作业统计!O25</f>
        <v>80</v>
      </c>
      <c r="E23" s="12">
        <f>作业统计!X25</f>
        <v>70</v>
      </c>
      <c r="F23" s="12">
        <f>作业统计!AG25</f>
        <v>90</v>
      </c>
      <c r="G23" s="12">
        <f>作业统计!AM25</f>
        <v>50</v>
      </c>
      <c r="H23" s="12">
        <f>作业统计!AP25</f>
        <v>80</v>
      </c>
      <c r="I23" s="12">
        <f>作业统计!BB25</f>
        <v>50</v>
      </c>
      <c r="J23" s="23">
        <f t="shared" si="0"/>
        <v>74.2857142857143</v>
      </c>
    </row>
    <row r="24" spans="1:10">
      <c r="A24" s="12" t="str">
        <f>作业统计!B26</f>
        <v>2022210367</v>
      </c>
      <c r="B24" s="12" t="str">
        <f>作业统计!A26</f>
        <v>梁平</v>
      </c>
      <c r="C24" s="12">
        <f>作业统计!F26</f>
        <v>80</v>
      </c>
      <c r="D24" s="12">
        <f>作业统计!O26</f>
        <v>90</v>
      </c>
      <c r="E24" s="12">
        <f>作业统计!X26</f>
        <v>80</v>
      </c>
      <c r="F24" s="12">
        <f>作业统计!AG26</f>
        <v>100</v>
      </c>
      <c r="G24" s="12">
        <f>作业统计!AM26</f>
        <v>60</v>
      </c>
      <c r="H24" s="12">
        <f>作业统计!AP26</f>
        <v>90</v>
      </c>
      <c r="I24" s="12">
        <f>作业统计!BB26</f>
        <v>60</v>
      </c>
      <c r="J24" s="23">
        <f t="shared" si="0"/>
        <v>80</v>
      </c>
    </row>
    <row r="25" spans="1:10">
      <c r="A25" s="12" t="str">
        <f>作业统计!B27</f>
        <v>2022210371</v>
      </c>
      <c r="B25" s="12" t="str">
        <f>作业统计!A27</f>
        <v>陆征宇</v>
      </c>
      <c r="C25" s="12">
        <f>作业统计!F27</f>
        <v>80</v>
      </c>
      <c r="D25" s="12">
        <f>作业统计!O27</f>
        <v>90</v>
      </c>
      <c r="E25" s="12">
        <f>作业统计!X27</f>
        <v>100</v>
      </c>
      <c r="F25" s="12">
        <f>作业统计!AG27</f>
        <v>90</v>
      </c>
      <c r="G25" s="12">
        <f>作业统计!AM27</f>
        <v>70</v>
      </c>
      <c r="H25" s="12">
        <f>作业统计!AP27</f>
        <v>70</v>
      </c>
      <c r="I25" s="12">
        <f>作业统计!BB27</f>
        <v>70</v>
      </c>
      <c r="J25" s="23">
        <f t="shared" si="0"/>
        <v>81.4285714285714</v>
      </c>
    </row>
    <row r="26" spans="1:10">
      <c r="A26" s="12" t="str">
        <f>作业统计!B28</f>
        <v>2022210374</v>
      </c>
      <c r="B26" s="12" t="str">
        <f>作业统计!A28</f>
        <v>苗佳宇</v>
      </c>
      <c r="C26" s="12">
        <f>作业统计!F28</f>
        <v>100</v>
      </c>
      <c r="D26" s="12">
        <f>作业统计!O28</f>
        <v>100</v>
      </c>
      <c r="E26" s="12">
        <f>作业统计!X28</f>
        <v>95</v>
      </c>
      <c r="F26" s="12">
        <f>作业统计!AG28</f>
        <v>100</v>
      </c>
      <c r="G26" s="12">
        <f>作业统计!AM28</f>
        <v>70</v>
      </c>
      <c r="H26" s="12">
        <f>作业统计!AP28</f>
        <v>80</v>
      </c>
      <c r="I26" s="12">
        <f>作业统计!BB28</f>
        <v>80</v>
      </c>
      <c r="J26" s="23">
        <f t="shared" si="0"/>
        <v>89.2857142857143</v>
      </c>
    </row>
    <row r="27" spans="1:10">
      <c r="A27" s="12" t="str">
        <f>作业统计!B29</f>
        <v>2022210376</v>
      </c>
      <c r="B27" s="12" t="str">
        <f>作业统计!A29</f>
        <v>庞雨俊</v>
      </c>
      <c r="C27" s="12">
        <f>作业统计!F29</f>
        <v>100</v>
      </c>
      <c r="D27" s="12">
        <f>作业统计!O29</f>
        <v>80</v>
      </c>
      <c r="E27" s="12">
        <f>作业统计!X29</f>
        <v>70</v>
      </c>
      <c r="F27" s="12">
        <f>作业统计!AG29</f>
        <v>100</v>
      </c>
      <c r="G27" s="12">
        <f>作业统计!AM29</f>
        <v>70</v>
      </c>
      <c r="H27" s="12">
        <f>作业统计!AP29</f>
        <v>70</v>
      </c>
      <c r="I27" s="12">
        <f>作业统计!BB29</f>
        <v>95</v>
      </c>
      <c r="J27" s="23">
        <f t="shared" si="0"/>
        <v>83.5714285714286</v>
      </c>
    </row>
    <row r="28" spans="1:10">
      <c r="A28" s="12" t="str">
        <f>作业统计!B30</f>
        <v>2022210378</v>
      </c>
      <c r="B28" s="12" t="str">
        <f>作业统计!A30</f>
        <v>戚锐</v>
      </c>
      <c r="C28" s="12">
        <f>作业统计!F30</f>
        <v>100</v>
      </c>
      <c r="D28" s="12">
        <f>作业统计!O30</f>
        <v>100</v>
      </c>
      <c r="E28" s="12">
        <f>作业统计!X30</f>
        <v>100</v>
      </c>
      <c r="F28" s="12">
        <f>作业统计!AG30</f>
        <v>100</v>
      </c>
      <c r="G28" s="12">
        <f>作业统计!AM30</f>
        <v>95</v>
      </c>
      <c r="H28" s="12">
        <f>作业统计!AP30</f>
        <v>80</v>
      </c>
      <c r="I28" s="12">
        <f>作业统计!BB30</f>
        <v>80</v>
      </c>
      <c r="J28" s="23">
        <f t="shared" si="0"/>
        <v>93.5714285714286</v>
      </c>
    </row>
    <row r="29" spans="1:10">
      <c r="A29" s="12" t="str">
        <f>作业统计!B31</f>
        <v>2022210380</v>
      </c>
      <c r="B29" s="12" t="str">
        <f>作业统计!A31</f>
        <v>任奕凯</v>
      </c>
      <c r="C29" s="12">
        <f>作业统计!F31</f>
        <v>100</v>
      </c>
      <c r="D29" s="12">
        <f>作业统计!O31</f>
        <v>80</v>
      </c>
      <c r="E29" s="12">
        <f>作业统计!X31</f>
        <v>70</v>
      </c>
      <c r="F29" s="12">
        <f>作业统计!AG31</f>
        <v>100</v>
      </c>
      <c r="G29" s="12">
        <f>作业统计!AM31</f>
        <v>80</v>
      </c>
      <c r="H29" s="12">
        <f>作业统计!AP31</f>
        <v>80</v>
      </c>
      <c r="I29" s="12">
        <f>作业统计!BB31</f>
        <v>70</v>
      </c>
      <c r="J29" s="23">
        <f t="shared" si="0"/>
        <v>82.8571428571429</v>
      </c>
    </row>
    <row r="30" spans="1:10">
      <c r="A30" s="12" t="str">
        <f>作业统计!B32</f>
        <v>2022210381</v>
      </c>
      <c r="B30" s="12" t="str">
        <f>作业统计!A32</f>
        <v>阮珧</v>
      </c>
      <c r="C30" s="12">
        <f>作业统计!F32</f>
        <v>80</v>
      </c>
      <c r="D30" s="12">
        <f>作业统计!O32</f>
        <v>80</v>
      </c>
      <c r="E30" s="12">
        <f>作业统计!X32</f>
        <v>80</v>
      </c>
      <c r="F30" s="12">
        <f>作业统计!AG32</f>
        <v>80</v>
      </c>
      <c r="G30" s="12">
        <f>作业统计!AM32</f>
        <v>60</v>
      </c>
      <c r="H30" s="12">
        <f>作业统计!AP32</f>
        <v>80</v>
      </c>
      <c r="I30" s="12">
        <f>作业统计!BB32</f>
        <v>60</v>
      </c>
      <c r="J30" s="23">
        <f t="shared" si="0"/>
        <v>74.2857142857143</v>
      </c>
    </row>
    <row r="31" spans="1:10">
      <c r="A31" s="12" t="str">
        <f>作业统计!B33</f>
        <v>2022210384</v>
      </c>
      <c r="B31" s="12" t="str">
        <f>作业统计!A33</f>
        <v>孙嘉婧</v>
      </c>
      <c r="C31" s="12">
        <f>作业统计!F33</f>
        <v>80</v>
      </c>
      <c r="D31" s="12">
        <f>作业统计!O33</f>
        <v>70</v>
      </c>
      <c r="E31" s="12">
        <f>作业统计!X33</f>
        <v>80</v>
      </c>
      <c r="F31" s="12">
        <f>作业统计!AG33</f>
        <v>100</v>
      </c>
      <c r="G31" s="12">
        <f>作业统计!AM33</f>
        <v>80</v>
      </c>
      <c r="H31" s="12">
        <f>作业统计!AP33</f>
        <v>80</v>
      </c>
      <c r="I31" s="12">
        <f>作业统计!BB33</f>
        <v>70</v>
      </c>
      <c r="J31" s="23">
        <f t="shared" si="0"/>
        <v>80</v>
      </c>
    </row>
    <row r="32" spans="1:10">
      <c r="A32" s="12" t="str">
        <f>作业统计!B34</f>
        <v>2022210385</v>
      </c>
      <c r="B32" s="12" t="str">
        <f>作业统计!A34</f>
        <v>孙锦年</v>
      </c>
      <c r="C32" s="12">
        <f>作业统计!F34</f>
        <v>100</v>
      </c>
      <c r="D32" s="12">
        <f>作业统计!O34</f>
        <v>80</v>
      </c>
      <c r="E32" s="12">
        <f>作业统计!X34</f>
        <v>80</v>
      </c>
      <c r="F32" s="12">
        <f>作业统计!AG34</f>
        <v>80</v>
      </c>
      <c r="G32" s="12">
        <f>作业统计!AM34</f>
        <v>80</v>
      </c>
      <c r="H32" s="12">
        <f>作业统计!AP34</f>
        <v>80</v>
      </c>
      <c r="I32" s="12">
        <f>作业统计!BB34</f>
        <v>60</v>
      </c>
      <c r="J32" s="23">
        <f t="shared" si="0"/>
        <v>80</v>
      </c>
    </row>
    <row r="33" spans="1:10">
      <c r="A33" s="12" t="str">
        <f>作业统计!B35</f>
        <v>2022210387</v>
      </c>
      <c r="B33" s="12" t="str">
        <f>作业统计!A35</f>
        <v>唐蕊</v>
      </c>
      <c r="C33" s="12">
        <f>作业统计!F35</f>
        <v>90</v>
      </c>
      <c r="D33" s="12">
        <f>作业统计!O35</f>
        <v>80</v>
      </c>
      <c r="E33" s="12">
        <f>作业统计!X35</f>
        <v>80</v>
      </c>
      <c r="F33" s="12">
        <f>作业统计!AG35</f>
        <v>100</v>
      </c>
      <c r="G33" s="12">
        <f>作业统计!AM35</f>
        <v>90</v>
      </c>
      <c r="H33" s="12">
        <f>作业统计!AP35</f>
        <v>80</v>
      </c>
      <c r="I33" s="12">
        <f>作业统计!BB35</f>
        <v>70</v>
      </c>
      <c r="J33" s="23">
        <f t="shared" si="0"/>
        <v>84.2857142857143</v>
      </c>
    </row>
    <row r="34" spans="1:10">
      <c r="A34" s="12" t="str">
        <f>作业统计!B36</f>
        <v>2022210389</v>
      </c>
      <c r="B34" s="12" t="str">
        <f>作业统计!A36</f>
        <v>汪海洋</v>
      </c>
      <c r="C34" s="12">
        <f>作业统计!F36</f>
        <v>100</v>
      </c>
      <c r="D34" s="12">
        <f>作业统计!O36</f>
        <v>60</v>
      </c>
      <c r="E34" s="12">
        <f>作业统计!X36</f>
        <v>90</v>
      </c>
      <c r="F34" s="12">
        <f>作业统计!AG36</f>
        <v>90</v>
      </c>
      <c r="G34" s="12">
        <f>作业统计!AM36</f>
        <v>80</v>
      </c>
      <c r="H34" s="12">
        <f>作业统计!AP36</f>
        <v>80</v>
      </c>
      <c r="I34" s="12">
        <f>作业统计!BB36</f>
        <v>70</v>
      </c>
      <c r="J34" s="23">
        <f t="shared" si="0"/>
        <v>81.4285714285714</v>
      </c>
    </row>
    <row r="35" spans="1:10">
      <c r="A35" s="12" t="str">
        <f>作业统计!B37</f>
        <v>2022210392</v>
      </c>
      <c r="B35" s="12" t="str">
        <f>作业统计!A37</f>
        <v>王瑞</v>
      </c>
      <c r="C35" s="12">
        <f>作业统计!F37</f>
        <v>100</v>
      </c>
      <c r="D35" s="12">
        <f>作业统计!O37</f>
        <v>100</v>
      </c>
      <c r="E35" s="12">
        <f>作业统计!X37</f>
        <v>70</v>
      </c>
      <c r="F35" s="12">
        <f>作业统计!AG37</f>
        <v>100</v>
      </c>
      <c r="G35" s="12">
        <f>作业统计!AM37</f>
        <v>80</v>
      </c>
      <c r="H35" s="12">
        <f>作业统计!AP37</f>
        <v>80</v>
      </c>
      <c r="I35" s="12">
        <f>作业统计!BB37</f>
        <v>70</v>
      </c>
      <c r="J35" s="23">
        <f t="shared" si="0"/>
        <v>85.7142857142857</v>
      </c>
    </row>
    <row r="36" spans="1:10">
      <c r="A36" s="12" t="str">
        <f>作业统计!B38</f>
        <v>2022210393</v>
      </c>
      <c r="B36" s="12" t="str">
        <f>作业统计!A38</f>
        <v>王鑫玥</v>
      </c>
      <c r="C36" s="12">
        <f>作业统计!F38</f>
        <v>100</v>
      </c>
      <c r="D36" s="12">
        <f>作业统计!O38</f>
        <v>100</v>
      </c>
      <c r="E36" s="12">
        <f>作业统计!X38</f>
        <v>80</v>
      </c>
      <c r="F36" s="12">
        <f>作业统计!AG38</f>
        <v>60</v>
      </c>
      <c r="G36" s="12">
        <f>作业统计!AM38</f>
        <v>80</v>
      </c>
      <c r="H36" s="12">
        <f>作业统计!AP38</f>
        <v>60</v>
      </c>
      <c r="I36" s="12">
        <f>作业统计!BB38</f>
        <v>70</v>
      </c>
      <c r="J36" s="23">
        <f t="shared" ref="J36:J52" si="1">AVERAGE(C36:I36)</f>
        <v>78.5714285714286</v>
      </c>
    </row>
    <row r="37" spans="1:10">
      <c r="A37" s="12" t="str">
        <f>作业统计!B39</f>
        <v>2022210394</v>
      </c>
      <c r="B37" s="12" t="str">
        <f>作业统计!A39</f>
        <v>王志成</v>
      </c>
      <c r="C37" s="12">
        <f>作业统计!F39</f>
        <v>80</v>
      </c>
      <c r="D37" s="12">
        <f>作业统计!O39</f>
        <v>80</v>
      </c>
      <c r="E37" s="12">
        <f>作业统计!X39</f>
        <v>90</v>
      </c>
      <c r="F37" s="12">
        <f>作业统计!AG39</f>
        <v>90</v>
      </c>
      <c r="G37" s="12">
        <f>作业统计!AM39</f>
        <v>70</v>
      </c>
      <c r="H37" s="12">
        <f>作业统计!AP39</f>
        <v>70</v>
      </c>
      <c r="I37" s="12">
        <f>作业统计!BB39</f>
        <v>70</v>
      </c>
      <c r="J37" s="23">
        <f t="shared" si="1"/>
        <v>78.5714285714286</v>
      </c>
    </row>
    <row r="38" spans="1:10">
      <c r="A38" s="12" t="str">
        <f>作业统计!B40</f>
        <v>2022210400</v>
      </c>
      <c r="B38" s="12" t="str">
        <f>作业统计!A40</f>
        <v>闫鹏飞</v>
      </c>
      <c r="C38" s="12">
        <f>作业统计!F40</f>
        <v>100</v>
      </c>
      <c r="D38" s="12">
        <f>作业统计!O40</f>
        <v>90</v>
      </c>
      <c r="E38" s="12">
        <f>作业统计!X40</f>
        <v>70</v>
      </c>
      <c r="F38" s="12">
        <f>作业统计!AG40</f>
        <v>90</v>
      </c>
      <c r="G38" s="12">
        <f>作业统计!AM40</f>
        <v>70</v>
      </c>
      <c r="H38" s="12">
        <f>作业统计!AP40</f>
        <v>80</v>
      </c>
      <c r="I38" s="12">
        <f>作业统计!BB40</f>
        <v>70</v>
      </c>
      <c r="J38" s="23">
        <f t="shared" si="1"/>
        <v>81.4285714285714</v>
      </c>
    </row>
    <row r="39" spans="1:10">
      <c r="A39" s="12" t="str">
        <f>作业统计!B41</f>
        <v>2022210401</v>
      </c>
      <c r="B39" s="12" t="str">
        <f>作业统计!A41</f>
        <v>杨浩天</v>
      </c>
      <c r="C39" s="12">
        <f>作业统计!F41</f>
        <v>90</v>
      </c>
      <c r="D39" s="12">
        <f>作业统计!O41</f>
        <v>80</v>
      </c>
      <c r="E39" s="12">
        <f>作业统计!X41</f>
        <v>80</v>
      </c>
      <c r="F39" s="12">
        <f>作业统计!AG41</f>
        <v>100</v>
      </c>
      <c r="G39" s="12">
        <f>作业统计!AM41</f>
        <v>70</v>
      </c>
      <c r="H39" s="12">
        <f>作业统计!AP41</f>
        <v>80</v>
      </c>
      <c r="I39" s="12">
        <f>作业统计!BB41</f>
        <v>60</v>
      </c>
      <c r="J39" s="23">
        <f t="shared" si="1"/>
        <v>80</v>
      </c>
    </row>
    <row r="40" spans="1:10">
      <c r="A40" s="12" t="str">
        <f>作业统计!B42</f>
        <v>2022210402</v>
      </c>
      <c r="B40" s="12" t="str">
        <f>作业统计!A42</f>
        <v>杨龙</v>
      </c>
      <c r="C40" s="12">
        <f>作业统计!F42</f>
        <v>90</v>
      </c>
      <c r="D40" s="12">
        <f>作业统计!O42</f>
        <v>80</v>
      </c>
      <c r="E40" s="12">
        <f>作业统计!X42</f>
        <v>80</v>
      </c>
      <c r="F40" s="12">
        <f>作业统计!AG42</f>
        <v>90</v>
      </c>
      <c r="G40" s="12">
        <f>作业统计!AM42</f>
        <v>70</v>
      </c>
      <c r="H40" s="12">
        <f>作业统计!AP42</f>
        <v>80</v>
      </c>
      <c r="I40" s="12">
        <f>作业统计!BB42</f>
        <v>70</v>
      </c>
      <c r="J40" s="23">
        <f t="shared" si="1"/>
        <v>80</v>
      </c>
    </row>
    <row r="41" spans="1:10">
      <c r="A41" s="12" t="str">
        <f>作业统计!B43</f>
        <v>2022210404</v>
      </c>
      <c r="B41" s="12" t="str">
        <f>作业统计!A43</f>
        <v>詹庆</v>
      </c>
      <c r="C41" s="12">
        <f>作业统计!F43</f>
        <v>80</v>
      </c>
      <c r="D41" s="12">
        <f>作业统计!O43</f>
        <v>95</v>
      </c>
      <c r="E41" s="12">
        <f>作业统计!X43</f>
        <v>95</v>
      </c>
      <c r="F41" s="12">
        <f>作业统计!AG43</f>
        <v>100</v>
      </c>
      <c r="G41" s="12">
        <f>作业统计!AM43</f>
        <v>80</v>
      </c>
      <c r="H41" s="12">
        <f>作业统计!AP43</f>
        <v>80</v>
      </c>
      <c r="I41" s="12">
        <f>作业统计!BB43</f>
        <v>70</v>
      </c>
      <c r="J41" s="23">
        <f t="shared" si="1"/>
        <v>85.7142857142857</v>
      </c>
    </row>
    <row r="42" spans="1:10">
      <c r="A42" s="12" t="str">
        <f>作业统计!B44</f>
        <v>2022210405</v>
      </c>
      <c r="B42" s="12" t="str">
        <f>作业统计!A44</f>
        <v>张金龙</v>
      </c>
      <c r="C42" s="12">
        <f>作业统计!F44</f>
        <v>100</v>
      </c>
      <c r="D42" s="12">
        <f>作业统计!O44</f>
        <v>90</v>
      </c>
      <c r="E42" s="12">
        <f>作业统计!X44</f>
        <v>80</v>
      </c>
      <c r="F42" s="12">
        <f>作业统计!AG44</f>
        <v>90</v>
      </c>
      <c r="G42" s="12">
        <f>作业统计!AM44</f>
        <v>80</v>
      </c>
      <c r="H42" s="12">
        <f>作业统计!AP44</f>
        <v>80</v>
      </c>
      <c r="I42" s="12">
        <f>作业统计!BB44</f>
        <v>70</v>
      </c>
      <c r="J42" s="23">
        <f t="shared" si="1"/>
        <v>84.2857142857143</v>
      </c>
    </row>
    <row r="43" spans="1:10">
      <c r="A43" s="12" t="str">
        <f>作业统计!B45</f>
        <v>2022210407</v>
      </c>
      <c r="B43" s="12" t="str">
        <f>作业统计!A45</f>
        <v>张克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23">
        <v>0</v>
      </c>
    </row>
    <row r="44" spans="1:10">
      <c r="A44" s="12" t="str">
        <f>作业统计!B46</f>
        <v>2022210411</v>
      </c>
      <c r="B44" s="12" t="str">
        <f>作业统计!A46</f>
        <v>张文抱</v>
      </c>
      <c r="C44" s="12">
        <f>作业统计!F46</f>
        <v>100</v>
      </c>
      <c r="D44" s="12">
        <f>作业统计!O46</f>
        <v>80</v>
      </c>
      <c r="E44" s="12">
        <f>作业统计!X46</f>
        <v>90</v>
      </c>
      <c r="F44" s="12">
        <f>作业统计!AG46</f>
        <v>90</v>
      </c>
      <c r="G44" s="12">
        <f>作业统计!AM46</f>
        <v>90</v>
      </c>
      <c r="H44" s="12">
        <f>作业统计!AP46</f>
        <v>80</v>
      </c>
      <c r="I44" s="12">
        <f>作业统计!BB46</f>
        <v>80</v>
      </c>
      <c r="J44" s="23">
        <f t="shared" si="1"/>
        <v>87.1428571428571</v>
      </c>
    </row>
    <row r="45" spans="1:10">
      <c r="A45" s="12" t="str">
        <f>作业统计!B47</f>
        <v>2022210414</v>
      </c>
      <c r="B45" s="12" t="str">
        <f>作业统计!A47</f>
        <v>张玉妍</v>
      </c>
      <c r="C45" s="12">
        <f>作业统计!F47</f>
        <v>100</v>
      </c>
      <c r="D45" s="12">
        <f>作业统计!O47</f>
        <v>95</v>
      </c>
      <c r="E45" s="12">
        <f>作业统计!X47</f>
        <v>80</v>
      </c>
      <c r="F45" s="12">
        <f>作业统计!AG47</f>
        <v>100</v>
      </c>
      <c r="G45" s="12">
        <f>作业统计!AM47</f>
        <v>70</v>
      </c>
      <c r="H45" s="12">
        <f>作业统计!AP47</f>
        <v>80</v>
      </c>
      <c r="I45" s="12">
        <f>作业统计!BB47</f>
        <v>70</v>
      </c>
      <c r="J45" s="23">
        <f t="shared" si="1"/>
        <v>85</v>
      </c>
    </row>
    <row r="46" spans="1:10">
      <c r="A46" s="12" t="str">
        <f>作业统计!B48</f>
        <v>2022210416</v>
      </c>
      <c r="B46" s="12" t="str">
        <f>作业统计!A48</f>
        <v>赵杰</v>
      </c>
      <c r="C46" s="12">
        <f>作业统计!F48</f>
        <v>80</v>
      </c>
      <c r="D46" s="12">
        <f>作业统计!O48</f>
        <v>90</v>
      </c>
      <c r="E46" s="12">
        <f>作业统计!X48</f>
        <v>70</v>
      </c>
      <c r="F46" s="12">
        <f>作业统计!AG48</f>
        <v>90</v>
      </c>
      <c r="G46" s="12">
        <f>作业统计!AM48</f>
        <v>70</v>
      </c>
      <c r="H46" s="12">
        <f>作业统计!AP48</f>
        <v>70</v>
      </c>
      <c r="I46" s="12">
        <f>作业统计!BB48</f>
        <v>60</v>
      </c>
      <c r="J46" s="23">
        <f t="shared" si="1"/>
        <v>75.7142857142857</v>
      </c>
    </row>
    <row r="47" spans="1:10">
      <c r="A47" s="12" t="str">
        <f>作业统计!B49</f>
        <v>2022210417</v>
      </c>
      <c r="B47" s="12" t="str">
        <f>作业统计!A49</f>
        <v>郑存耀</v>
      </c>
      <c r="C47" s="12">
        <f>作业统计!F49</f>
        <v>100</v>
      </c>
      <c r="D47" s="12">
        <f>作业统计!O49</f>
        <v>60</v>
      </c>
      <c r="E47" s="12">
        <f>作业统计!X49</f>
        <v>100</v>
      </c>
      <c r="F47" s="12">
        <f>作业统计!AG49</f>
        <v>100</v>
      </c>
      <c r="G47" s="12">
        <f>作业统计!AM49</f>
        <v>80</v>
      </c>
      <c r="H47" s="12">
        <f>作业统计!AP49</f>
        <v>70</v>
      </c>
      <c r="I47" s="12">
        <v>0</v>
      </c>
      <c r="J47" s="23">
        <f t="shared" si="1"/>
        <v>72.8571428571429</v>
      </c>
    </row>
    <row r="48" spans="1:10">
      <c r="A48" s="12" t="str">
        <f>作业统计!B50</f>
        <v>2022210422</v>
      </c>
      <c r="B48" s="12" t="str">
        <f>作业统计!A50</f>
        <v>周宇</v>
      </c>
      <c r="C48" s="12">
        <f>作业统计!F50</f>
        <v>100</v>
      </c>
      <c r="D48" s="12">
        <f>作业统计!O50</f>
        <v>80</v>
      </c>
      <c r="E48" s="12">
        <f>作业统计!X50</f>
        <v>100</v>
      </c>
      <c r="F48" s="12">
        <f>作业统计!AG50</f>
        <v>100</v>
      </c>
      <c r="G48" s="12">
        <f>作业统计!AM50</f>
        <v>70</v>
      </c>
      <c r="H48" s="12">
        <f>作业统计!AP50</f>
        <v>60</v>
      </c>
      <c r="I48" s="12">
        <f>作业统计!BB50</f>
        <v>70</v>
      </c>
      <c r="J48" s="23">
        <f t="shared" si="1"/>
        <v>82.8571428571429</v>
      </c>
    </row>
    <row r="49" spans="1:10">
      <c r="A49" s="12" t="str">
        <f>作业统计!B51</f>
        <v>2022210423</v>
      </c>
      <c r="B49" s="12" t="str">
        <f>作业统计!A51</f>
        <v>朱传双</v>
      </c>
      <c r="C49" s="12">
        <f>作业统计!F51</f>
        <v>100</v>
      </c>
      <c r="D49" s="12">
        <f>作业统计!O51</f>
        <v>80</v>
      </c>
      <c r="E49" s="12">
        <f>作业统计!X51</f>
        <v>100</v>
      </c>
      <c r="F49" s="12">
        <f>作业统计!AG51</f>
        <v>90</v>
      </c>
      <c r="G49" s="12">
        <f>作业统计!AM51</f>
        <v>70</v>
      </c>
      <c r="H49" s="12">
        <f>作业统计!AP51</f>
        <v>90</v>
      </c>
      <c r="I49" s="12">
        <f>作业统计!BB51</f>
        <v>70</v>
      </c>
      <c r="J49" s="23">
        <f t="shared" si="1"/>
        <v>85.7142857142857</v>
      </c>
    </row>
    <row r="50" spans="1:10">
      <c r="A50" s="12" t="str">
        <f>作业统计!B52</f>
        <v>2022210428</v>
      </c>
      <c r="B50" s="12" t="str">
        <f>作业统计!A52</f>
        <v>朱世俊</v>
      </c>
      <c r="C50" s="12">
        <f>作业统计!F52</f>
        <v>80</v>
      </c>
      <c r="D50" s="12">
        <f>作业统计!O52</f>
        <v>90</v>
      </c>
      <c r="E50" s="12">
        <f>作业统计!X52</f>
        <v>80</v>
      </c>
      <c r="F50" s="12">
        <f>作业统计!AG52</f>
        <v>70</v>
      </c>
      <c r="G50" s="12">
        <v>0</v>
      </c>
      <c r="H50" s="12">
        <f>作业统计!AP52</f>
        <v>70</v>
      </c>
      <c r="I50" s="12">
        <f>作业统计!BB52</f>
        <v>80</v>
      </c>
      <c r="J50" s="23">
        <f t="shared" si="1"/>
        <v>67.1428571428571</v>
      </c>
    </row>
    <row r="51" spans="1:10">
      <c r="A51" s="12" t="str">
        <f>作业统计!B53</f>
        <v>2022210429</v>
      </c>
      <c r="B51" s="12" t="str">
        <f>作业统计!A53</f>
        <v>祝文耿</v>
      </c>
      <c r="C51" s="12">
        <f>作业统计!F53</f>
        <v>80</v>
      </c>
      <c r="D51" s="12">
        <f>作业统计!O53</f>
        <v>80</v>
      </c>
      <c r="E51" s="12">
        <f>作业统计!X53</f>
        <v>100</v>
      </c>
      <c r="F51" s="12">
        <f>作业统计!AG53</f>
        <v>80</v>
      </c>
      <c r="G51" s="12">
        <f>作业统计!AM53</f>
        <v>80</v>
      </c>
      <c r="H51" s="12">
        <f>作业统计!AP53</f>
        <v>70</v>
      </c>
      <c r="I51" s="12">
        <f>作业统计!BB53</f>
        <v>70</v>
      </c>
      <c r="J51" s="23">
        <f t="shared" si="1"/>
        <v>80</v>
      </c>
    </row>
    <row r="52" spans="1:10">
      <c r="A52" s="12" t="str">
        <f>作业统计!B54</f>
        <v>2022210430</v>
      </c>
      <c r="B52" s="12" t="str">
        <f>作业统计!A54</f>
        <v>宗梦晴</v>
      </c>
      <c r="C52" s="12">
        <f>作业统计!F54</f>
        <v>100</v>
      </c>
      <c r="D52" s="12">
        <f>作业统计!O54</f>
        <v>95</v>
      </c>
      <c r="E52" s="12">
        <f>作业统计!X54</f>
        <v>70</v>
      </c>
      <c r="F52" s="12">
        <f>作业统计!AG54</f>
        <v>100</v>
      </c>
      <c r="G52" s="12">
        <f>作业统计!AM54</f>
        <v>90</v>
      </c>
      <c r="H52" s="12">
        <f>作业统计!AP54</f>
        <v>80</v>
      </c>
      <c r="I52" s="12">
        <f>作业统计!BB54</f>
        <v>70</v>
      </c>
      <c r="J52" s="23">
        <f t="shared" si="1"/>
        <v>86.4285714285714</v>
      </c>
    </row>
  </sheetData>
  <mergeCells count="1">
    <mergeCell ref="A1:J1"/>
  </mergeCells>
  <printOptions horizontalCentered="1" verticalCentered="1"/>
  <pageMargins left="0.751388888888889" right="0.751388888888889" top="1" bottom="1" header="0.5" footer="0.5"/>
  <pageSetup paperSize="9" scale="90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2"/>
  <sheetViews>
    <sheetView workbookViewId="0">
      <selection activeCell="A1" sqref="A1:N1"/>
    </sheetView>
  </sheetViews>
  <sheetFormatPr defaultColWidth="8.88888888888889" defaultRowHeight="14.4"/>
  <cols>
    <col min="1" max="1" width="12.8888888888889" customWidth="1"/>
    <col min="2" max="2" width="8.55555555555556" customWidth="1"/>
    <col min="4" max="4" width="5" customWidth="1"/>
    <col min="5" max="5" width="5.22222222222222" customWidth="1"/>
    <col min="6" max="6" width="4.11111111111111" customWidth="1"/>
    <col min="7" max="7" width="5.22222222222222" customWidth="1"/>
    <col min="8" max="8" width="7.44444444444444" customWidth="1"/>
    <col min="9" max="9" width="6.11111111111111" customWidth="1"/>
    <col min="10" max="10" width="7.55555555555556" customWidth="1"/>
    <col min="11" max="11" width="5.88888888888889" customWidth="1"/>
    <col min="13" max="13" width="6.55555555555556" customWidth="1"/>
    <col min="14" max="14" width="8.77777777777778" customWidth="1"/>
  </cols>
  <sheetData>
    <row r="1" spans="1:14">
      <c r="A1" s="20" t="s">
        <v>3953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ht="20" customHeight="1" spans="1:14">
      <c r="A2" s="21" t="s">
        <v>3936</v>
      </c>
      <c r="B2" s="21" t="s">
        <v>3937</v>
      </c>
      <c r="C2" s="21" t="s">
        <v>3954</v>
      </c>
      <c r="D2" s="21" t="s">
        <v>3955</v>
      </c>
      <c r="E2" s="21" t="s">
        <v>3956</v>
      </c>
      <c r="F2" s="21" t="s">
        <v>3957</v>
      </c>
      <c r="G2" s="21" t="s">
        <v>3958</v>
      </c>
      <c r="H2" s="21" t="s">
        <v>3959</v>
      </c>
      <c r="I2" s="21" t="s">
        <v>3960</v>
      </c>
      <c r="J2" s="21" t="s">
        <v>3961</v>
      </c>
      <c r="K2" s="21" t="s">
        <v>3962</v>
      </c>
      <c r="L2" s="21" t="s">
        <v>3963</v>
      </c>
      <c r="M2" s="21" t="s">
        <v>3964</v>
      </c>
      <c r="N2" s="21" t="s">
        <v>3965</v>
      </c>
    </row>
    <row r="3" ht="20" customHeight="1" spans="1:14">
      <c r="A3" s="22" t="s">
        <v>13</v>
      </c>
      <c r="B3" s="22" t="s">
        <v>12</v>
      </c>
      <c r="C3" s="21">
        <v>0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9</v>
      </c>
      <c r="J3" s="21">
        <v>0</v>
      </c>
      <c r="K3" s="21">
        <v>0</v>
      </c>
      <c r="L3" s="21">
        <v>0</v>
      </c>
      <c r="M3" s="21">
        <f t="shared" ref="M3:M52" si="0">SUM(I3:L3)</f>
        <v>9</v>
      </c>
      <c r="N3" s="21">
        <f t="shared" ref="N3:N52" si="1">M3+55</f>
        <v>64</v>
      </c>
    </row>
    <row r="4" ht="20" customHeight="1" spans="1:14">
      <c r="A4" s="22" t="s">
        <v>18</v>
      </c>
      <c r="B4" s="22" t="s">
        <v>17</v>
      </c>
      <c r="C4" s="21">
        <v>-10</v>
      </c>
      <c r="D4" s="21">
        <v>8</v>
      </c>
      <c r="E4" s="21">
        <v>10</v>
      </c>
      <c r="F4" s="21">
        <v>9</v>
      </c>
      <c r="G4" s="21">
        <v>9</v>
      </c>
      <c r="H4" s="21">
        <v>8</v>
      </c>
      <c r="I4" s="21">
        <v>9</v>
      </c>
      <c r="J4" s="21">
        <v>9</v>
      </c>
      <c r="K4" s="21">
        <v>8</v>
      </c>
      <c r="L4" s="21">
        <v>0</v>
      </c>
      <c r="M4" s="21">
        <f t="shared" si="0"/>
        <v>26</v>
      </c>
      <c r="N4" s="21">
        <f t="shared" si="1"/>
        <v>81</v>
      </c>
    </row>
    <row r="5" ht="20" customHeight="1" spans="1:14">
      <c r="A5" s="22" t="s">
        <v>20</v>
      </c>
      <c r="B5" s="22" t="s">
        <v>19</v>
      </c>
      <c r="C5" s="21">
        <v>8</v>
      </c>
      <c r="D5" s="21">
        <v>8</v>
      </c>
      <c r="E5" s="21">
        <v>9</v>
      </c>
      <c r="F5" s="21">
        <v>9</v>
      </c>
      <c r="G5" s="21">
        <v>9</v>
      </c>
      <c r="H5" s="21">
        <v>0</v>
      </c>
      <c r="I5" s="21">
        <v>9</v>
      </c>
      <c r="J5" s="21">
        <v>9</v>
      </c>
      <c r="K5" s="21">
        <v>8</v>
      </c>
      <c r="L5" s="21">
        <v>8</v>
      </c>
      <c r="M5" s="21">
        <f t="shared" si="0"/>
        <v>34</v>
      </c>
      <c r="N5" s="21">
        <f t="shared" si="1"/>
        <v>89</v>
      </c>
    </row>
    <row r="6" ht="20" customHeight="1" spans="1:14">
      <c r="A6" s="22" t="s">
        <v>23</v>
      </c>
      <c r="B6" s="22" t="s">
        <v>22</v>
      </c>
      <c r="C6" s="21">
        <v>8</v>
      </c>
      <c r="D6" s="21">
        <v>0</v>
      </c>
      <c r="E6" s="21">
        <v>10</v>
      </c>
      <c r="F6" s="21">
        <v>9</v>
      </c>
      <c r="G6" s="21">
        <v>9</v>
      </c>
      <c r="H6" s="21">
        <v>8</v>
      </c>
      <c r="I6" s="21">
        <v>9</v>
      </c>
      <c r="J6" s="21">
        <v>9</v>
      </c>
      <c r="K6" s="21">
        <v>8</v>
      </c>
      <c r="L6" s="21">
        <v>8</v>
      </c>
      <c r="M6" s="21">
        <f t="shared" si="0"/>
        <v>34</v>
      </c>
      <c r="N6" s="21">
        <f t="shared" si="1"/>
        <v>89</v>
      </c>
    </row>
    <row r="7" ht="20" customHeight="1" spans="1:14">
      <c r="A7" s="22" t="s">
        <v>25</v>
      </c>
      <c r="B7" s="22" t="s">
        <v>24</v>
      </c>
      <c r="C7" s="21">
        <v>8</v>
      </c>
      <c r="D7" s="21">
        <v>8</v>
      </c>
      <c r="E7" s="21">
        <v>9</v>
      </c>
      <c r="F7" s="21">
        <v>9</v>
      </c>
      <c r="G7" s="21">
        <v>9</v>
      </c>
      <c r="H7" s="21">
        <v>8</v>
      </c>
      <c r="I7" s="21">
        <v>9</v>
      </c>
      <c r="J7" s="21">
        <v>9</v>
      </c>
      <c r="K7" s="21">
        <v>0</v>
      </c>
      <c r="L7" s="21">
        <v>8</v>
      </c>
      <c r="M7" s="21">
        <f t="shared" si="0"/>
        <v>26</v>
      </c>
      <c r="N7" s="21">
        <f t="shared" si="1"/>
        <v>81</v>
      </c>
    </row>
    <row r="8" ht="20" customHeight="1" spans="1:14">
      <c r="A8" s="22" t="s">
        <v>27</v>
      </c>
      <c r="B8" s="22" t="s">
        <v>26</v>
      </c>
      <c r="C8" s="21">
        <v>8</v>
      </c>
      <c r="D8" s="21">
        <v>8</v>
      </c>
      <c r="E8" s="21">
        <v>9</v>
      </c>
      <c r="F8" s="21">
        <v>9</v>
      </c>
      <c r="G8" s="21">
        <v>9</v>
      </c>
      <c r="H8" s="21">
        <v>10</v>
      </c>
      <c r="I8" s="21">
        <v>9</v>
      </c>
      <c r="J8" s="21">
        <v>9</v>
      </c>
      <c r="K8" s="21">
        <v>8</v>
      </c>
      <c r="L8" s="21">
        <v>8</v>
      </c>
      <c r="M8" s="21">
        <f t="shared" si="0"/>
        <v>34</v>
      </c>
      <c r="N8" s="21">
        <f t="shared" si="1"/>
        <v>89</v>
      </c>
    </row>
    <row r="9" ht="20" customHeight="1" spans="1:14">
      <c r="A9" s="22" t="s">
        <v>29</v>
      </c>
      <c r="B9" s="22" t="s">
        <v>28</v>
      </c>
      <c r="C9" s="21">
        <v>8</v>
      </c>
      <c r="D9" s="21">
        <v>8</v>
      </c>
      <c r="E9" s="21">
        <v>9</v>
      </c>
      <c r="F9" s="21">
        <v>0</v>
      </c>
      <c r="G9" s="21">
        <v>9</v>
      </c>
      <c r="H9" s="21">
        <v>8</v>
      </c>
      <c r="I9" s="21">
        <v>9</v>
      </c>
      <c r="J9" s="21">
        <v>9</v>
      </c>
      <c r="K9" s="21">
        <v>8</v>
      </c>
      <c r="L9" s="21">
        <v>0</v>
      </c>
      <c r="M9" s="21">
        <f t="shared" si="0"/>
        <v>26</v>
      </c>
      <c r="N9" s="21">
        <f t="shared" si="1"/>
        <v>81</v>
      </c>
    </row>
    <row r="10" ht="20" customHeight="1" spans="1:14">
      <c r="A10" s="22" t="s">
        <v>31</v>
      </c>
      <c r="B10" s="22" t="s">
        <v>30</v>
      </c>
      <c r="C10" s="21">
        <v>8</v>
      </c>
      <c r="D10" s="21">
        <v>8</v>
      </c>
      <c r="E10" s="21">
        <v>10</v>
      </c>
      <c r="F10" s="21">
        <v>9</v>
      </c>
      <c r="G10" s="21">
        <v>9</v>
      </c>
      <c r="H10" s="21">
        <v>8</v>
      </c>
      <c r="I10" s="21">
        <v>9</v>
      </c>
      <c r="J10" s="21">
        <v>9</v>
      </c>
      <c r="K10" s="21">
        <v>8</v>
      </c>
      <c r="L10" s="21">
        <v>8</v>
      </c>
      <c r="M10" s="21">
        <f t="shared" si="0"/>
        <v>34</v>
      </c>
      <c r="N10" s="21">
        <f t="shared" si="1"/>
        <v>89</v>
      </c>
    </row>
    <row r="11" ht="20" customHeight="1" spans="1:14">
      <c r="A11" s="22" t="s">
        <v>33</v>
      </c>
      <c r="B11" s="22" t="s">
        <v>32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f t="shared" si="0"/>
        <v>0</v>
      </c>
      <c r="N11" s="21">
        <v>0</v>
      </c>
    </row>
    <row r="12" ht="20" customHeight="1" spans="1:14">
      <c r="A12" s="22" t="s">
        <v>35</v>
      </c>
      <c r="B12" s="22" t="s">
        <v>34</v>
      </c>
      <c r="C12" s="21">
        <v>8</v>
      </c>
      <c r="D12" s="21">
        <v>8</v>
      </c>
      <c r="E12" s="21">
        <v>10</v>
      </c>
      <c r="F12" s="21">
        <v>9</v>
      </c>
      <c r="G12" s="21">
        <v>9</v>
      </c>
      <c r="H12" s="21">
        <v>8</v>
      </c>
      <c r="I12" s="21">
        <v>9</v>
      </c>
      <c r="J12" s="21">
        <v>9</v>
      </c>
      <c r="K12" s="21">
        <v>8</v>
      </c>
      <c r="L12" s="21">
        <v>8</v>
      </c>
      <c r="M12" s="21">
        <f t="shared" si="0"/>
        <v>34</v>
      </c>
      <c r="N12" s="21">
        <f t="shared" si="1"/>
        <v>89</v>
      </c>
    </row>
    <row r="13" ht="20" customHeight="1" spans="1:14">
      <c r="A13" s="22" t="s">
        <v>37</v>
      </c>
      <c r="B13" s="22" t="s">
        <v>36</v>
      </c>
      <c r="C13" s="21">
        <v>8</v>
      </c>
      <c r="D13" s="21">
        <v>8</v>
      </c>
      <c r="E13" s="21">
        <v>9</v>
      </c>
      <c r="F13" s="21">
        <v>9</v>
      </c>
      <c r="G13" s="21">
        <v>9</v>
      </c>
      <c r="H13" s="21">
        <v>8</v>
      </c>
      <c r="I13" s="21">
        <v>9</v>
      </c>
      <c r="J13" s="21">
        <v>9</v>
      </c>
      <c r="K13" s="21">
        <v>8</v>
      </c>
      <c r="L13" s="21">
        <v>0</v>
      </c>
      <c r="M13" s="21">
        <f t="shared" si="0"/>
        <v>26</v>
      </c>
      <c r="N13" s="21">
        <f t="shared" si="1"/>
        <v>81</v>
      </c>
    </row>
    <row r="14" ht="20" customHeight="1" spans="1:14">
      <c r="A14" s="22" t="s">
        <v>39</v>
      </c>
      <c r="B14" s="22" t="s">
        <v>38</v>
      </c>
      <c r="C14" s="21">
        <v>8</v>
      </c>
      <c r="D14" s="21">
        <v>8</v>
      </c>
      <c r="E14" s="21">
        <v>9</v>
      </c>
      <c r="F14" s="21">
        <v>9</v>
      </c>
      <c r="G14" s="21">
        <v>9</v>
      </c>
      <c r="H14" s="21">
        <v>8</v>
      </c>
      <c r="I14" s="21">
        <v>9</v>
      </c>
      <c r="J14" s="21">
        <v>9</v>
      </c>
      <c r="K14" s="21">
        <v>8</v>
      </c>
      <c r="L14" s="21">
        <v>8</v>
      </c>
      <c r="M14" s="21">
        <f t="shared" si="0"/>
        <v>34</v>
      </c>
      <c r="N14" s="21">
        <f t="shared" si="1"/>
        <v>89</v>
      </c>
    </row>
    <row r="15" ht="20" customHeight="1" spans="1:14">
      <c r="A15" s="22" t="s">
        <v>41</v>
      </c>
      <c r="B15" s="22" t="s">
        <v>40</v>
      </c>
      <c r="C15" s="21">
        <v>8</v>
      </c>
      <c r="D15" s="21">
        <v>8</v>
      </c>
      <c r="E15" s="21">
        <v>10</v>
      </c>
      <c r="F15" s="21">
        <v>9</v>
      </c>
      <c r="G15" s="21">
        <v>9</v>
      </c>
      <c r="H15" s="21">
        <v>8</v>
      </c>
      <c r="I15" s="21">
        <v>9</v>
      </c>
      <c r="J15" s="21">
        <v>9</v>
      </c>
      <c r="K15" s="21">
        <v>8</v>
      </c>
      <c r="L15" s="21">
        <v>8</v>
      </c>
      <c r="M15" s="21">
        <f t="shared" si="0"/>
        <v>34</v>
      </c>
      <c r="N15" s="21">
        <f t="shared" si="1"/>
        <v>89</v>
      </c>
    </row>
    <row r="16" ht="20" customHeight="1" spans="1:14">
      <c r="A16" s="22" t="s">
        <v>43</v>
      </c>
      <c r="B16" s="22" t="s">
        <v>42</v>
      </c>
      <c r="C16" s="21">
        <v>8</v>
      </c>
      <c r="D16" s="21">
        <v>0</v>
      </c>
      <c r="E16" s="21">
        <v>9</v>
      </c>
      <c r="F16" s="21">
        <v>9</v>
      </c>
      <c r="G16" s="21">
        <v>0</v>
      </c>
      <c r="H16" s="21">
        <v>8</v>
      </c>
      <c r="I16" s="21">
        <v>9</v>
      </c>
      <c r="J16" s="21">
        <v>9</v>
      </c>
      <c r="K16" s="21">
        <v>8</v>
      </c>
      <c r="L16" s="21">
        <v>0</v>
      </c>
      <c r="M16" s="21">
        <f t="shared" si="0"/>
        <v>26</v>
      </c>
      <c r="N16" s="21">
        <f t="shared" si="1"/>
        <v>81</v>
      </c>
    </row>
    <row r="17" ht="20" customHeight="1" spans="1:14">
      <c r="A17" s="22" t="s">
        <v>45</v>
      </c>
      <c r="B17" s="22" t="s">
        <v>44</v>
      </c>
      <c r="C17" s="21">
        <v>8</v>
      </c>
      <c r="D17" s="21">
        <v>8</v>
      </c>
      <c r="E17" s="21">
        <v>10</v>
      </c>
      <c r="F17" s="21">
        <v>9</v>
      </c>
      <c r="G17" s="21">
        <v>9</v>
      </c>
      <c r="H17" s="21">
        <v>8</v>
      </c>
      <c r="I17" s="21">
        <v>9</v>
      </c>
      <c r="J17" s="21">
        <v>9</v>
      </c>
      <c r="K17" s="21">
        <v>0</v>
      </c>
      <c r="L17" s="21">
        <v>8</v>
      </c>
      <c r="M17" s="21">
        <f t="shared" si="0"/>
        <v>26</v>
      </c>
      <c r="N17" s="21">
        <f t="shared" si="1"/>
        <v>81</v>
      </c>
    </row>
    <row r="18" ht="20" customHeight="1" spans="1:14">
      <c r="A18" s="22" t="s">
        <v>47</v>
      </c>
      <c r="B18" s="22" t="s">
        <v>46</v>
      </c>
      <c r="C18" s="21">
        <v>8</v>
      </c>
      <c r="D18" s="21">
        <v>8</v>
      </c>
      <c r="E18" s="21">
        <v>9</v>
      </c>
      <c r="F18" s="21">
        <v>9</v>
      </c>
      <c r="G18" s="21">
        <v>0</v>
      </c>
      <c r="H18" s="21">
        <v>8</v>
      </c>
      <c r="I18" s="21">
        <v>9</v>
      </c>
      <c r="J18" s="21">
        <v>9</v>
      </c>
      <c r="K18" s="21">
        <v>0</v>
      </c>
      <c r="L18" s="21">
        <v>8</v>
      </c>
      <c r="M18" s="21">
        <f t="shared" si="0"/>
        <v>26</v>
      </c>
      <c r="N18" s="21">
        <f t="shared" si="1"/>
        <v>81</v>
      </c>
    </row>
    <row r="19" ht="20" customHeight="1" spans="1:14">
      <c r="A19" s="22" t="s">
        <v>49</v>
      </c>
      <c r="B19" s="22" t="s">
        <v>48</v>
      </c>
      <c r="C19" s="21">
        <v>8</v>
      </c>
      <c r="D19" s="21">
        <v>8</v>
      </c>
      <c r="E19" s="21">
        <v>9</v>
      </c>
      <c r="F19" s="21">
        <v>9</v>
      </c>
      <c r="G19" s="21">
        <v>0</v>
      </c>
      <c r="H19" s="21">
        <v>8</v>
      </c>
      <c r="I19" s="21">
        <v>9</v>
      </c>
      <c r="J19" s="21">
        <v>9</v>
      </c>
      <c r="K19" s="21">
        <v>8</v>
      </c>
      <c r="L19" s="21">
        <v>8</v>
      </c>
      <c r="M19" s="21">
        <f t="shared" si="0"/>
        <v>34</v>
      </c>
      <c r="N19" s="21">
        <f t="shared" si="1"/>
        <v>89</v>
      </c>
    </row>
    <row r="20" ht="20" customHeight="1" spans="1:14">
      <c r="A20" s="22" t="s">
        <v>51</v>
      </c>
      <c r="B20" s="22" t="s">
        <v>50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f t="shared" si="0"/>
        <v>0</v>
      </c>
      <c r="N20" s="21">
        <f t="shared" si="1"/>
        <v>55</v>
      </c>
    </row>
    <row r="21" ht="20" customHeight="1" spans="1:14">
      <c r="A21" s="22" t="s">
        <v>53</v>
      </c>
      <c r="B21" s="22" t="s">
        <v>52</v>
      </c>
      <c r="C21" s="21">
        <v>8</v>
      </c>
      <c r="D21" s="21">
        <v>8</v>
      </c>
      <c r="E21" s="21">
        <v>9</v>
      </c>
      <c r="F21" s="21">
        <v>9</v>
      </c>
      <c r="G21" s="21">
        <v>0</v>
      </c>
      <c r="H21" s="21">
        <v>8</v>
      </c>
      <c r="I21" s="21">
        <v>9</v>
      </c>
      <c r="J21" s="21">
        <v>9</v>
      </c>
      <c r="K21" s="21">
        <v>8</v>
      </c>
      <c r="L21" s="21">
        <v>8</v>
      </c>
      <c r="M21" s="21">
        <f t="shared" si="0"/>
        <v>34</v>
      </c>
      <c r="N21" s="21">
        <f t="shared" si="1"/>
        <v>89</v>
      </c>
    </row>
    <row r="22" ht="20" customHeight="1" spans="1:14">
      <c r="A22" s="22" t="s">
        <v>55</v>
      </c>
      <c r="B22" s="22" t="s">
        <v>54</v>
      </c>
      <c r="C22" s="21">
        <v>8</v>
      </c>
      <c r="D22" s="21">
        <v>8</v>
      </c>
      <c r="E22" s="21">
        <v>9</v>
      </c>
      <c r="F22" s="21">
        <v>0</v>
      </c>
      <c r="G22" s="21">
        <v>0</v>
      </c>
      <c r="H22" s="21">
        <v>0</v>
      </c>
      <c r="I22" s="21">
        <v>0</v>
      </c>
      <c r="J22" s="21">
        <v>9</v>
      </c>
      <c r="K22" s="21">
        <v>8</v>
      </c>
      <c r="L22" s="21">
        <v>0</v>
      </c>
      <c r="M22" s="21">
        <f t="shared" si="0"/>
        <v>17</v>
      </c>
      <c r="N22" s="21">
        <f t="shared" si="1"/>
        <v>72</v>
      </c>
    </row>
    <row r="23" ht="20" customHeight="1" spans="1:14">
      <c r="A23" s="22" t="s">
        <v>57</v>
      </c>
      <c r="B23" s="22" t="s">
        <v>56</v>
      </c>
      <c r="C23" s="21">
        <v>7</v>
      </c>
      <c r="D23" s="21">
        <v>8</v>
      </c>
      <c r="E23" s="21">
        <v>9</v>
      </c>
      <c r="F23" s="21" t="s">
        <v>682</v>
      </c>
      <c r="G23" s="21">
        <v>9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f t="shared" si="0"/>
        <v>0</v>
      </c>
      <c r="N23" s="21">
        <f t="shared" si="1"/>
        <v>55</v>
      </c>
    </row>
    <row r="24" ht="20" customHeight="1" spans="1:14">
      <c r="A24" s="22" t="s">
        <v>59</v>
      </c>
      <c r="B24" s="22" t="s">
        <v>58</v>
      </c>
      <c r="C24" s="21">
        <v>8</v>
      </c>
      <c r="D24" s="21">
        <v>8</v>
      </c>
      <c r="E24" s="21">
        <v>9</v>
      </c>
      <c r="F24" s="21">
        <v>9</v>
      </c>
      <c r="G24" s="21">
        <v>9</v>
      </c>
      <c r="H24" s="21">
        <v>0</v>
      </c>
      <c r="I24" s="21">
        <v>9</v>
      </c>
      <c r="J24" s="21">
        <v>9</v>
      </c>
      <c r="K24" s="21">
        <v>8</v>
      </c>
      <c r="L24" s="21">
        <v>8</v>
      </c>
      <c r="M24" s="21">
        <f t="shared" si="0"/>
        <v>34</v>
      </c>
      <c r="N24" s="21">
        <f t="shared" si="1"/>
        <v>89</v>
      </c>
    </row>
    <row r="25" ht="20" customHeight="1" spans="1:14">
      <c r="A25" s="22" t="s">
        <v>61</v>
      </c>
      <c r="B25" s="22" t="s">
        <v>60</v>
      </c>
      <c r="C25" s="21">
        <v>8</v>
      </c>
      <c r="D25" s="21">
        <v>8</v>
      </c>
      <c r="E25" s="21">
        <v>9</v>
      </c>
      <c r="F25" s="21">
        <v>9</v>
      </c>
      <c r="G25" s="21">
        <v>0</v>
      </c>
      <c r="H25" s="21">
        <v>8</v>
      </c>
      <c r="I25" s="21">
        <v>9</v>
      </c>
      <c r="J25" s="21">
        <v>9</v>
      </c>
      <c r="K25" s="21">
        <v>8</v>
      </c>
      <c r="L25" s="21">
        <v>0</v>
      </c>
      <c r="M25" s="21">
        <f t="shared" si="0"/>
        <v>26</v>
      </c>
      <c r="N25" s="21">
        <f t="shared" si="1"/>
        <v>81</v>
      </c>
    </row>
    <row r="26" ht="20" customHeight="1" spans="1:14">
      <c r="A26" s="22" t="s">
        <v>63</v>
      </c>
      <c r="B26" s="22" t="s">
        <v>62</v>
      </c>
      <c r="C26" s="21">
        <v>8</v>
      </c>
      <c r="D26" s="21">
        <v>8</v>
      </c>
      <c r="E26" s="21">
        <v>9</v>
      </c>
      <c r="F26" s="21">
        <v>9</v>
      </c>
      <c r="G26" s="21">
        <v>9</v>
      </c>
      <c r="H26" s="21">
        <v>8</v>
      </c>
      <c r="I26" s="21">
        <v>9</v>
      </c>
      <c r="J26" s="21">
        <v>9</v>
      </c>
      <c r="K26" s="21">
        <v>8</v>
      </c>
      <c r="L26" s="21">
        <v>8</v>
      </c>
      <c r="M26" s="21">
        <f t="shared" si="0"/>
        <v>34</v>
      </c>
      <c r="N26" s="21">
        <f t="shared" si="1"/>
        <v>89</v>
      </c>
    </row>
    <row r="27" ht="20" customHeight="1" spans="1:14">
      <c r="A27" s="22" t="s">
        <v>65</v>
      </c>
      <c r="B27" s="22" t="s">
        <v>64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8</v>
      </c>
      <c r="L27" s="21">
        <v>0</v>
      </c>
      <c r="M27" s="21">
        <f t="shared" si="0"/>
        <v>8</v>
      </c>
      <c r="N27" s="21">
        <f t="shared" si="1"/>
        <v>63</v>
      </c>
    </row>
    <row r="28" ht="20" customHeight="1" spans="1:14">
      <c r="A28" s="22" t="s">
        <v>67</v>
      </c>
      <c r="B28" s="22" t="s">
        <v>66</v>
      </c>
      <c r="C28" s="21">
        <v>8</v>
      </c>
      <c r="D28" s="21">
        <v>8</v>
      </c>
      <c r="E28" s="21">
        <v>10</v>
      </c>
      <c r="F28" s="21">
        <v>9</v>
      </c>
      <c r="G28" s="21">
        <v>9</v>
      </c>
      <c r="H28" s="21">
        <v>8</v>
      </c>
      <c r="I28" s="21">
        <v>9</v>
      </c>
      <c r="J28" s="21">
        <v>9</v>
      </c>
      <c r="K28" s="21">
        <v>0</v>
      </c>
      <c r="L28" s="21">
        <v>8</v>
      </c>
      <c r="M28" s="21">
        <f t="shared" si="0"/>
        <v>26</v>
      </c>
      <c r="N28" s="21">
        <f t="shared" si="1"/>
        <v>81</v>
      </c>
    </row>
    <row r="29" ht="20" customHeight="1" spans="1:14">
      <c r="A29" s="22" t="s">
        <v>69</v>
      </c>
      <c r="B29" s="22" t="s">
        <v>68</v>
      </c>
      <c r="C29" s="21">
        <v>8</v>
      </c>
      <c r="D29" s="21">
        <v>8</v>
      </c>
      <c r="E29" s="21">
        <v>10</v>
      </c>
      <c r="F29" s="21">
        <v>9</v>
      </c>
      <c r="G29" s="21">
        <v>9</v>
      </c>
      <c r="H29" s="21">
        <v>10</v>
      </c>
      <c r="I29" s="21">
        <v>9</v>
      </c>
      <c r="J29" s="21">
        <v>9</v>
      </c>
      <c r="K29" s="21">
        <v>8</v>
      </c>
      <c r="L29" s="21">
        <v>8</v>
      </c>
      <c r="M29" s="21">
        <f t="shared" si="0"/>
        <v>34</v>
      </c>
      <c r="N29" s="21">
        <f t="shared" si="1"/>
        <v>89</v>
      </c>
    </row>
    <row r="30" ht="20" customHeight="1" spans="1:14">
      <c r="A30" s="22" t="s">
        <v>71</v>
      </c>
      <c r="B30" s="22" t="s">
        <v>70</v>
      </c>
      <c r="C30" s="21">
        <v>8</v>
      </c>
      <c r="D30" s="21">
        <v>0</v>
      </c>
      <c r="E30" s="21">
        <v>0</v>
      </c>
      <c r="F30" s="21">
        <v>0</v>
      </c>
      <c r="G30" s="21">
        <v>9</v>
      </c>
      <c r="H30" s="21">
        <v>0</v>
      </c>
      <c r="I30" s="21">
        <v>9</v>
      </c>
      <c r="J30" s="21">
        <v>0</v>
      </c>
      <c r="K30" s="21">
        <v>0</v>
      </c>
      <c r="L30" s="21">
        <v>0</v>
      </c>
      <c r="M30" s="21">
        <f t="shared" si="0"/>
        <v>9</v>
      </c>
      <c r="N30" s="21">
        <f t="shared" si="1"/>
        <v>64</v>
      </c>
    </row>
    <row r="31" ht="20" customHeight="1" spans="1:14">
      <c r="A31" s="22" t="s">
        <v>73</v>
      </c>
      <c r="B31" s="22" t="s">
        <v>72</v>
      </c>
      <c r="C31" s="21">
        <v>8</v>
      </c>
      <c r="D31" s="21">
        <v>8</v>
      </c>
      <c r="E31" s="21">
        <v>9</v>
      </c>
      <c r="F31" s="21">
        <v>9</v>
      </c>
      <c r="G31" s="21">
        <v>9</v>
      </c>
      <c r="H31" s="21">
        <v>0</v>
      </c>
      <c r="I31" s="21">
        <v>9</v>
      </c>
      <c r="J31" s="21">
        <v>9</v>
      </c>
      <c r="K31" s="21">
        <v>8</v>
      </c>
      <c r="L31" s="21">
        <v>0</v>
      </c>
      <c r="M31" s="21">
        <f t="shared" si="0"/>
        <v>26</v>
      </c>
      <c r="N31" s="21">
        <f t="shared" si="1"/>
        <v>81</v>
      </c>
    </row>
    <row r="32" ht="20" customHeight="1" spans="1:14">
      <c r="A32" s="22" t="s">
        <v>75</v>
      </c>
      <c r="B32" s="22" t="s">
        <v>74</v>
      </c>
      <c r="C32" s="21">
        <v>8</v>
      </c>
      <c r="D32" s="21">
        <v>0</v>
      </c>
      <c r="E32" s="21">
        <v>9</v>
      </c>
      <c r="F32" s="21">
        <v>9</v>
      </c>
      <c r="G32" s="21">
        <v>9</v>
      </c>
      <c r="H32" s="21">
        <v>8</v>
      </c>
      <c r="I32" s="21">
        <v>9</v>
      </c>
      <c r="J32" s="21">
        <v>9</v>
      </c>
      <c r="K32" s="21">
        <v>0</v>
      </c>
      <c r="L32" s="21">
        <v>0</v>
      </c>
      <c r="M32" s="21">
        <f t="shared" si="0"/>
        <v>18</v>
      </c>
      <c r="N32" s="21">
        <f t="shared" si="1"/>
        <v>73</v>
      </c>
    </row>
    <row r="33" ht="20" customHeight="1" spans="1:14">
      <c r="A33" s="22" t="s">
        <v>77</v>
      </c>
      <c r="B33" s="22" t="s">
        <v>76</v>
      </c>
      <c r="C33" s="21">
        <v>8</v>
      </c>
      <c r="D33" s="21">
        <v>8</v>
      </c>
      <c r="E33" s="21">
        <v>0</v>
      </c>
      <c r="F33" s="21">
        <v>9</v>
      </c>
      <c r="G33" s="21">
        <v>0</v>
      </c>
      <c r="H33" s="21">
        <v>10</v>
      </c>
      <c r="I33" s="21">
        <v>9</v>
      </c>
      <c r="J33" s="21">
        <v>9</v>
      </c>
      <c r="K33" s="21">
        <v>0</v>
      </c>
      <c r="L33" s="21">
        <v>8</v>
      </c>
      <c r="M33" s="21">
        <f t="shared" si="0"/>
        <v>26</v>
      </c>
      <c r="N33" s="21">
        <f t="shared" si="1"/>
        <v>81</v>
      </c>
    </row>
    <row r="34" ht="20" customHeight="1" spans="1:14">
      <c r="A34" s="22" t="s">
        <v>79</v>
      </c>
      <c r="B34" s="22" t="s">
        <v>78</v>
      </c>
      <c r="C34" s="21">
        <v>8</v>
      </c>
      <c r="D34" s="21">
        <v>8</v>
      </c>
      <c r="E34" s="21">
        <v>9</v>
      </c>
      <c r="F34" s="21">
        <v>9</v>
      </c>
      <c r="G34" s="21">
        <v>0</v>
      </c>
      <c r="H34" s="21">
        <v>8</v>
      </c>
      <c r="I34" s="21">
        <v>0</v>
      </c>
      <c r="J34" s="21">
        <v>9</v>
      </c>
      <c r="K34" s="21">
        <v>8</v>
      </c>
      <c r="L34" s="21">
        <v>8</v>
      </c>
      <c r="M34" s="21">
        <f t="shared" si="0"/>
        <v>25</v>
      </c>
      <c r="N34" s="21">
        <f t="shared" si="1"/>
        <v>80</v>
      </c>
    </row>
    <row r="35" ht="20" customHeight="1" spans="1:14">
      <c r="A35" s="22" t="s">
        <v>81</v>
      </c>
      <c r="B35" s="22" t="s">
        <v>80</v>
      </c>
      <c r="C35" s="21">
        <v>8</v>
      </c>
      <c r="D35" s="21">
        <v>8</v>
      </c>
      <c r="E35" s="21">
        <v>9</v>
      </c>
      <c r="F35" s="21">
        <v>9</v>
      </c>
      <c r="G35" s="21">
        <v>9</v>
      </c>
      <c r="H35" s="21">
        <v>8</v>
      </c>
      <c r="I35" s="21">
        <v>9</v>
      </c>
      <c r="J35" s="21">
        <v>9</v>
      </c>
      <c r="K35" s="21">
        <v>8</v>
      </c>
      <c r="L35" s="21">
        <v>8</v>
      </c>
      <c r="M35" s="21">
        <f t="shared" si="0"/>
        <v>34</v>
      </c>
      <c r="N35" s="21">
        <f t="shared" si="1"/>
        <v>89</v>
      </c>
    </row>
    <row r="36" ht="20" customHeight="1" spans="1:14">
      <c r="A36" s="22" t="s">
        <v>83</v>
      </c>
      <c r="B36" s="22" t="s">
        <v>82</v>
      </c>
      <c r="C36" s="21">
        <v>8</v>
      </c>
      <c r="D36" s="21">
        <v>0</v>
      </c>
      <c r="E36" s="21">
        <v>9</v>
      </c>
      <c r="F36" s="21">
        <v>9</v>
      </c>
      <c r="G36" s="21">
        <v>9</v>
      </c>
      <c r="H36" s="21">
        <v>0</v>
      </c>
      <c r="I36" s="21">
        <v>9</v>
      </c>
      <c r="J36" s="21">
        <v>9</v>
      </c>
      <c r="K36" s="21">
        <v>0</v>
      </c>
      <c r="L36" s="21">
        <v>0</v>
      </c>
      <c r="M36" s="21">
        <f t="shared" si="0"/>
        <v>18</v>
      </c>
      <c r="N36" s="21">
        <f t="shared" si="1"/>
        <v>73</v>
      </c>
    </row>
    <row r="37" ht="20" customHeight="1" spans="1:14">
      <c r="A37" s="22" t="s">
        <v>85</v>
      </c>
      <c r="B37" s="22" t="s">
        <v>84</v>
      </c>
      <c r="C37" s="21">
        <v>7</v>
      </c>
      <c r="D37" s="21">
        <v>0</v>
      </c>
      <c r="E37" s="21">
        <v>9</v>
      </c>
      <c r="F37" s="21">
        <v>9</v>
      </c>
      <c r="G37" s="21">
        <v>9</v>
      </c>
      <c r="H37" s="21">
        <v>8</v>
      </c>
      <c r="I37" s="21">
        <v>9</v>
      </c>
      <c r="J37" s="21">
        <v>9</v>
      </c>
      <c r="K37" s="21">
        <v>8</v>
      </c>
      <c r="L37" s="21">
        <v>8</v>
      </c>
      <c r="M37" s="21">
        <f t="shared" si="0"/>
        <v>34</v>
      </c>
      <c r="N37" s="21">
        <f t="shared" si="1"/>
        <v>89</v>
      </c>
    </row>
    <row r="38" ht="20" customHeight="1" spans="1:14">
      <c r="A38" s="22" t="s">
        <v>87</v>
      </c>
      <c r="B38" s="22" t="s">
        <v>86</v>
      </c>
      <c r="C38" s="21">
        <v>8</v>
      </c>
      <c r="D38" s="21">
        <v>8</v>
      </c>
      <c r="E38" s="21">
        <v>9</v>
      </c>
      <c r="F38" s="21">
        <v>9</v>
      </c>
      <c r="G38" s="21">
        <v>0</v>
      </c>
      <c r="H38" s="21">
        <v>8</v>
      </c>
      <c r="I38" s="21">
        <v>9</v>
      </c>
      <c r="J38" s="21">
        <v>9</v>
      </c>
      <c r="K38" s="21">
        <v>0</v>
      </c>
      <c r="L38" s="21">
        <v>8</v>
      </c>
      <c r="M38" s="21">
        <f t="shared" si="0"/>
        <v>26</v>
      </c>
      <c r="N38" s="21">
        <f t="shared" si="1"/>
        <v>81</v>
      </c>
    </row>
    <row r="39" ht="20" customHeight="1" spans="1:14">
      <c r="A39" s="22" t="s">
        <v>89</v>
      </c>
      <c r="B39" s="22" t="s">
        <v>88</v>
      </c>
      <c r="C39" s="21">
        <v>8</v>
      </c>
      <c r="D39" s="21">
        <v>8</v>
      </c>
      <c r="E39" s="21">
        <v>9</v>
      </c>
      <c r="F39" s="21">
        <v>9</v>
      </c>
      <c r="G39" s="21">
        <v>0</v>
      </c>
      <c r="H39" s="21">
        <v>10</v>
      </c>
      <c r="I39" s="21">
        <v>0</v>
      </c>
      <c r="J39" s="21">
        <v>9</v>
      </c>
      <c r="K39" s="21">
        <v>0</v>
      </c>
      <c r="L39" s="21">
        <v>0</v>
      </c>
      <c r="M39" s="21">
        <f t="shared" si="0"/>
        <v>9</v>
      </c>
      <c r="N39" s="21">
        <f t="shared" si="1"/>
        <v>64</v>
      </c>
    </row>
    <row r="40" ht="20" customHeight="1" spans="1:14">
      <c r="A40" s="22" t="s">
        <v>91</v>
      </c>
      <c r="B40" s="22" t="s">
        <v>90</v>
      </c>
      <c r="C40" s="21">
        <v>8</v>
      </c>
      <c r="D40" s="21">
        <v>8</v>
      </c>
      <c r="E40" s="21">
        <v>10</v>
      </c>
      <c r="F40" s="21">
        <v>9</v>
      </c>
      <c r="G40" s="21">
        <v>9</v>
      </c>
      <c r="H40" s="21">
        <v>8</v>
      </c>
      <c r="I40" s="21">
        <v>9</v>
      </c>
      <c r="J40" s="21">
        <v>9</v>
      </c>
      <c r="K40" s="21">
        <v>0</v>
      </c>
      <c r="L40" s="21">
        <v>0</v>
      </c>
      <c r="M40" s="21">
        <f t="shared" si="0"/>
        <v>18</v>
      </c>
      <c r="N40" s="21">
        <f t="shared" si="1"/>
        <v>73</v>
      </c>
    </row>
    <row r="41" ht="20" customHeight="1" spans="1:14">
      <c r="A41" s="22" t="s">
        <v>93</v>
      </c>
      <c r="B41" s="22" t="s">
        <v>92</v>
      </c>
      <c r="C41" s="21">
        <v>8</v>
      </c>
      <c r="D41" s="21">
        <v>0</v>
      </c>
      <c r="E41" s="21">
        <v>10</v>
      </c>
      <c r="F41" s="21">
        <v>9</v>
      </c>
      <c r="G41" s="21">
        <v>0</v>
      </c>
      <c r="H41" s="21">
        <v>8</v>
      </c>
      <c r="I41" s="21">
        <v>0</v>
      </c>
      <c r="J41" s="21">
        <v>9</v>
      </c>
      <c r="K41" s="21">
        <v>8</v>
      </c>
      <c r="L41" s="21">
        <v>8</v>
      </c>
      <c r="M41" s="21">
        <f t="shared" si="0"/>
        <v>25</v>
      </c>
      <c r="N41" s="21">
        <f t="shared" si="1"/>
        <v>80</v>
      </c>
    </row>
    <row r="42" ht="20" customHeight="1" spans="1:14">
      <c r="A42" s="22" t="s">
        <v>95</v>
      </c>
      <c r="B42" s="22" t="s">
        <v>94</v>
      </c>
      <c r="C42" s="21">
        <v>8</v>
      </c>
      <c r="D42" s="21">
        <v>8</v>
      </c>
      <c r="E42" s="21">
        <v>10</v>
      </c>
      <c r="F42" s="21">
        <v>9</v>
      </c>
      <c r="G42" s="21">
        <v>9</v>
      </c>
      <c r="H42" s="21">
        <v>8</v>
      </c>
      <c r="I42" s="21">
        <v>9</v>
      </c>
      <c r="J42" s="21">
        <v>9</v>
      </c>
      <c r="K42" s="21">
        <v>8</v>
      </c>
      <c r="L42" s="21">
        <v>8</v>
      </c>
      <c r="M42" s="21">
        <f t="shared" si="0"/>
        <v>34</v>
      </c>
      <c r="N42" s="21">
        <f t="shared" si="1"/>
        <v>89</v>
      </c>
    </row>
    <row r="43" ht="20" customHeight="1" spans="1:14">
      <c r="A43" s="22" t="s">
        <v>97</v>
      </c>
      <c r="B43" s="22" t="s">
        <v>96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</row>
    <row r="44" ht="20" customHeight="1" spans="1:14">
      <c r="A44" s="22" t="s">
        <v>99</v>
      </c>
      <c r="B44" s="22" t="s">
        <v>98</v>
      </c>
      <c r="C44" s="21">
        <v>8</v>
      </c>
      <c r="D44" s="21">
        <v>0</v>
      </c>
      <c r="E44" s="21">
        <v>9</v>
      </c>
      <c r="F44" s="21">
        <v>9</v>
      </c>
      <c r="G44" s="21">
        <v>0</v>
      </c>
      <c r="H44" s="21">
        <v>8</v>
      </c>
      <c r="I44" s="21">
        <v>0</v>
      </c>
      <c r="J44" s="21">
        <v>9</v>
      </c>
      <c r="K44" s="21">
        <v>0</v>
      </c>
      <c r="L44" s="21">
        <v>0</v>
      </c>
      <c r="M44" s="21">
        <f t="shared" si="0"/>
        <v>9</v>
      </c>
      <c r="N44" s="21">
        <f t="shared" si="1"/>
        <v>64</v>
      </c>
    </row>
    <row r="45" ht="20" customHeight="1" spans="1:14">
      <c r="A45" s="22" t="s">
        <v>101</v>
      </c>
      <c r="B45" s="22" t="s">
        <v>100</v>
      </c>
      <c r="C45" s="21">
        <v>8</v>
      </c>
      <c r="D45" s="21">
        <v>8</v>
      </c>
      <c r="E45" s="21">
        <v>9</v>
      </c>
      <c r="F45" s="21">
        <v>9</v>
      </c>
      <c r="G45" s="21">
        <v>0</v>
      </c>
      <c r="H45" s="21">
        <v>8</v>
      </c>
      <c r="I45" s="21">
        <v>0</v>
      </c>
      <c r="J45" s="21">
        <v>9</v>
      </c>
      <c r="K45" s="21">
        <v>0</v>
      </c>
      <c r="L45" s="21">
        <v>8</v>
      </c>
      <c r="M45" s="21">
        <f t="shared" si="0"/>
        <v>17</v>
      </c>
      <c r="N45" s="21">
        <f t="shared" si="1"/>
        <v>72</v>
      </c>
    </row>
    <row r="46" ht="20" customHeight="1" spans="1:14">
      <c r="A46" s="22" t="s">
        <v>103</v>
      </c>
      <c r="B46" s="22" t="s">
        <v>102</v>
      </c>
      <c r="C46" s="21">
        <v>0</v>
      </c>
      <c r="D46" s="21">
        <v>8</v>
      </c>
      <c r="E46" s="21">
        <v>10</v>
      </c>
      <c r="F46" s="21">
        <v>9</v>
      </c>
      <c r="G46" s="21">
        <v>0</v>
      </c>
      <c r="H46" s="21">
        <v>8</v>
      </c>
      <c r="I46" s="21">
        <v>0</v>
      </c>
      <c r="J46" s="21">
        <v>9</v>
      </c>
      <c r="K46" s="21">
        <v>0</v>
      </c>
      <c r="L46" s="21">
        <v>0</v>
      </c>
      <c r="M46" s="21">
        <f t="shared" si="0"/>
        <v>9</v>
      </c>
      <c r="N46" s="21">
        <f t="shared" si="1"/>
        <v>64</v>
      </c>
    </row>
    <row r="47" ht="20" customHeight="1" spans="1:14">
      <c r="A47" s="22" t="s">
        <v>105</v>
      </c>
      <c r="B47" s="22" t="s">
        <v>104</v>
      </c>
      <c r="C47" s="21">
        <v>7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f t="shared" si="0"/>
        <v>0</v>
      </c>
      <c r="N47" s="21">
        <f t="shared" si="1"/>
        <v>55</v>
      </c>
    </row>
    <row r="48" ht="20" customHeight="1" spans="1:14">
      <c r="A48" s="22" t="s">
        <v>107</v>
      </c>
      <c r="B48" s="22" t="s">
        <v>106</v>
      </c>
      <c r="C48" s="21">
        <v>8</v>
      </c>
      <c r="D48" s="21">
        <v>8</v>
      </c>
      <c r="E48" s="21">
        <v>0</v>
      </c>
      <c r="F48" s="21">
        <v>9</v>
      </c>
      <c r="G48" s="21">
        <v>9</v>
      </c>
      <c r="H48" s="21">
        <v>0</v>
      </c>
      <c r="I48" s="21">
        <v>9</v>
      </c>
      <c r="J48" s="21">
        <v>9</v>
      </c>
      <c r="K48" s="21">
        <v>0</v>
      </c>
      <c r="L48" s="21">
        <v>8</v>
      </c>
      <c r="M48" s="21">
        <f t="shared" si="0"/>
        <v>26</v>
      </c>
      <c r="N48" s="21">
        <f t="shared" si="1"/>
        <v>81</v>
      </c>
    </row>
    <row r="49" ht="20" customHeight="1" spans="1:14">
      <c r="A49" s="22" t="s">
        <v>109</v>
      </c>
      <c r="B49" s="22" t="s">
        <v>108</v>
      </c>
      <c r="C49" s="21">
        <v>8</v>
      </c>
      <c r="D49" s="21">
        <v>8</v>
      </c>
      <c r="E49" s="21">
        <v>10</v>
      </c>
      <c r="F49" s="21">
        <v>9</v>
      </c>
      <c r="G49" s="21">
        <v>9</v>
      </c>
      <c r="H49" s="21">
        <v>0</v>
      </c>
      <c r="I49" s="21">
        <v>9</v>
      </c>
      <c r="J49" s="21">
        <v>9</v>
      </c>
      <c r="K49" s="21">
        <v>0</v>
      </c>
      <c r="L49" s="21">
        <v>8</v>
      </c>
      <c r="M49" s="21">
        <f t="shared" si="0"/>
        <v>26</v>
      </c>
      <c r="N49" s="21">
        <f t="shared" si="1"/>
        <v>81</v>
      </c>
    </row>
    <row r="50" ht="20" customHeight="1" spans="1:14">
      <c r="A50" s="22" t="s">
        <v>111</v>
      </c>
      <c r="B50" s="22" t="s">
        <v>110</v>
      </c>
      <c r="C50" s="21">
        <v>8</v>
      </c>
      <c r="D50" s="21">
        <v>8</v>
      </c>
      <c r="E50" s="21">
        <v>9</v>
      </c>
      <c r="F50" s="21">
        <v>9</v>
      </c>
      <c r="G50" s="21">
        <v>9</v>
      </c>
      <c r="H50" s="21">
        <v>8</v>
      </c>
      <c r="I50" s="21">
        <v>9</v>
      </c>
      <c r="J50" s="21">
        <v>0</v>
      </c>
      <c r="K50" s="21">
        <v>0</v>
      </c>
      <c r="L50" s="21">
        <v>8</v>
      </c>
      <c r="M50" s="21">
        <f t="shared" si="0"/>
        <v>17</v>
      </c>
      <c r="N50" s="21">
        <f t="shared" si="1"/>
        <v>72</v>
      </c>
    </row>
    <row r="51" ht="20" customHeight="1" spans="1:14">
      <c r="A51" s="22" t="s">
        <v>113</v>
      </c>
      <c r="B51" s="22" t="s">
        <v>112</v>
      </c>
      <c r="C51" s="21">
        <v>8</v>
      </c>
      <c r="D51" s="21">
        <v>8</v>
      </c>
      <c r="E51" s="21">
        <v>9</v>
      </c>
      <c r="F51" s="21">
        <v>0</v>
      </c>
      <c r="G51" s="21">
        <v>9</v>
      </c>
      <c r="H51" s="21">
        <v>8</v>
      </c>
      <c r="I51" s="21">
        <v>9</v>
      </c>
      <c r="J51" s="21">
        <v>9</v>
      </c>
      <c r="K51" s="21">
        <v>8</v>
      </c>
      <c r="L51" s="21">
        <v>8</v>
      </c>
      <c r="M51" s="21">
        <f t="shared" si="0"/>
        <v>34</v>
      </c>
      <c r="N51" s="21">
        <f t="shared" si="1"/>
        <v>89</v>
      </c>
    </row>
    <row r="52" ht="20" customHeight="1" spans="1:14">
      <c r="A52" s="22" t="s">
        <v>115</v>
      </c>
      <c r="B52" s="22" t="s">
        <v>114</v>
      </c>
      <c r="C52" s="21">
        <v>8</v>
      </c>
      <c r="D52" s="21">
        <v>8</v>
      </c>
      <c r="E52" s="21">
        <v>0</v>
      </c>
      <c r="F52" s="21">
        <v>9</v>
      </c>
      <c r="G52" s="21">
        <v>0</v>
      </c>
      <c r="H52" s="21">
        <v>10</v>
      </c>
      <c r="I52" s="21">
        <v>9</v>
      </c>
      <c r="J52" s="21">
        <v>9</v>
      </c>
      <c r="K52" s="21">
        <v>0</v>
      </c>
      <c r="L52" s="21">
        <v>8</v>
      </c>
      <c r="M52" s="21">
        <f t="shared" si="0"/>
        <v>26</v>
      </c>
      <c r="N52" s="21">
        <f t="shared" si="1"/>
        <v>81</v>
      </c>
    </row>
  </sheetData>
  <mergeCells count="1">
    <mergeCell ref="A1:N1"/>
  </mergeCells>
  <printOptions horizontalCentered="1" verticalCentered="1"/>
  <pageMargins left="0.751388888888889" right="0.751388888888889" top="1" bottom="1" header="0.5" footer="0.5"/>
  <pageSetup paperSize="9" scale="71" orientation="portrait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2"/>
  <sheetViews>
    <sheetView workbookViewId="0">
      <selection activeCell="C2" sqref="C2:L52"/>
    </sheetView>
  </sheetViews>
  <sheetFormatPr defaultColWidth="8.88888888888889" defaultRowHeight="14.4"/>
  <cols>
    <col min="1" max="1" width="11.5555555555556" customWidth="1"/>
    <col min="3" max="3" width="11.3333333333333" customWidth="1"/>
    <col min="4" max="5" width="10.7777777777778" customWidth="1"/>
    <col min="6" max="6" width="11.4444444444444" customWidth="1"/>
    <col min="7" max="7" width="9.33333333333333" customWidth="1"/>
    <col min="11" max="11" width="9" customWidth="1"/>
    <col min="12" max="12" width="7.88888888888889" customWidth="1"/>
  </cols>
  <sheetData>
    <row r="1" ht="25" customHeight="1" spans="1:12">
      <c r="A1" s="15" t="s">
        <v>3966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45" customHeight="1" spans="1:12">
      <c r="A2" s="16" t="s">
        <v>3936</v>
      </c>
      <c r="B2" s="16" t="s">
        <v>3937</v>
      </c>
      <c r="C2" s="17" t="s">
        <v>2757</v>
      </c>
      <c r="D2" s="17" t="s">
        <v>2758</v>
      </c>
      <c r="E2" s="17" t="s">
        <v>2759</v>
      </c>
      <c r="F2" s="17" t="s">
        <v>2764</v>
      </c>
      <c r="G2" s="17" t="s">
        <v>2760</v>
      </c>
      <c r="H2" s="17" t="s">
        <v>2761</v>
      </c>
      <c r="I2" s="17" t="s">
        <v>2762</v>
      </c>
      <c r="J2" s="17" t="s">
        <v>2763</v>
      </c>
      <c r="K2" s="17" t="s">
        <v>2765</v>
      </c>
      <c r="L2" s="11" t="s">
        <v>3952</v>
      </c>
    </row>
    <row r="3" spans="1:12">
      <c r="A3" s="18" t="str">
        <f>作业统计!B5</f>
        <v>2020211034</v>
      </c>
      <c r="B3" s="18" t="str">
        <f>作业统计!A5</f>
        <v>张梦杰</v>
      </c>
      <c r="C3" s="14">
        <v>80</v>
      </c>
      <c r="D3" s="14">
        <v>60</v>
      </c>
      <c r="E3" s="14">
        <v>90</v>
      </c>
      <c r="F3" s="14">
        <v>90</v>
      </c>
      <c r="G3" s="14">
        <v>80</v>
      </c>
      <c r="H3" s="14">
        <v>100</v>
      </c>
      <c r="I3" s="14">
        <v>80</v>
      </c>
      <c r="J3" s="14">
        <v>80</v>
      </c>
      <c r="K3" s="14">
        <v>0</v>
      </c>
      <c r="L3" s="19">
        <f>AVERAGE(C3:K3)</f>
        <v>73.3333333333333</v>
      </c>
    </row>
    <row r="4" spans="1:12">
      <c r="A4" s="18" t="str">
        <f>作业统计!B6</f>
        <v>2020213700</v>
      </c>
      <c r="B4" s="18" t="str">
        <f>作业统计!A6</f>
        <v>童其凡</v>
      </c>
      <c r="C4" s="14">
        <v>80</v>
      </c>
      <c r="D4" s="14">
        <v>70</v>
      </c>
      <c r="E4" s="14">
        <v>70</v>
      </c>
      <c r="F4" s="14">
        <v>90</v>
      </c>
      <c r="G4" s="14">
        <v>80</v>
      </c>
      <c r="H4" s="14">
        <v>70</v>
      </c>
      <c r="I4" s="14">
        <v>70</v>
      </c>
      <c r="J4" s="14">
        <v>80</v>
      </c>
      <c r="K4" s="14">
        <v>0</v>
      </c>
      <c r="L4" s="19">
        <f t="shared" ref="L4:L35" si="0">AVERAGE(C4:K4)</f>
        <v>67.7777777777778</v>
      </c>
    </row>
    <row r="5" spans="1:12">
      <c r="A5" s="18" t="str">
        <f>作业统计!B7</f>
        <v>2022210331</v>
      </c>
      <c r="B5" s="18" t="str">
        <f>作业统计!A7</f>
        <v>曹安晨</v>
      </c>
      <c r="C5" s="14">
        <v>80</v>
      </c>
      <c r="D5" s="14">
        <v>70</v>
      </c>
      <c r="E5" s="14">
        <v>70</v>
      </c>
      <c r="F5" s="14">
        <v>90</v>
      </c>
      <c r="G5" s="14">
        <v>100</v>
      </c>
      <c r="H5" s="14">
        <v>80</v>
      </c>
      <c r="I5" s="14">
        <v>80</v>
      </c>
      <c r="J5" s="14">
        <v>80</v>
      </c>
      <c r="K5" s="14">
        <v>80</v>
      </c>
      <c r="L5" s="19">
        <f t="shared" si="0"/>
        <v>81.1111111111111</v>
      </c>
    </row>
    <row r="6" spans="1:12">
      <c r="A6" s="18" t="str">
        <f>作业统计!B8</f>
        <v>2022210332</v>
      </c>
      <c r="B6" s="18" t="str">
        <f>作业统计!A8</f>
        <v>陈晨</v>
      </c>
      <c r="C6" s="14">
        <v>80</v>
      </c>
      <c r="D6" s="14">
        <v>100</v>
      </c>
      <c r="E6" s="14">
        <v>80</v>
      </c>
      <c r="F6" s="14">
        <v>90</v>
      </c>
      <c r="G6" s="14">
        <v>100</v>
      </c>
      <c r="H6" s="14">
        <v>90</v>
      </c>
      <c r="I6" s="14">
        <v>90</v>
      </c>
      <c r="J6" s="14">
        <v>90</v>
      </c>
      <c r="K6" s="14">
        <v>80</v>
      </c>
      <c r="L6" s="19">
        <f t="shared" si="0"/>
        <v>88.8888888888889</v>
      </c>
    </row>
    <row r="7" spans="1:12">
      <c r="A7" s="18" t="str">
        <f>作业统计!B9</f>
        <v>2022210333</v>
      </c>
      <c r="B7" s="18" t="str">
        <f>作业统计!A9</f>
        <v>陈创东</v>
      </c>
      <c r="C7" s="14">
        <v>80</v>
      </c>
      <c r="D7" s="14">
        <v>100</v>
      </c>
      <c r="E7" s="14">
        <v>80</v>
      </c>
      <c r="F7" s="14">
        <v>90</v>
      </c>
      <c r="G7" s="14">
        <v>100</v>
      </c>
      <c r="H7" s="14">
        <v>100</v>
      </c>
      <c r="I7" s="14">
        <v>90</v>
      </c>
      <c r="J7" s="14">
        <v>90</v>
      </c>
      <c r="K7" s="14">
        <v>80</v>
      </c>
      <c r="L7" s="19">
        <f t="shared" si="0"/>
        <v>90</v>
      </c>
    </row>
    <row r="8" spans="1:12">
      <c r="A8" s="18" t="str">
        <f>作业统计!B10</f>
        <v>2022210334</v>
      </c>
      <c r="B8" s="18" t="str">
        <f>作业统计!A10</f>
        <v>程纪阳</v>
      </c>
      <c r="C8" s="14">
        <v>80</v>
      </c>
      <c r="D8" s="14">
        <v>80</v>
      </c>
      <c r="E8" s="14">
        <v>70</v>
      </c>
      <c r="F8" s="14">
        <v>90</v>
      </c>
      <c r="G8" s="14">
        <v>100</v>
      </c>
      <c r="H8" s="14">
        <v>90</v>
      </c>
      <c r="I8" s="14">
        <v>80</v>
      </c>
      <c r="J8" s="14">
        <v>80</v>
      </c>
      <c r="K8" s="14">
        <v>80</v>
      </c>
      <c r="L8" s="19">
        <f t="shared" si="0"/>
        <v>83.3333333333333</v>
      </c>
    </row>
    <row r="9" spans="1:12">
      <c r="A9" s="18" t="str">
        <f>作业统计!B11</f>
        <v>2022210335</v>
      </c>
      <c r="B9" s="18" t="str">
        <f>作业统计!A11</f>
        <v>程梦圆</v>
      </c>
      <c r="C9" s="14">
        <v>70</v>
      </c>
      <c r="D9" s="14">
        <v>50</v>
      </c>
      <c r="E9" s="14">
        <v>60</v>
      </c>
      <c r="F9" s="14">
        <v>90</v>
      </c>
      <c r="G9" s="14">
        <v>90</v>
      </c>
      <c r="H9" s="14">
        <v>90</v>
      </c>
      <c r="I9" s="14">
        <v>80</v>
      </c>
      <c r="J9" s="14">
        <v>90</v>
      </c>
      <c r="K9" s="14">
        <v>80</v>
      </c>
      <c r="L9" s="19">
        <f t="shared" si="0"/>
        <v>77.7777777777778</v>
      </c>
    </row>
    <row r="10" spans="1:12">
      <c r="A10" s="18" t="str">
        <f>作业统计!B12</f>
        <v>2022210337</v>
      </c>
      <c r="B10" s="18" t="str">
        <f>作业统计!A12</f>
        <v>邓慧茹</v>
      </c>
      <c r="C10" s="14">
        <v>80</v>
      </c>
      <c r="D10" s="14">
        <v>60</v>
      </c>
      <c r="E10" s="14">
        <v>60</v>
      </c>
      <c r="F10" s="14">
        <v>90</v>
      </c>
      <c r="G10" s="14">
        <v>100</v>
      </c>
      <c r="H10" s="14">
        <v>90</v>
      </c>
      <c r="I10" s="14">
        <v>80</v>
      </c>
      <c r="J10" s="14">
        <v>90</v>
      </c>
      <c r="K10" s="14">
        <v>80</v>
      </c>
      <c r="L10" s="19">
        <f t="shared" si="0"/>
        <v>81.1111111111111</v>
      </c>
    </row>
    <row r="11" spans="1:12">
      <c r="A11" s="18" t="str">
        <f>作业统计!B13</f>
        <v>2022210338</v>
      </c>
      <c r="B11" s="18" t="str">
        <f>作业统计!A13</f>
        <v>丁玉耀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9">
        <v>0</v>
      </c>
    </row>
    <row r="12" spans="1:12">
      <c r="A12" s="18" t="str">
        <f>作业统计!B14</f>
        <v>2022210339</v>
      </c>
      <c r="B12" s="18" t="str">
        <f>作业统计!A14</f>
        <v>范鑫蕊</v>
      </c>
      <c r="C12" s="14">
        <v>80</v>
      </c>
      <c r="D12" s="14">
        <v>70</v>
      </c>
      <c r="E12" s="14">
        <v>60</v>
      </c>
      <c r="F12" s="14">
        <v>90</v>
      </c>
      <c r="G12" s="14">
        <v>100</v>
      </c>
      <c r="H12" s="14">
        <v>70</v>
      </c>
      <c r="I12" s="14">
        <v>80</v>
      </c>
      <c r="J12" s="14">
        <v>90</v>
      </c>
      <c r="K12" s="14">
        <v>70</v>
      </c>
      <c r="L12" s="19">
        <f t="shared" si="0"/>
        <v>78.8888888888889</v>
      </c>
    </row>
    <row r="13" spans="1:12">
      <c r="A13" s="18" t="str">
        <f>作业统计!B15</f>
        <v>2022210342</v>
      </c>
      <c r="B13" s="18" t="str">
        <f>作业统计!A15</f>
        <v>高恩鹏</v>
      </c>
      <c r="C13" s="14">
        <v>60</v>
      </c>
      <c r="D13" s="14">
        <v>50</v>
      </c>
      <c r="E13" s="14">
        <v>70</v>
      </c>
      <c r="F13" s="14">
        <v>90</v>
      </c>
      <c r="G13" s="14">
        <v>100</v>
      </c>
      <c r="H13" s="14">
        <v>100</v>
      </c>
      <c r="I13" s="14">
        <v>80</v>
      </c>
      <c r="J13" s="14">
        <v>80</v>
      </c>
      <c r="K13" s="14">
        <v>80</v>
      </c>
      <c r="L13" s="19">
        <f t="shared" si="0"/>
        <v>78.8888888888889</v>
      </c>
    </row>
    <row r="14" spans="1:12">
      <c r="A14" s="18" t="str">
        <f>作业统计!B16</f>
        <v>2022210343</v>
      </c>
      <c r="B14" s="18" t="str">
        <f>作业统计!A16</f>
        <v>关雪艳</v>
      </c>
      <c r="C14" s="14">
        <v>80</v>
      </c>
      <c r="D14" s="14">
        <v>70</v>
      </c>
      <c r="E14" s="14">
        <v>60</v>
      </c>
      <c r="F14" s="14">
        <v>100</v>
      </c>
      <c r="G14" s="14">
        <v>100</v>
      </c>
      <c r="H14" s="14">
        <v>100</v>
      </c>
      <c r="I14" s="14">
        <v>90</v>
      </c>
      <c r="J14" s="14">
        <v>90</v>
      </c>
      <c r="K14" s="14">
        <v>80</v>
      </c>
      <c r="L14" s="19">
        <f t="shared" si="0"/>
        <v>85.5555555555556</v>
      </c>
    </row>
    <row r="15" spans="1:12">
      <c r="A15" s="18" t="str">
        <f>作业统计!B17</f>
        <v>2022210344</v>
      </c>
      <c r="B15" s="18" t="str">
        <f>作业统计!A17</f>
        <v>郭新杰</v>
      </c>
      <c r="C15" s="14">
        <v>80</v>
      </c>
      <c r="D15" s="14">
        <v>60</v>
      </c>
      <c r="E15" s="14">
        <v>60</v>
      </c>
      <c r="F15" s="14">
        <v>90</v>
      </c>
      <c r="G15" s="14">
        <v>100</v>
      </c>
      <c r="H15" s="14">
        <v>90</v>
      </c>
      <c r="I15" s="14">
        <v>80</v>
      </c>
      <c r="J15" s="14">
        <v>90</v>
      </c>
      <c r="K15" s="14">
        <v>70</v>
      </c>
      <c r="L15" s="19">
        <f t="shared" si="0"/>
        <v>80</v>
      </c>
    </row>
    <row r="16" spans="1:12">
      <c r="A16" s="18" t="str">
        <f>作业统计!B18</f>
        <v>2022210346</v>
      </c>
      <c r="B16" s="18" t="str">
        <f>作业统计!A18</f>
        <v>洪晓瑞</v>
      </c>
      <c r="C16" s="14">
        <v>60</v>
      </c>
      <c r="D16" s="14">
        <v>60</v>
      </c>
      <c r="E16" s="14">
        <v>70</v>
      </c>
      <c r="F16" s="14">
        <v>90</v>
      </c>
      <c r="G16" s="14">
        <v>100</v>
      </c>
      <c r="H16" s="14">
        <v>100</v>
      </c>
      <c r="I16" s="14">
        <v>90</v>
      </c>
      <c r="J16" s="14">
        <v>80</v>
      </c>
      <c r="K16" s="14">
        <v>80</v>
      </c>
      <c r="L16" s="19">
        <f t="shared" si="0"/>
        <v>81.1111111111111</v>
      </c>
    </row>
    <row r="17" spans="1:12">
      <c r="A17" s="18" t="str">
        <f>作业统计!B19</f>
        <v>2022210347</v>
      </c>
      <c r="B17" s="18" t="str">
        <f>作业统计!A19</f>
        <v>胡步兴</v>
      </c>
      <c r="C17" s="14">
        <v>80</v>
      </c>
      <c r="D17" s="14">
        <v>70</v>
      </c>
      <c r="E17" s="14">
        <v>60</v>
      </c>
      <c r="F17" s="14">
        <v>90</v>
      </c>
      <c r="G17" s="14">
        <v>100</v>
      </c>
      <c r="H17" s="14">
        <v>100</v>
      </c>
      <c r="I17" s="14">
        <v>90</v>
      </c>
      <c r="J17" s="14">
        <v>90</v>
      </c>
      <c r="K17" s="14">
        <v>80</v>
      </c>
      <c r="L17" s="19">
        <f t="shared" si="0"/>
        <v>84.4444444444444</v>
      </c>
    </row>
    <row r="18" spans="1:12">
      <c r="A18" s="18" t="str">
        <f>作业统计!B20</f>
        <v>2022210348</v>
      </c>
      <c r="B18" s="18" t="str">
        <f>作业统计!A20</f>
        <v>胡昊泱</v>
      </c>
      <c r="C18" s="14">
        <v>80</v>
      </c>
      <c r="D18" s="14">
        <v>100</v>
      </c>
      <c r="E18" s="14">
        <v>80</v>
      </c>
      <c r="F18" s="14">
        <v>90</v>
      </c>
      <c r="G18" s="14">
        <v>80</v>
      </c>
      <c r="H18" s="14">
        <v>100</v>
      </c>
      <c r="I18" s="14">
        <v>80</v>
      </c>
      <c r="J18" s="14">
        <v>90</v>
      </c>
      <c r="K18" s="14">
        <v>80</v>
      </c>
      <c r="L18" s="19">
        <f t="shared" si="0"/>
        <v>86.6666666666667</v>
      </c>
    </row>
    <row r="19" spans="1:12">
      <c r="A19" s="18" t="str">
        <f>作业统计!B21</f>
        <v>2022210351</v>
      </c>
      <c r="B19" s="18" t="str">
        <f>作业统计!A21</f>
        <v>季玮</v>
      </c>
      <c r="C19" s="14">
        <v>70</v>
      </c>
      <c r="D19" s="14">
        <v>100</v>
      </c>
      <c r="E19" s="14">
        <v>80</v>
      </c>
      <c r="F19" s="14">
        <v>90</v>
      </c>
      <c r="G19" s="14">
        <v>100</v>
      </c>
      <c r="H19" s="14">
        <v>90</v>
      </c>
      <c r="I19" s="14">
        <v>70</v>
      </c>
      <c r="J19" s="14">
        <v>90</v>
      </c>
      <c r="K19" s="14">
        <v>80</v>
      </c>
      <c r="L19" s="19">
        <f t="shared" si="0"/>
        <v>85.5555555555556</v>
      </c>
    </row>
    <row r="20" spans="1:12">
      <c r="A20" s="18" t="str">
        <f>作业统计!B22</f>
        <v>2022210359</v>
      </c>
      <c r="B20" s="18" t="str">
        <f>作业统计!A22</f>
        <v>李宝航</v>
      </c>
      <c r="C20" s="14">
        <v>0</v>
      </c>
      <c r="D20" s="14">
        <v>70</v>
      </c>
      <c r="E20" s="14">
        <v>90</v>
      </c>
      <c r="F20" s="14">
        <v>90</v>
      </c>
      <c r="G20" s="14">
        <v>80</v>
      </c>
      <c r="H20" s="14">
        <v>80</v>
      </c>
      <c r="I20" s="14">
        <v>80</v>
      </c>
      <c r="J20" s="14">
        <v>80</v>
      </c>
      <c r="K20" s="14">
        <v>0</v>
      </c>
      <c r="L20" s="19">
        <f t="shared" si="0"/>
        <v>63.3333333333333</v>
      </c>
    </row>
    <row r="21" spans="1:12">
      <c r="A21" s="18" t="str">
        <f>作业统计!B23</f>
        <v>2022210360</v>
      </c>
      <c r="B21" s="18" t="str">
        <f>作业统计!A23</f>
        <v>李浩</v>
      </c>
      <c r="C21" s="14">
        <v>50</v>
      </c>
      <c r="D21" s="14">
        <v>100</v>
      </c>
      <c r="E21" s="14">
        <v>50</v>
      </c>
      <c r="F21" s="14">
        <v>90</v>
      </c>
      <c r="G21" s="14">
        <v>90</v>
      </c>
      <c r="H21" s="14">
        <v>80</v>
      </c>
      <c r="I21" s="14">
        <v>70</v>
      </c>
      <c r="J21" s="14">
        <v>80</v>
      </c>
      <c r="K21" s="14">
        <v>70</v>
      </c>
      <c r="L21" s="19">
        <f t="shared" si="0"/>
        <v>75.5555555555556</v>
      </c>
    </row>
    <row r="22" spans="1:12">
      <c r="A22" s="18" t="str">
        <f>作业统计!B24</f>
        <v>2022210361</v>
      </c>
      <c r="B22" s="18" t="str">
        <f>作业统计!A24</f>
        <v>李今朝</v>
      </c>
      <c r="C22" s="14">
        <v>50</v>
      </c>
      <c r="D22" s="14">
        <v>60</v>
      </c>
      <c r="E22" s="14">
        <v>90</v>
      </c>
      <c r="F22" s="14">
        <v>90</v>
      </c>
      <c r="G22" s="14">
        <v>100</v>
      </c>
      <c r="H22" s="14">
        <v>70</v>
      </c>
      <c r="I22" s="14">
        <v>70</v>
      </c>
      <c r="J22" s="14">
        <v>90</v>
      </c>
      <c r="K22" s="14">
        <v>70</v>
      </c>
      <c r="L22" s="19">
        <f t="shared" si="0"/>
        <v>76.6666666666667</v>
      </c>
    </row>
    <row r="23" spans="1:12">
      <c r="A23" s="18" t="str">
        <f>作业统计!B25</f>
        <v>2022210362</v>
      </c>
      <c r="B23" s="18" t="str">
        <f>作业统计!A25</f>
        <v>李良辰</v>
      </c>
      <c r="C23" s="14">
        <v>80</v>
      </c>
      <c r="D23" s="14">
        <v>80</v>
      </c>
      <c r="E23" s="14">
        <v>70</v>
      </c>
      <c r="F23" s="14">
        <v>90</v>
      </c>
      <c r="G23" s="14">
        <v>80</v>
      </c>
      <c r="H23" s="14">
        <v>90</v>
      </c>
      <c r="I23" s="14">
        <v>90</v>
      </c>
      <c r="J23" s="14">
        <v>80</v>
      </c>
      <c r="K23" s="14">
        <v>70</v>
      </c>
      <c r="L23" s="19">
        <f t="shared" si="0"/>
        <v>81.1111111111111</v>
      </c>
    </row>
    <row r="24" spans="1:12">
      <c r="A24" s="18" t="str">
        <f>作业统计!B26</f>
        <v>2022210367</v>
      </c>
      <c r="B24" s="18" t="str">
        <f>作业统计!A26</f>
        <v>梁平</v>
      </c>
      <c r="C24" s="14">
        <v>50</v>
      </c>
      <c r="D24" s="14">
        <v>80</v>
      </c>
      <c r="E24" s="14">
        <v>90</v>
      </c>
      <c r="F24" s="14">
        <v>90</v>
      </c>
      <c r="G24" s="14">
        <v>100</v>
      </c>
      <c r="H24" s="14">
        <v>90</v>
      </c>
      <c r="I24" s="14">
        <v>80</v>
      </c>
      <c r="J24" s="14">
        <v>80</v>
      </c>
      <c r="K24" s="14">
        <v>0</v>
      </c>
      <c r="L24" s="19">
        <f t="shared" si="0"/>
        <v>73.3333333333333</v>
      </c>
    </row>
    <row r="25" spans="1:12">
      <c r="A25" s="18" t="str">
        <f>作业统计!B27</f>
        <v>2022210371</v>
      </c>
      <c r="B25" s="18" t="str">
        <f>作业统计!A27</f>
        <v>陆征宇</v>
      </c>
      <c r="C25" s="14">
        <v>80</v>
      </c>
      <c r="D25" s="14">
        <v>80</v>
      </c>
      <c r="E25" s="14">
        <v>80</v>
      </c>
      <c r="F25" s="14">
        <v>90</v>
      </c>
      <c r="G25" s="14">
        <v>100</v>
      </c>
      <c r="H25" s="14">
        <v>90</v>
      </c>
      <c r="I25" s="14">
        <v>80</v>
      </c>
      <c r="J25" s="14">
        <v>80</v>
      </c>
      <c r="K25" s="14">
        <v>70</v>
      </c>
      <c r="L25" s="19">
        <f t="shared" si="0"/>
        <v>83.3333333333333</v>
      </c>
    </row>
    <row r="26" spans="1:12">
      <c r="A26" s="18" t="str">
        <f>作业统计!B28</f>
        <v>2022210374</v>
      </c>
      <c r="B26" s="18" t="str">
        <f>作业统计!A28</f>
        <v>苗佳宇</v>
      </c>
      <c r="C26" s="14">
        <v>50</v>
      </c>
      <c r="D26" s="14">
        <v>100</v>
      </c>
      <c r="E26" s="14">
        <v>70</v>
      </c>
      <c r="F26" s="14">
        <v>90</v>
      </c>
      <c r="G26" s="14">
        <v>90</v>
      </c>
      <c r="H26" s="14">
        <v>80</v>
      </c>
      <c r="I26" s="14">
        <v>80</v>
      </c>
      <c r="J26" s="14">
        <v>80</v>
      </c>
      <c r="K26" s="14">
        <v>80</v>
      </c>
      <c r="L26" s="19">
        <f t="shared" si="0"/>
        <v>80</v>
      </c>
    </row>
    <row r="27" spans="1:12">
      <c r="A27" s="18" t="str">
        <f>作业统计!B29</f>
        <v>2022210376</v>
      </c>
      <c r="B27" s="18" t="str">
        <f>作业统计!A29</f>
        <v>庞雨俊</v>
      </c>
      <c r="C27" s="14">
        <v>80</v>
      </c>
      <c r="D27" s="14">
        <v>70</v>
      </c>
      <c r="E27" s="14">
        <v>90</v>
      </c>
      <c r="F27" s="14">
        <v>90</v>
      </c>
      <c r="G27" s="14">
        <v>100</v>
      </c>
      <c r="H27" s="14">
        <v>100</v>
      </c>
      <c r="I27" s="14">
        <v>90</v>
      </c>
      <c r="J27" s="14">
        <v>80</v>
      </c>
      <c r="K27" s="14">
        <v>80</v>
      </c>
      <c r="L27" s="19">
        <f t="shared" si="0"/>
        <v>86.6666666666667</v>
      </c>
    </row>
    <row r="28" spans="1:12">
      <c r="A28" s="18" t="str">
        <f>作业统计!B30</f>
        <v>2022210378</v>
      </c>
      <c r="B28" s="18" t="str">
        <f>作业统计!A30</f>
        <v>戚锐</v>
      </c>
      <c r="C28" s="14">
        <v>60</v>
      </c>
      <c r="D28" s="14">
        <v>100</v>
      </c>
      <c r="E28" s="14">
        <v>70</v>
      </c>
      <c r="F28" s="14">
        <v>90</v>
      </c>
      <c r="G28" s="14">
        <v>100</v>
      </c>
      <c r="H28" s="14">
        <v>90</v>
      </c>
      <c r="I28" s="14">
        <v>80</v>
      </c>
      <c r="J28" s="14">
        <v>80</v>
      </c>
      <c r="K28" s="14">
        <v>80</v>
      </c>
      <c r="L28" s="19">
        <f t="shared" si="0"/>
        <v>83.3333333333333</v>
      </c>
    </row>
    <row r="29" spans="1:12">
      <c r="A29" s="18" t="str">
        <f>作业统计!B31</f>
        <v>2022210380</v>
      </c>
      <c r="B29" s="18" t="str">
        <f>作业统计!A31</f>
        <v>任奕凯</v>
      </c>
      <c r="C29" s="14">
        <v>80</v>
      </c>
      <c r="D29" s="14">
        <v>100</v>
      </c>
      <c r="E29" s="14">
        <v>80</v>
      </c>
      <c r="F29" s="14">
        <v>90</v>
      </c>
      <c r="G29" s="14">
        <v>100</v>
      </c>
      <c r="H29" s="14">
        <v>90</v>
      </c>
      <c r="I29" s="14">
        <v>70</v>
      </c>
      <c r="J29" s="14">
        <v>90</v>
      </c>
      <c r="K29" s="14">
        <v>0</v>
      </c>
      <c r="L29" s="19">
        <f t="shared" si="0"/>
        <v>77.7777777777778</v>
      </c>
    </row>
    <row r="30" spans="1:12">
      <c r="A30" s="18" t="str">
        <f>作业统计!B32</f>
        <v>2022210381</v>
      </c>
      <c r="B30" s="18" t="str">
        <f>作业统计!A32</f>
        <v>阮珧</v>
      </c>
      <c r="C30" s="14">
        <v>80</v>
      </c>
      <c r="D30" s="14">
        <v>70</v>
      </c>
      <c r="E30" s="14">
        <v>70</v>
      </c>
      <c r="F30" s="14">
        <v>90</v>
      </c>
      <c r="G30" s="14">
        <v>80</v>
      </c>
      <c r="H30" s="14">
        <v>70</v>
      </c>
      <c r="I30" s="14">
        <v>80</v>
      </c>
      <c r="J30" s="14">
        <v>70</v>
      </c>
      <c r="K30" s="14">
        <v>80</v>
      </c>
      <c r="L30" s="19">
        <f t="shared" si="0"/>
        <v>76.6666666666667</v>
      </c>
    </row>
    <row r="31" spans="1:12">
      <c r="A31" s="18" t="str">
        <f>作业统计!B33</f>
        <v>2022210384</v>
      </c>
      <c r="B31" s="18" t="str">
        <f>作业统计!A33</f>
        <v>孙嘉婧</v>
      </c>
      <c r="C31" s="14">
        <v>50</v>
      </c>
      <c r="D31" s="14">
        <v>90</v>
      </c>
      <c r="E31" s="14">
        <v>70</v>
      </c>
      <c r="F31" s="14">
        <v>90</v>
      </c>
      <c r="G31" s="14">
        <v>90</v>
      </c>
      <c r="H31" s="14">
        <v>80</v>
      </c>
      <c r="I31" s="14">
        <v>80</v>
      </c>
      <c r="J31" s="14">
        <v>80</v>
      </c>
      <c r="K31" s="14">
        <v>0</v>
      </c>
      <c r="L31" s="19">
        <f t="shared" si="0"/>
        <v>70</v>
      </c>
    </row>
    <row r="32" spans="1:12">
      <c r="A32" s="18" t="str">
        <f>作业统计!B34</f>
        <v>2022210385</v>
      </c>
      <c r="B32" s="18" t="str">
        <f>作业统计!A34</f>
        <v>孙锦年</v>
      </c>
      <c r="C32" s="14">
        <v>80</v>
      </c>
      <c r="D32" s="14">
        <v>70</v>
      </c>
      <c r="E32" s="14">
        <v>70</v>
      </c>
      <c r="F32" s="14">
        <v>90</v>
      </c>
      <c r="G32" s="14">
        <v>100</v>
      </c>
      <c r="H32" s="14">
        <v>60</v>
      </c>
      <c r="I32" s="14">
        <v>70</v>
      </c>
      <c r="J32" s="14">
        <v>70</v>
      </c>
      <c r="K32" s="14">
        <v>0</v>
      </c>
      <c r="L32" s="19">
        <f t="shared" si="0"/>
        <v>67.7777777777778</v>
      </c>
    </row>
    <row r="33" spans="1:12">
      <c r="A33" s="18" t="str">
        <f>作业统计!B35</f>
        <v>2022210387</v>
      </c>
      <c r="B33" s="18" t="str">
        <f>作业统计!A35</f>
        <v>唐蕊</v>
      </c>
      <c r="C33" s="14">
        <v>50</v>
      </c>
      <c r="D33" s="14">
        <v>80</v>
      </c>
      <c r="E33" s="14">
        <v>60</v>
      </c>
      <c r="F33" s="14">
        <v>90</v>
      </c>
      <c r="G33" s="14">
        <v>90</v>
      </c>
      <c r="H33" s="14">
        <v>70</v>
      </c>
      <c r="I33" s="14">
        <v>80</v>
      </c>
      <c r="J33" s="14">
        <v>80</v>
      </c>
      <c r="K33" s="14">
        <v>0</v>
      </c>
      <c r="L33" s="19">
        <f t="shared" si="0"/>
        <v>66.6666666666667</v>
      </c>
    </row>
    <row r="34" spans="1:12">
      <c r="A34" s="18" t="str">
        <f>作业统计!B36</f>
        <v>2022210389</v>
      </c>
      <c r="B34" s="18" t="str">
        <f>作业统计!A36</f>
        <v>汪海洋</v>
      </c>
      <c r="C34" s="14">
        <v>50</v>
      </c>
      <c r="D34" s="14">
        <v>80</v>
      </c>
      <c r="E34" s="14">
        <v>80</v>
      </c>
      <c r="F34" s="14">
        <v>90</v>
      </c>
      <c r="G34" s="14">
        <v>100</v>
      </c>
      <c r="H34" s="14">
        <v>80</v>
      </c>
      <c r="I34" s="14">
        <v>80</v>
      </c>
      <c r="J34" s="14">
        <v>80</v>
      </c>
      <c r="K34" s="14">
        <v>0</v>
      </c>
      <c r="L34" s="19">
        <f t="shared" si="0"/>
        <v>71.1111111111111</v>
      </c>
    </row>
    <row r="35" spans="1:12">
      <c r="A35" s="18" t="str">
        <f>作业统计!B37</f>
        <v>2022210392</v>
      </c>
      <c r="B35" s="18" t="str">
        <f>作业统计!A37</f>
        <v>王瑞</v>
      </c>
      <c r="C35" s="14">
        <v>70</v>
      </c>
      <c r="D35" s="14">
        <v>70</v>
      </c>
      <c r="E35" s="14">
        <v>60</v>
      </c>
      <c r="F35" s="14">
        <v>90</v>
      </c>
      <c r="G35" s="14">
        <v>100</v>
      </c>
      <c r="H35" s="14">
        <v>100</v>
      </c>
      <c r="I35" s="14">
        <v>80</v>
      </c>
      <c r="J35" s="14">
        <v>80</v>
      </c>
      <c r="K35" s="14">
        <v>80</v>
      </c>
      <c r="L35" s="19">
        <f t="shared" si="0"/>
        <v>81.1111111111111</v>
      </c>
    </row>
    <row r="36" spans="1:12">
      <c r="A36" s="18" t="str">
        <f>作业统计!B38</f>
        <v>2022210393</v>
      </c>
      <c r="B36" s="18" t="str">
        <f>作业统计!A38</f>
        <v>王鑫玥</v>
      </c>
      <c r="C36" s="14">
        <v>60</v>
      </c>
      <c r="D36" s="14">
        <v>80</v>
      </c>
      <c r="E36" s="14">
        <v>70</v>
      </c>
      <c r="F36" s="14">
        <v>90</v>
      </c>
      <c r="G36" s="14">
        <v>90</v>
      </c>
      <c r="H36" s="14">
        <v>90</v>
      </c>
      <c r="I36" s="14">
        <v>80</v>
      </c>
      <c r="J36" s="14">
        <v>80</v>
      </c>
      <c r="K36" s="14">
        <v>80</v>
      </c>
      <c r="L36" s="19">
        <f t="shared" ref="L36:L52" si="1">AVERAGE(C36:K36)</f>
        <v>80</v>
      </c>
    </row>
    <row r="37" spans="1:12">
      <c r="A37" s="18" t="str">
        <f>作业统计!B39</f>
        <v>2022210394</v>
      </c>
      <c r="B37" s="18" t="str">
        <f>作业统计!A39</f>
        <v>王志成</v>
      </c>
      <c r="C37" s="14">
        <v>80</v>
      </c>
      <c r="D37" s="14">
        <v>80</v>
      </c>
      <c r="E37" s="14">
        <v>70</v>
      </c>
      <c r="F37" s="14">
        <v>90</v>
      </c>
      <c r="G37" s="14">
        <v>80</v>
      </c>
      <c r="H37" s="14">
        <v>80</v>
      </c>
      <c r="I37" s="14">
        <v>70</v>
      </c>
      <c r="J37" s="14">
        <v>80</v>
      </c>
      <c r="K37" s="14">
        <v>0</v>
      </c>
      <c r="L37" s="19">
        <f t="shared" si="1"/>
        <v>70</v>
      </c>
    </row>
    <row r="38" spans="1:12">
      <c r="A38" s="18" t="str">
        <f>作业统计!B40</f>
        <v>2022210400</v>
      </c>
      <c r="B38" s="18" t="str">
        <f>作业统计!A40</f>
        <v>闫鹏飞</v>
      </c>
      <c r="C38" s="14">
        <v>60</v>
      </c>
      <c r="D38" s="14">
        <v>90</v>
      </c>
      <c r="E38" s="14">
        <v>70</v>
      </c>
      <c r="F38" s="14">
        <v>90</v>
      </c>
      <c r="G38" s="14">
        <v>90</v>
      </c>
      <c r="H38" s="14">
        <v>100</v>
      </c>
      <c r="I38" s="14">
        <v>90</v>
      </c>
      <c r="J38" s="14">
        <v>80</v>
      </c>
      <c r="K38" s="14">
        <v>80</v>
      </c>
      <c r="L38" s="19">
        <f t="shared" si="1"/>
        <v>83.3333333333333</v>
      </c>
    </row>
    <row r="39" spans="1:12">
      <c r="A39" s="18" t="str">
        <f>作业统计!B41</f>
        <v>2022210401</v>
      </c>
      <c r="B39" s="18" t="str">
        <f>作业统计!A41</f>
        <v>杨浩天</v>
      </c>
      <c r="C39" s="14">
        <v>80</v>
      </c>
      <c r="D39" s="14">
        <v>70</v>
      </c>
      <c r="E39" s="14">
        <v>70</v>
      </c>
      <c r="F39" s="14">
        <v>90</v>
      </c>
      <c r="G39" s="14">
        <v>90</v>
      </c>
      <c r="H39" s="14">
        <v>80</v>
      </c>
      <c r="I39" s="14">
        <v>80</v>
      </c>
      <c r="J39" s="14">
        <v>80</v>
      </c>
      <c r="K39" s="14">
        <v>80</v>
      </c>
      <c r="L39" s="19">
        <f t="shared" si="1"/>
        <v>80</v>
      </c>
    </row>
    <row r="40" spans="1:12">
      <c r="A40" s="18" t="str">
        <f>作业统计!B42</f>
        <v>2022210402</v>
      </c>
      <c r="B40" s="18" t="str">
        <f>作业统计!A42</f>
        <v>杨龙</v>
      </c>
      <c r="C40" s="14">
        <v>80</v>
      </c>
      <c r="D40" s="14">
        <v>60</v>
      </c>
      <c r="E40" s="14">
        <v>70</v>
      </c>
      <c r="F40" s="14">
        <v>90</v>
      </c>
      <c r="G40" s="14">
        <v>100</v>
      </c>
      <c r="H40" s="14">
        <v>90</v>
      </c>
      <c r="I40" s="14">
        <v>80</v>
      </c>
      <c r="J40" s="14">
        <v>70</v>
      </c>
      <c r="K40" s="14">
        <v>80</v>
      </c>
      <c r="L40" s="19">
        <f t="shared" si="1"/>
        <v>80</v>
      </c>
    </row>
    <row r="41" spans="1:12">
      <c r="A41" s="18" t="str">
        <f>作业统计!B43</f>
        <v>2022210404</v>
      </c>
      <c r="B41" s="18" t="str">
        <f>作业统计!A43</f>
        <v>詹庆</v>
      </c>
      <c r="C41" s="14">
        <v>80</v>
      </c>
      <c r="D41" s="14">
        <v>70</v>
      </c>
      <c r="E41" s="14">
        <v>70</v>
      </c>
      <c r="F41" s="14">
        <v>90</v>
      </c>
      <c r="G41" s="14">
        <v>100</v>
      </c>
      <c r="H41" s="14">
        <v>80</v>
      </c>
      <c r="I41" s="14">
        <v>80</v>
      </c>
      <c r="J41" s="14">
        <v>80</v>
      </c>
      <c r="K41" s="14">
        <v>80</v>
      </c>
      <c r="L41" s="19">
        <f t="shared" si="1"/>
        <v>81.1111111111111</v>
      </c>
    </row>
    <row r="42" spans="1:12">
      <c r="A42" s="18" t="str">
        <f>作业统计!B44</f>
        <v>2022210405</v>
      </c>
      <c r="B42" s="18" t="str">
        <f>作业统计!A44</f>
        <v>张金龙</v>
      </c>
      <c r="C42" s="14">
        <v>70</v>
      </c>
      <c r="D42" s="14">
        <v>80</v>
      </c>
      <c r="E42" s="14">
        <v>70</v>
      </c>
      <c r="F42" s="14">
        <v>90</v>
      </c>
      <c r="G42" s="14">
        <v>100</v>
      </c>
      <c r="H42" s="14">
        <v>90</v>
      </c>
      <c r="I42" s="14">
        <v>80</v>
      </c>
      <c r="J42" s="14">
        <v>80</v>
      </c>
      <c r="K42" s="14">
        <v>80</v>
      </c>
      <c r="L42" s="19">
        <f t="shared" si="1"/>
        <v>82.2222222222222</v>
      </c>
    </row>
    <row r="43" spans="1:12">
      <c r="A43" s="18" t="str">
        <f>作业统计!B45</f>
        <v>2022210407</v>
      </c>
      <c r="B43" s="18" t="str">
        <f>作业统计!A45</f>
        <v>张克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9">
        <v>0</v>
      </c>
    </row>
    <row r="44" spans="1:12">
      <c r="A44" s="18" t="str">
        <f>作业统计!B46</f>
        <v>2022210411</v>
      </c>
      <c r="B44" s="18" t="str">
        <f>作业统计!A46</f>
        <v>张文抱</v>
      </c>
      <c r="C44" s="14">
        <v>80</v>
      </c>
      <c r="D44" s="14">
        <v>80</v>
      </c>
      <c r="E44" s="14">
        <v>70</v>
      </c>
      <c r="F44" s="14">
        <v>90</v>
      </c>
      <c r="G44" s="14">
        <v>100</v>
      </c>
      <c r="H44" s="14">
        <v>100</v>
      </c>
      <c r="I44" s="14">
        <v>90</v>
      </c>
      <c r="J44" s="14">
        <v>80</v>
      </c>
      <c r="K44" s="14">
        <v>70</v>
      </c>
      <c r="L44" s="19">
        <f t="shared" si="1"/>
        <v>84.4444444444444</v>
      </c>
    </row>
    <row r="45" spans="1:12">
      <c r="A45" s="18" t="str">
        <f>作业统计!B47</f>
        <v>2022210414</v>
      </c>
      <c r="B45" s="18" t="str">
        <f>作业统计!A47</f>
        <v>张玉妍</v>
      </c>
      <c r="C45" s="14">
        <v>80</v>
      </c>
      <c r="D45" s="14">
        <v>70</v>
      </c>
      <c r="E45" s="14">
        <v>70</v>
      </c>
      <c r="F45" s="14">
        <v>90</v>
      </c>
      <c r="G45" s="14">
        <v>100</v>
      </c>
      <c r="H45" s="14">
        <v>70</v>
      </c>
      <c r="I45" s="14">
        <v>80</v>
      </c>
      <c r="J45" s="14">
        <v>70</v>
      </c>
      <c r="K45" s="14">
        <v>70</v>
      </c>
      <c r="L45" s="19">
        <f t="shared" si="1"/>
        <v>77.7777777777778</v>
      </c>
    </row>
    <row r="46" spans="1:12">
      <c r="A46" s="18" t="str">
        <f>作业统计!B48</f>
        <v>2022210416</v>
      </c>
      <c r="B46" s="18" t="str">
        <f>作业统计!A48</f>
        <v>赵杰</v>
      </c>
      <c r="C46" s="14">
        <v>80</v>
      </c>
      <c r="D46" s="14">
        <v>70</v>
      </c>
      <c r="E46" s="14">
        <v>90</v>
      </c>
      <c r="F46" s="14">
        <v>90</v>
      </c>
      <c r="G46" s="14">
        <v>90</v>
      </c>
      <c r="H46" s="14">
        <v>80</v>
      </c>
      <c r="I46" s="14">
        <v>70</v>
      </c>
      <c r="J46" s="14">
        <v>80</v>
      </c>
      <c r="K46" s="14">
        <v>70</v>
      </c>
      <c r="L46" s="19">
        <f t="shared" si="1"/>
        <v>80</v>
      </c>
    </row>
    <row r="47" spans="1:12">
      <c r="A47" s="18" t="str">
        <f>作业统计!B49</f>
        <v>2022210417</v>
      </c>
      <c r="B47" s="18" t="str">
        <f>作业统计!A49</f>
        <v>郑存耀</v>
      </c>
      <c r="C47" s="14">
        <v>80</v>
      </c>
      <c r="D47" s="14">
        <v>70</v>
      </c>
      <c r="E47" s="14">
        <v>90</v>
      </c>
      <c r="F47" s="14">
        <v>90</v>
      </c>
      <c r="G47" s="14">
        <v>90</v>
      </c>
      <c r="H47" s="14">
        <v>80</v>
      </c>
      <c r="I47" s="14">
        <v>90</v>
      </c>
      <c r="J47" s="14">
        <v>60</v>
      </c>
      <c r="K47" s="14">
        <v>80</v>
      </c>
      <c r="L47" s="19">
        <f t="shared" si="1"/>
        <v>81.1111111111111</v>
      </c>
    </row>
    <row r="48" spans="1:12">
      <c r="A48" s="18" t="str">
        <f>作业统计!B50</f>
        <v>2022210422</v>
      </c>
      <c r="B48" s="18" t="str">
        <f>作业统计!A50</f>
        <v>周宇</v>
      </c>
      <c r="C48" s="14">
        <v>80</v>
      </c>
      <c r="D48" s="14">
        <v>60</v>
      </c>
      <c r="E48" s="14">
        <v>70</v>
      </c>
      <c r="F48" s="14">
        <v>90</v>
      </c>
      <c r="G48" s="14">
        <v>90</v>
      </c>
      <c r="H48" s="14">
        <v>90</v>
      </c>
      <c r="I48" s="14">
        <v>80</v>
      </c>
      <c r="J48" s="14">
        <v>80</v>
      </c>
      <c r="K48" s="14">
        <v>0</v>
      </c>
      <c r="L48" s="19">
        <f t="shared" si="1"/>
        <v>71.1111111111111</v>
      </c>
    </row>
    <row r="49" spans="1:12">
      <c r="A49" s="18" t="str">
        <f>作业统计!B51</f>
        <v>2022210423</v>
      </c>
      <c r="B49" s="18" t="str">
        <f>作业统计!A51</f>
        <v>朱传双</v>
      </c>
      <c r="C49" s="14">
        <v>80</v>
      </c>
      <c r="D49" s="14">
        <v>70</v>
      </c>
      <c r="E49" s="14">
        <v>70</v>
      </c>
      <c r="F49" s="14">
        <v>90</v>
      </c>
      <c r="G49" s="14">
        <v>100</v>
      </c>
      <c r="H49" s="14">
        <v>90</v>
      </c>
      <c r="I49" s="14">
        <v>80</v>
      </c>
      <c r="J49" s="14">
        <v>80</v>
      </c>
      <c r="K49" s="14">
        <v>70</v>
      </c>
      <c r="L49" s="19">
        <f t="shared" si="1"/>
        <v>81.1111111111111</v>
      </c>
    </row>
    <row r="50" spans="1:12">
      <c r="A50" s="18" t="str">
        <f>作业统计!B52</f>
        <v>2022210428</v>
      </c>
      <c r="B50" s="18" t="str">
        <f>作业统计!A52</f>
        <v>朱世俊</v>
      </c>
      <c r="C50" s="14">
        <v>80</v>
      </c>
      <c r="D50" s="14">
        <v>0</v>
      </c>
      <c r="E50" s="14">
        <v>60</v>
      </c>
      <c r="F50" s="14">
        <v>0</v>
      </c>
      <c r="G50" s="14">
        <v>100</v>
      </c>
      <c r="H50" s="14">
        <v>80</v>
      </c>
      <c r="I50" s="14">
        <v>70</v>
      </c>
      <c r="J50" s="14">
        <v>80</v>
      </c>
      <c r="K50" s="14">
        <v>80</v>
      </c>
      <c r="L50" s="19">
        <f t="shared" si="1"/>
        <v>61.1111111111111</v>
      </c>
    </row>
    <row r="51" spans="1:12">
      <c r="A51" s="18" t="str">
        <f>作业统计!B53</f>
        <v>2022210429</v>
      </c>
      <c r="B51" s="18" t="str">
        <f>作业统计!A53</f>
        <v>祝文耿</v>
      </c>
      <c r="C51" s="14">
        <v>70</v>
      </c>
      <c r="D51" s="14">
        <v>70</v>
      </c>
      <c r="E51" s="14">
        <v>60</v>
      </c>
      <c r="F51" s="14">
        <v>90</v>
      </c>
      <c r="G51" s="14">
        <v>80</v>
      </c>
      <c r="H51" s="14">
        <v>80</v>
      </c>
      <c r="I51" s="14">
        <v>80</v>
      </c>
      <c r="J51" s="14">
        <v>90</v>
      </c>
      <c r="K51" s="14">
        <v>70</v>
      </c>
      <c r="L51" s="19">
        <f t="shared" si="1"/>
        <v>76.6666666666667</v>
      </c>
    </row>
    <row r="52" spans="1:12">
      <c r="A52" s="18" t="str">
        <f>作业统计!B54</f>
        <v>2022210430</v>
      </c>
      <c r="B52" s="18" t="str">
        <f>作业统计!A54</f>
        <v>宗梦晴</v>
      </c>
      <c r="C52" s="14">
        <v>70</v>
      </c>
      <c r="D52" s="14">
        <v>80</v>
      </c>
      <c r="E52" s="14">
        <v>70</v>
      </c>
      <c r="F52" s="14">
        <v>90</v>
      </c>
      <c r="G52" s="14">
        <v>90</v>
      </c>
      <c r="H52" s="14">
        <v>80</v>
      </c>
      <c r="I52" s="14">
        <v>80</v>
      </c>
      <c r="J52" s="14">
        <v>80</v>
      </c>
      <c r="K52" s="14">
        <v>80</v>
      </c>
      <c r="L52" s="19">
        <f t="shared" si="1"/>
        <v>80</v>
      </c>
    </row>
  </sheetData>
  <mergeCells count="1">
    <mergeCell ref="A1:L1"/>
  </mergeCells>
  <printOptions horizontalCentered="1" verticalCentered="1"/>
  <pageMargins left="0.751388888888889" right="0.751388888888889" top="1" bottom="1" header="0.5" footer="0.5"/>
  <pageSetup paperSize="9" scale="74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M53"/>
  <sheetViews>
    <sheetView workbookViewId="0">
      <selection activeCell="A2" sqref="A2:M2"/>
    </sheetView>
  </sheetViews>
  <sheetFormatPr defaultColWidth="8.88888888888889" defaultRowHeight="14.4"/>
  <cols>
    <col min="1" max="1" width="11.5555555555556" customWidth="1"/>
    <col min="3" max="3" width="7.66666666666667" customWidth="1"/>
    <col min="4" max="4" width="8" customWidth="1"/>
    <col min="5" max="5" width="7" customWidth="1"/>
    <col min="6" max="6" width="7.44444444444444" customWidth="1"/>
    <col min="7" max="7" width="8.88888888888889" customWidth="1"/>
    <col min="8" max="8" width="13.4444444444444" customWidth="1"/>
    <col min="10" max="10" width="7.66666666666667" customWidth="1"/>
    <col min="11" max="11" width="10" customWidth="1"/>
    <col min="12" max="12" width="9.11111111111111" customWidth="1"/>
    <col min="13" max="13" width="7.22222222222222" customWidth="1"/>
  </cols>
  <sheetData>
    <row r="2" spans="1:13">
      <c r="A2" s="11" t="s">
        <v>3967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ht="51" customHeight="1" spans="1:13">
      <c r="A3" s="12" t="s">
        <v>3936</v>
      </c>
      <c r="B3" s="12" t="s">
        <v>3937</v>
      </c>
      <c r="C3" s="13" t="s">
        <v>2741</v>
      </c>
      <c r="D3" s="13" t="s">
        <v>2742</v>
      </c>
      <c r="E3" s="13" t="s">
        <v>2744</v>
      </c>
      <c r="F3" s="13" t="s">
        <v>2745</v>
      </c>
      <c r="G3" s="13" t="s">
        <v>2747</v>
      </c>
      <c r="H3" s="13" t="s">
        <v>2748</v>
      </c>
      <c r="I3" s="13" t="s">
        <v>2750</v>
      </c>
      <c r="J3" s="13" t="s">
        <v>2753</v>
      </c>
      <c r="K3" s="13" t="s">
        <v>2754</v>
      </c>
      <c r="L3" s="13" t="s">
        <v>2755</v>
      </c>
      <c r="M3" s="12" t="s">
        <v>3952</v>
      </c>
    </row>
    <row r="4" spans="1:13">
      <c r="A4" s="12" t="s">
        <v>13</v>
      </c>
      <c r="B4" s="12" t="s">
        <v>12</v>
      </c>
      <c r="C4" s="14">
        <v>80</v>
      </c>
      <c r="D4" s="14">
        <v>80</v>
      </c>
      <c r="E4" s="14">
        <v>100</v>
      </c>
      <c r="F4" s="14">
        <v>80</v>
      </c>
      <c r="G4" s="14">
        <v>80</v>
      </c>
      <c r="H4" s="14">
        <v>80</v>
      </c>
      <c r="I4" s="14">
        <v>0</v>
      </c>
      <c r="J4" s="14">
        <v>100</v>
      </c>
      <c r="K4" s="14">
        <v>100</v>
      </c>
      <c r="L4" s="14">
        <v>0</v>
      </c>
      <c r="M4" s="12">
        <f>AVERAGE(C4:L4)</f>
        <v>70</v>
      </c>
    </row>
    <row r="5" spans="1:13">
      <c r="A5" s="12" t="s">
        <v>18</v>
      </c>
      <c r="B5" s="12" t="s">
        <v>17</v>
      </c>
      <c r="C5" s="14">
        <v>100</v>
      </c>
      <c r="D5" s="14">
        <v>100</v>
      </c>
      <c r="E5" s="14">
        <v>100</v>
      </c>
      <c r="F5" s="14">
        <v>90</v>
      </c>
      <c r="G5" s="14">
        <v>100</v>
      </c>
      <c r="H5" s="14">
        <v>100</v>
      </c>
      <c r="I5" s="14">
        <v>100</v>
      </c>
      <c r="J5" s="14">
        <v>100</v>
      </c>
      <c r="K5" s="14">
        <v>100</v>
      </c>
      <c r="L5" s="14">
        <v>100</v>
      </c>
      <c r="M5" s="12">
        <f t="shared" ref="M5:M36" si="0">AVERAGE(C5:L5)</f>
        <v>99</v>
      </c>
    </row>
    <row r="6" spans="1:13">
      <c r="A6" s="12" t="s">
        <v>20</v>
      </c>
      <c r="B6" s="12" t="s">
        <v>19</v>
      </c>
      <c r="C6" s="14">
        <v>100</v>
      </c>
      <c r="D6" s="14">
        <v>100</v>
      </c>
      <c r="E6" s="14">
        <v>100</v>
      </c>
      <c r="F6" s="14">
        <v>80</v>
      </c>
      <c r="G6" s="14">
        <v>100</v>
      </c>
      <c r="H6" s="14">
        <v>100</v>
      </c>
      <c r="I6" s="14">
        <v>80</v>
      </c>
      <c r="J6" s="14">
        <v>100</v>
      </c>
      <c r="K6" s="14">
        <v>100</v>
      </c>
      <c r="L6" s="14">
        <v>100</v>
      </c>
      <c r="M6" s="12">
        <f t="shared" si="0"/>
        <v>96</v>
      </c>
    </row>
    <row r="7" spans="1:13">
      <c r="A7" s="12" t="s">
        <v>23</v>
      </c>
      <c r="B7" s="12" t="s">
        <v>22</v>
      </c>
      <c r="C7" s="14">
        <v>100</v>
      </c>
      <c r="D7" s="14">
        <v>100</v>
      </c>
      <c r="E7" s="14">
        <v>100</v>
      </c>
      <c r="F7" s="14">
        <v>100</v>
      </c>
      <c r="G7" s="14">
        <v>100</v>
      </c>
      <c r="H7" s="14">
        <v>100</v>
      </c>
      <c r="I7" s="14">
        <v>100</v>
      </c>
      <c r="J7" s="14">
        <v>100</v>
      </c>
      <c r="K7" s="14">
        <v>100</v>
      </c>
      <c r="L7" s="14">
        <v>100</v>
      </c>
      <c r="M7" s="12">
        <f t="shared" si="0"/>
        <v>100</v>
      </c>
    </row>
    <row r="8" spans="1:13">
      <c r="A8" s="12" t="s">
        <v>25</v>
      </c>
      <c r="B8" s="12" t="s">
        <v>24</v>
      </c>
      <c r="C8" s="14">
        <v>80</v>
      </c>
      <c r="D8" s="14">
        <v>80</v>
      </c>
      <c r="E8" s="14">
        <v>100</v>
      </c>
      <c r="F8" s="14">
        <v>90</v>
      </c>
      <c r="G8" s="14">
        <v>100</v>
      </c>
      <c r="H8" s="14">
        <v>100</v>
      </c>
      <c r="I8" s="14">
        <v>100</v>
      </c>
      <c r="J8" s="14">
        <v>0</v>
      </c>
      <c r="K8" s="14">
        <v>100</v>
      </c>
      <c r="L8" s="14">
        <v>100</v>
      </c>
      <c r="M8" s="12">
        <f t="shared" si="0"/>
        <v>85</v>
      </c>
    </row>
    <row r="9" spans="1:13">
      <c r="A9" s="12" t="s">
        <v>27</v>
      </c>
      <c r="B9" s="12" t="s">
        <v>26</v>
      </c>
      <c r="C9" s="14">
        <v>100</v>
      </c>
      <c r="D9" s="14">
        <v>100</v>
      </c>
      <c r="E9" s="14">
        <v>100</v>
      </c>
      <c r="F9" s="14">
        <v>90</v>
      </c>
      <c r="G9" s="14">
        <v>100</v>
      </c>
      <c r="H9" s="14">
        <v>100</v>
      </c>
      <c r="I9" s="14">
        <v>100</v>
      </c>
      <c r="J9" s="14">
        <v>100</v>
      </c>
      <c r="K9" s="14">
        <v>100</v>
      </c>
      <c r="L9" s="14">
        <v>100</v>
      </c>
      <c r="M9" s="12">
        <f t="shared" si="0"/>
        <v>99</v>
      </c>
    </row>
    <row r="10" spans="1:13">
      <c r="A10" s="12" t="s">
        <v>29</v>
      </c>
      <c r="B10" s="12" t="s">
        <v>28</v>
      </c>
      <c r="C10" s="14">
        <v>100</v>
      </c>
      <c r="D10" s="14">
        <v>80</v>
      </c>
      <c r="E10" s="14">
        <v>100</v>
      </c>
      <c r="F10" s="14">
        <v>80</v>
      </c>
      <c r="G10" s="14">
        <v>100</v>
      </c>
      <c r="H10" s="14">
        <v>100</v>
      </c>
      <c r="I10" s="14">
        <v>0</v>
      </c>
      <c r="J10" s="14">
        <v>100</v>
      </c>
      <c r="K10" s="14">
        <v>100</v>
      </c>
      <c r="L10" s="14">
        <v>100</v>
      </c>
      <c r="M10" s="12">
        <f t="shared" si="0"/>
        <v>86</v>
      </c>
    </row>
    <row r="11" spans="1:13">
      <c r="A11" s="12" t="s">
        <v>31</v>
      </c>
      <c r="B11" s="12" t="s">
        <v>30</v>
      </c>
      <c r="C11" s="14">
        <v>100</v>
      </c>
      <c r="D11" s="14">
        <v>80</v>
      </c>
      <c r="E11" s="14">
        <v>100</v>
      </c>
      <c r="F11" s="14">
        <v>80</v>
      </c>
      <c r="G11" s="14">
        <v>100</v>
      </c>
      <c r="H11" s="14">
        <v>100</v>
      </c>
      <c r="I11" s="14">
        <v>90</v>
      </c>
      <c r="J11" s="14">
        <v>100</v>
      </c>
      <c r="K11" s="14">
        <v>100</v>
      </c>
      <c r="L11" s="14">
        <v>90</v>
      </c>
      <c r="M11" s="12">
        <f t="shared" si="0"/>
        <v>94</v>
      </c>
    </row>
    <row r="12" spans="1:13">
      <c r="A12" s="12" t="s">
        <v>33</v>
      </c>
      <c r="B12" s="12" t="s">
        <v>32</v>
      </c>
      <c r="C12" s="14">
        <v>80</v>
      </c>
      <c r="D12" s="14">
        <v>80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2">
        <f t="shared" si="0"/>
        <v>16</v>
      </c>
    </row>
    <row r="13" spans="1:13">
      <c r="A13" s="12" t="s">
        <v>35</v>
      </c>
      <c r="B13" s="12" t="s">
        <v>34</v>
      </c>
      <c r="C13" s="14">
        <v>100</v>
      </c>
      <c r="D13" s="14">
        <v>100</v>
      </c>
      <c r="E13" s="14">
        <v>100</v>
      </c>
      <c r="F13" s="14">
        <v>80</v>
      </c>
      <c r="G13" s="14">
        <v>100</v>
      </c>
      <c r="H13" s="14">
        <v>100</v>
      </c>
      <c r="I13" s="14">
        <v>90</v>
      </c>
      <c r="J13" s="14">
        <v>100</v>
      </c>
      <c r="K13" s="14">
        <v>100</v>
      </c>
      <c r="L13" s="14">
        <v>100</v>
      </c>
      <c r="M13" s="12">
        <f t="shared" si="0"/>
        <v>97</v>
      </c>
    </row>
    <row r="14" spans="1:13">
      <c r="A14" s="12" t="s">
        <v>37</v>
      </c>
      <c r="B14" s="12" t="s">
        <v>36</v>
      </c>
      <c r="C14" s="14">
        <v>100</v>
      </c>
      <c r="D14" s="14">
        <v>80</v>
      </c>
      <c r="E14" s="14">
        <v>100</v>
      </c>
      <c r="F14" s="14">
        <v>100</v>
      </c>
      <c r="G14" s="14">
        <v>100</v>
      </c>
      <c r="H14" s="14">
        <v>100</v>
      </c>
      <c r="I14" s="14">
        <v>80</v>
      </c>
      <c r="J14" s="14">
        <v>80</v>
      </c>
      <c r="K14" s="14">
        <v>100</v>
      </c>
      <c r="L14" s="14">
        <v>100</v>
      </c>
      <c r="M14" s="12">
        <f t="shared" si="0"/>
        <v>94</v>
      </c>
    </row>
    <row r="15" spans="1:13">
      <c r="A15" s="12" t="s">
        <v>39</v>
      </c>
      <c r="B15" s="12" t="s">
        <v>38</v>
      </c>
      <c r="C15" s="14">
        <v>100</v>
      </c>
      <c r="D15" s="14">
        <v>100</v>
      </c>
      <c r="E15" s="14">
        <v>100</v>
      </c>
      <c r="F15" s="14">
        <v>100</v>
      </c>
      <c r="G15" s="14">
        <v>100</v>
      </c>
      <c r="H15" s="14">
        <v>100</v>
      </c>
      <c r="I15" s="14">
        <v>100</v>
      </c>
      <c r="J15" s="14">
        <v>100</v>
      </c>
      <c r="K15" s="14">
        <v>100</v>
      </c>
      <c r="L15" s="14">
        <v>100</v>
      </c>
      <c r="M15" s="12">
        <f t="shared" si="0"/>
        <v>100</v>
      </c>
    </row>
    <row r="16" spans="1:13">
      <c r="A16" s="12" t="s">
        <v>41</v>
      </c>
      <c r="B16" s="12" t="s">
        <v>40</v>
      </c>
      <c r="C16" s="14">
        <v>100</v>
      </c>
      <c r="D16" s="14">
        <v>80</v>
      </c>
      <c r="E16" s="14">
        <v>100</v>
      </c>
      <c r="F16" s="14">
        <v>80</v>
      </c>
      <c r="G16" s="14">
        <v>100</v>
      </c>
      <c r="H16" s="14">
        <v>100</v>
      </c>
      <c r="I16" s="14">
        <v>90</v>
      </c>
      <c r="J16" s="14">
        <v>80</v>
      </c>
      <c r="K16" s="14">
        <v>100</v>
      </c>
      <c r="L16" s="14">
        <v>80</v>
      </c>
      <c r="M16" s="12">
        <f t="shared" si="0"/>
        <v>91</v>
      </c>
    </row>
    <row r="17" spans="1:13">
      <c r="A17" s="12" t="s">
        <v>43</v>
      </c>
      <c r="B17" s="12" t="s">
        <v>42</v>
      </c>
      <c r="C17" s="14">
        <v>100</v>
      </c>
      <c r="D17" s="14">
        <v>100</v>
      </c>
      <c r="E17" s="14">
        <v>100</v>
      </c>
      <c r="F17" s="14">
        <v>80</v>
      </c>
      <c r="G17" s="14">
        <v>80</v>
      </c>
      <c r="H17" s="14">
        <v>80</v>
      </c>
      <c r="I17" s="14">
        <v>80</v>
      </c>
      <c r="J17" s="14">
        <v>100</v>
      </c>
      <c r="K17" s="14">
        <v>100</v>
      </c>
      <c r="L17" s="14">
        <v>100</v>
      </c>
      <c r="M17" s="12">
        <f t="shared" si="0"/>
        <v>92</v>
      </c>
    </row>
    <row r="18" spans="1:13">
      <c r="A18" s="12" t="s">
        <v>45</v>
      </c>
      <c r="B18" s="12" t="s">
        <v>44</v>
      </c>
      <c r="C18" s="14">
        <v>100</v>
      </c>
      <c r="D18" s="14">
        <v>100</v>
      </c>
      <c r="E18" s="14">
        <v>100</v>
      </c>
      <c r="F18" s="14">
        <v>90</v>
      </c>
      <c r="G18" s="14">
        <v>100</v>
      </c>
      <c r="H18" s="14">
        <v>100</v>
      </c>
      <c r="I18" s="14">
        <v>100</v>
      </c>
      <c r="J18" s="14">
        <v>100</v>
      </c>
      <c r="K18" s="14">
        <v>100</v>
      </c>
      <c r="L18" s="14">
        <v>100</v>
      </c>
      <c r="M18" s="12">
        <f t="shared" si="0"/>
        <v>99</v>
      </c>
    </row>
    <row r="19" spans="1:13">
      <c r="A19" s="12" t="s">
        <v>47</v>
      </c>
      <c r="B19" s="12" t="s">
        <v>46</v>
      </c>
      <c r="C19" s="14">
        <v>100</v>
      </c>
      <c r="D19" s="14">
        <v>100</v>
      </c>
      <c r="E19" s="14">
        <v>100</v>
      </c>
      <c r="F19" s="14">
        <v>90</v>
      </c>
      <c r="G19" s="14">
        <v>90</v>
      </c>
      <c r="H19" s="14">
        <v>90</v>
      </c>
      <c r="I19" s="14">
        <v>90</v>
      </c>
      <c r="J19" s="14">
        <v>100</v>
      </c>
      <c r="K19" s="14">
        <v>100</v>
      </c>
      <c r="L19" s="14">
        <v>80</v>
      </c>
      <c r="M19" s="12">
        <f t="shared" si="0"/>
        <v>94</v>
      </c>
    </row>
    <row r="20" spans="1:13">
      <c r="A20" s="12" t="s">
        <v>49</v>
      </c>
      <c r="B20" s="12" t="s">
        <v>48</v>
      </c>
      <c r="C20" s="14">
        <v>100</v>
      </c>
      <c r="D20" s="14">
        <v>100</v>
      </c>
      <c r="E20" s="14">
        <v>100</v>
      </c>
      <c r="F20" s="14">
        <v>90</v>
      </c>
      <c r="G20" s="14">
        <v>100</v>
      </c>
      <c r="H20" s="14">
        <v>100</v>
      </c>
      <c r="I20" s="14">
        <v>80</v>
      </c>
      <c r="J20" s="14">
        <v>100</v>
      </c>
      <c r="K20" s="14">
        <v>100</v>
      </c>
      <c r="L20" s="14">
        <v>80</v>
      </c>
      <c r="M20" s="12">
        <f t="shared" si="0"/>
        <v>95</v>
      </c>
    </row>
    <row r="21" spans="1:13">
      <c r="A21" s="12" t="s">
        <v>51</v>
      </c>
      <c r="B21" s="12" t="s">
        <v>50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2">
        <f t="shared" si="0"/>
        <v>0</v>
      </c>
    </row>
    <row r="22" spans="1:13">
      <c r="A22" s="12" t="s">
        <v>53</v>
      </c>
      <c r="B22" s="12" t="s">
        <v>52</v>
      </c>
      <c r="C22" s="14">
        <v>80</v>
      </c>
      <c r="D22" s="14">
        <v>100</v>
      </c>
      <c r="E22" s="14">
        <v>60</v>
      </c>
      <c r="F22" s="14">
        <v>80</v>
      </c>
      <c r="G22" s="14">
        <v>100</v>
      </c>
      <c r="H22" s="14">
        <v>100</v>
      </c>
      <c r="I22" s="14">
        <v>100</v>
      </c>
      <c r="J22" s="14">
        <v>80</v>
      </c>
      <c r="K22" s="14">
        <v>100</v>
      </c>
      <c r="L22" s="14">
        <v>100</v>
      </c>
      <c r="M22" s="12">
        <f t="shared" si="0"/>
        <v>90</v>
      </c>
    </row>
    <row r="23" spans="1:13">
      <c r="A23" s="12" t="s">
        <v>55</v>
      </c>
      <c r="B23" s="12" t="s">
        <v>54</v>
      </c>
      <c r="C23" s="14">
        <v>100</v>
      </c>
      <c r="D23" s="14">
        <v>80</v>
      </c>
      <c r="E23" s="14">
        <v>100</v>
      </c>
      <c r="F23" s="14">
        <v>80</v>
      </c>
      <c r="G23" s="14">
        <v>100</v>
      </c>
      <c r="H23" s="14">
        <v>100</v>
      </c>
      <c r="I23" s="14">
        <v>80</v>
      </c>
      <c r="J23" s="14">
        <v>100</v>
      </c>
      <c r="K23" s="14">
        <v>100</v>
      </c>
      <c r="L23" s="14">
        <v>100</v>
      </c>
      <c r="M23" s="12">
        <f t="shared" si="0"/>
        <v>94</v>
      </c>
    </row>
    <row r="24" spans="1:13">
      <c r="A24" s="12" t="s">
        <v>57</v>
      </c>
      <c r="B24" s="12" t="s">
        <v>56</v>
      </c>
      <c r="C24" s="14">
        <v>100</v>
      </c>
      <c r="D24" s="14">
        <v>100</v>
      </c>
      <c r="E24" s="14">
        <v>100</v>
      </c>
      <c r="F24" s="14">
        <v>60</v>
      </c>
      <c r="G24" s="14">
        <v>100</v>
      </c>
      <c r="H24" s="14">
        <v>100</v>
      </c>
      <c r="I24" s="14">
        <v>80</v>
      </c>
      <c r="J24" s="14">
        <v>80</v>
      </c>
      <c r="K24" s="14">
        <v>90</v>
      </c>
      <c r="L24" s="14">
        <v>90</v>
      </c>
      <c r="M24" s="12">
        <f t="shared" si="0"/>
        <v>90</v>
      </c>
    </row>
    <row r="25" spans="1:13">
      <c r="A25" s="12" t="s">
        <v>59</v>
      </c>
      <c r="B25" s="12" t="s">
        <v>58</v>
      </c>
      <c r="C25" s="14">
        <v>100</v>
      </c>
      <c r="D25" s="14">
        <v>80</v>
      </c>
      <c r="E25" s="14">
        <v>100</v>
      </c>
      <c r="F25" s="14">
        <v>80</v>
      </c>
      <c r="G25" s="14">
        <v>100</v>
      </c>
      <c r="H25" s="14">
        <v>100</v>
      </c>
      <c r="I25" s="14">
        <v>90</v>
      </c>
      <c r="J25" s="14">
        <v>100</v>
      </c>
      <c r="K25" s="14">
        <v>100</v>
      </c>
      <c r="L25" s="14">
        <v>100</v>
      </c>
      <c r="M25" s="12">
        <f t="shared" si="0"/>
        <v>95</v>
      </c>
    </row>
    <row r="26" spans="1:13">
      <c r="A26" s="12" t="s">
        <v>61</v>
      </c>
      <c r="B26" s="12" t="s">
        <v>60</v>
      </c>
      <c r="C26" s="14">
        <v>100</v>
      </c>
      <c r="D26" s="14">
        <v>80</v>
      </c>
      <c r="E26" s="14">
        <v>100</v>
      </c>
      <c r="F26" s="14">
        <v>80</v>
      </c>
      <c r="G26" s="14">
        <v>80</v>
      </c>
      <c r="H26" s="14">
        <v>80</v>
      </c>
      <c r="I26" s="14">
        <v>100</v>
      </c>
      <c r="J26" s="14">
        <v>100</v>
      </c>
      <c r="K26" s="14">
        <v>100</v>
      </c>
      <c r="L26" s="14">
        <v>100</v>
      </c>
      <c r="M26" s="12">
        <f t="shared" si="0"/>
        <v>92</v>
      </c>
    </row>
    <row r="27" spans="1:13">
      <c r="A27" s="12" t="s">
        <v>63</v>
      </c>
      <c r="B27" s="12" t="s">
        <v>62</v>
      </c>
      <c r="C27" s="14">
        <v>100</v>
      </c>
      <c r="D27" s="14">
        <v>100</v>
      </c>
      <c r="E27" s="14">
        <v>100</v>
      </c>
      <c r="F27" s="14">
        <v>90</v>
      </c>
      <c r="G27" s="14">
        <v>100</v>
      </c>
      <c r="H27" s="14">
        <v>100</v>
      </c>
      <c r="I27" s="14">
        <v>100</v>
      </c>
      <c r="J27" s="14">
        <v>100</v>
      </c>
      <c r="K27" s="14">
        <v>100</v>
      </c>
      <c r="L27" s="14">
        <v>100</v>
      </c>
      <c r="M27" s="12">
        <f t="shared" si="0"/>
        <v>99</v>
      </c>
    </row>
    <row r="28" spans="1:13">
      <c r="A28" s="12" t="s">
        <v>65</v>
      </c>
      <c r="B28" s="12" t="s">
        <v>64</v>
      </c>
      <c r="C28" s="14">
        <v>100</v>
      </c>
      <c r="D28" s="14">
        <v>80</v>
      </c>
      <c r="E28" s="14">
        <v>100</v>
      </c>
      <c r="F28" s="14">
        <v>90</v>
      </c>
      <c r="G28" s="14">
        <v>100</v>
      </c>
      <c r="H28" s="14">
        <v>100</v>
      </c>
      <c r="I28" s="14">
        <v>90</v>
      </c>
      <c r="J28" s="14">
        <v>80</v>
      </c>
      <c r="K28" s="14">
        <v>100</v>
      </c>
      <c r="L28" s="14">
        <v>100</v>
      </c>
      <c r="M28" s="12">
        <f t="shared" si="0"/>
        <v>94</v>
      </c>
    </row>
    <row r="29" spans="1:13">
      <c r="A29" s="12" t="s">
        <v>67</v>
      </c>
      <c r="B29" s="12" t="s">
        <v>66</v>
      </c>
      <c r="C29" s="14">
        <v>100</v>
      </c>
      <c r="D29" s="14">
        <v>100</v>
      </c>
      <c r="E29" s="14">
        <v>100</v>
      </c>
      <c r="F29" s="14">
        <v>90</v>
      </c>
      <c r="G29" s="14">
        <v>100</v>
      </c>
      <c r="H29" s="14">
        <v>100</v>
      </c>
      <c r="I29" s="14">
        <v>80</v>
      </c>
      <c r="J29" s="14">
        <v>100</v>
      </c>
      <c r="K29" s="14">
        <v>100</v>
      </c>
      <c r="L29" s="14">
        <v>100</v>
      </c>
      <c r="M29" s="12">
        <f t="shared" si="0"/>
        <v>97</v>
      </c>
    </row>
    <row r="30" spans="1:13">
      <c r="A30" s="12" t="s">
        <v>69</v>
      </c>
      <c r="B30" s="12" t="s">
        <v>68</v>
      </c>
      <c r="C30" s="14">
        <v>100</v>
      </c>
      <c r="D30" s="14">
        <v>100</v>
      </c>
      <c r="E30" s="14">
        <v>100</v>
      </c>
      <c r="F30" s="14">
        <v>90</v>
      </c>
      <c r="G30" s="14">
        <v>100</v>
      </c>
      <c r="H30" s="14">
        <v>100</v>
      </c>
      <c r="I30" s="14">
        <v>100</v>
      </c>
      <c r="J30" s="14">
        <v>100</v>
      </c>
      <c r="K30" s="14">
        <v>100</v>
      </c>
      <c r="L30" s="14">
        <v>100</v>
      </c>
      <c r="M30" s="12">
        <f t="shared" si="0"/>
        <v>99</v>
      </c>
    </row>
    <row r="31" spans="1:13">
      <c r="A31" s="12" t="s">
        <v>71</v>
      </c>
      <c r="B31" s="12" t="s">
        <v>70</v>
      </c>
      <c r="C31" s="14">
        <v>100</v>
      </c>
      <c r="D31" s="14">
        <v>80</v>
      </c>
      <c r="E31" s="14">
        <v>100</v>
      </c>
      <c r="F31" s="14">
        <v>80</v>
      </c>
      <c r="G31" s="14">
        <v>100</v>
      </c>
      <c r="H31" s="14">
        <v>100</v>
      </c>
      <c r="I31" s="14">
        <v>90</v>
      </c>
      <c r="J31" s="14">
        <v>80</v>
      </c>
      <c r="K31" s="14">
        <v>90</v>
      </c>
      <c r="L31" s="14">
        <v>90</v>
      </c>
      <c r="M31" s="12">
        <f t="shared" si="0"/>
        <v>91</v>
      </c>
    </row>
    <row r="32" spans="1:13">
      <c r="A32" s="12" t="s">
        <v>73</v>
      </c>
      <c r="B32" s="12" t="s">
        <v>72</v>
      </c>
      <c r="C32" s="14">
        <v>100</v>
      </c>
      <c r="D32" s="14">
        <v>100</v>
      </c>
      <c r="E32" s="14">
        <v>100</v>
      </c>
      <c r="F32" s="14">
        <v>90</v>
      </c>
      <c r="G32" s="14">
        <v>100</v>
      </c>
      <c r="H32" s="14">
        <v>100</v>
      </c>
      <c r="I32" s="14">
        <v>90</v>
      </c>
      <c r="J32" s="14">
        <v>100</v>
      </c>
      <c r="K32" s="14">
        <v>100</v>
      </c>
      <c r="L32" s="14">
        <v>80</v>
      </c>
      <c r="M32" s="12">
        <f t="shared" si="0"/>
        <v>96</v>
      </c>
    </row>
    <row r="33" spans="1:13">
      <c r="A33" s="12" t="s">
        <v>75</v>
      </c>
      <c r="B33" s="12" t="s">
        <v>74</v>
      </c>
      <c r="C33" s="14">
        <v>100</v>
      </c>
      <c r="D33" s="14">
        <v>100</v>
      </c>
      <c r="E33" s="14">
        <v>100</v>
      </c>
      <c r="F33" s="14">
        <v>100</v>
      </c>
      <c r="G33" s="14">
        <v>100</v>
      </c>
      <c r="H33" s="14">
        <v>100</v>
      </c>
      <c r="I33" s="14">
        <v>80</v>
      </c>
      <c r="J33" s="14">
        <v>100</v>
      </c>
      <c r="K33" s="14">
        <v>100</v>
      </c>
      <c r="L33" s="14">
        <v>0</v>
      </c>
      <c r="M33" s="12">
        <f t="shared" si="0"/>
        <v>88</v>
      </c>
    </row>
    <row r="34" spans="1:13">
      <c r="A34" s="12" t="s">
        <v>77</v>
      </c>
      <c r="B34" s="12" t="s">
        <v>76</v>
      </c>
      <c r="C34" s="14">
        <v>100</v>
      </c>
      <c r="D34" s="14">
        <v>100</v>
      </c>
      <c r="E34" s="14">
        <v>100</v>
      </c>
      <c r="F34" s="14">
        <v>80</v>
      </c>
      <c r="G34" s="14">
        <v>100</v>
      </c>
      <c r="H34" s="14">
        <v>100</v>
      </c>
      <c r="I34" s="14">
        <v>90</v>
      </c>
      <c r="J34" s="14">
        <v>100</v>
      </c>
      <c r="K34" s="14">
        <v>100</v>
      </c>
      <c r="L34" s="14">
        <v>100</v>
      </c>
      <c r="M34" s="12">
        <f t="shared" si="0"/>
        <v>97</v>
      </c>
    </row>
    <row r="35" spans="1:13">
      <c r="A35" s="12" t="s">
        <v>79</v>
      </c>
      <c r="B35" s="12" t="s">
        <v>78</v>
      </c>
      <c r="C35" s="14">
        <v>100</v>
      </c>
      <c r="D35" s="14">
        <v>100</v>
      </c>
      <c r="E35" s="14">
        <v>100</v>
      </c>
      <c r="F35" s="14">
        <v>100</v>
      </c>
      <c r="G35" s="14">
        <v>100</v>
      </c>
      <c r="H35" s="14">
        <v>100</v>
      </c>
      <c r="I35" s="14">
        <v>80</v>
      </c>
      <c r="J35" s="14">
        <v>100</v>
      </c>
      <c r="K35" s="14">
        <v>100</v>
      </c>
      <c r="L35" s="14">
        <v>100</v>
      </c>
      <c r="M35" s="12">
        <f t="shared" si="0"/>
        <v>98</v>
      </c>
    </row>
    <row r="36" spans="1:13">
      <c r="A36" s="12" t="s">
        <v>81</v>
      </c>
      <c r="B36" s="12" t="s">
        <v>80</v>
      </c>
      <c r="C36" s="14">
        <v>100</v>
      </c>
      <c r="D36" s="14">
        <v>100</v>
      </c>
      <c r="E36" s="14">
        <v>100</v>
      </c>
      <c r="F36" s="14">
        <v>90</v>
      </c>
      <c r="G36" s="14">
        <v>100</v>
      </c>
      <c r="H36" s="14">
        <v>100</v>
      </c>
      <c r="I36" s="14">
        <v>90</v>
      </c>
      <c r="J36" s="14">
        <v>100</v>
      </c>
      <c r="K36" s="14">
        <v>100</v>
      </c>
      <c r="L36" s="14">
        <v>80</v>
      </c>
      <c r="M36" s="12">
        <f t="shared" si="0"/>
        <v>96</v>
      </c>
    </row>
    <row r="37" spans="1:13">
      <c r="A37" s="12" t="s">
        <v>83</v>
      </c>
      <c r="B37" s="12" t="s">
        <v>82</v>
      </c>
      <c r="C37" s="14">
        <v>100</v>
      </c>
      <c r="D37" s="14">
        <v>100</v>
      </c>
      <c r="E37" s="14">
        <v>100</v>
      </c>
      <c r="F37" s="14">
        <v>0</v>
      </c>
      <c r="G37" s="14">
        <v>100</v>
      </c>
      <c r="H37" s="14">
        <v>100</v>
      </c>
      <c r="I37" s="14">
        <v>100</v>
      </c>
      <c r="J37" s="14">
        <v>100</v>
      </c>
      <c r="K37" s="14">
        <v>100</v>
      </c>
      <c r="L37" s="14">
        <v>100</v>
      </c>
      <c r="M37" s="12">
        <f t="shared" ref="M37:M53" si="1">AVERAGE(C37:L37)</f>
        <v>90</v>
      </c>
    </row>
    <row r="38" spans="1:13">
      <c r="A38" s="12" t="s">
        <v>85</v>
      </c>
      <c r="B38" s="12" t="s">
        <v>84</v>
      </c>
      <c r="C38" s="14">
        <v>60</v>
      </c>
      <c r="D38" s="14">
        <v>100</v>
      </c>
      <c r="E38" s="14">
        <v>100</v>
      </c>
      <c r="F38" s="14">
        <v>90</v>
      </c>
      <c r="G38" s="14">
        <v>100</v>
      </c>
      <c r="H38" s="14">
        <v>100</v>
      </c>
      <c r="I38" s="14">
        <v>100</v>
      </c>
      <c r="J38" s="14">
        <v>100</v>
      </c>
      <c r="K38" s="14">
        <v>100</v>
      </c>
      <c r="L38" s="14">
        <v>100</v>
      </c>
      <c r="M38" s="12">
        <f t="shared" si="1"/>
        <v>95</v>
      </c>
    </row>
    <row r="39" spans="1:13">
      <c r="A39" s="12" t="s">
        <v>87</v>
      </c>
      <c r="B39" s="12" t="s">
        <v>86</v>
      </c>
      <c r="C39" s="14">
        <v>100</v>
      </c>
      <c r="D39" s="14">
        <v>100</v>
      </c>
      <c r="E39" s="14">
        <v>100</v>
      </c>
      <c r="F39" s="14">
        <v>90</v>
      </c>
      <c r="G39" s="14">
        <v>100</v>
      </c>
      <c r="H39" s="14">
        <v>100</v>
      </c>
      <c r="I39" s="14">
        <v>80</v>
      </c>
      <c r="J39" s="14">
        <v>80</v>
      </c>
      <c r="K39" s="14">
        <v>80</v>
      </c>
      <c r="L39" s="14">
        <v>90</v>
      </c>
      <c r="M39" s="12">
        <f t="shared" si="1"/>
        <v>92</v>
      </c>
    </row>
    <row r="40" spans="1:13">
      <c r="A40" s="12" t="s">
        <v>89</v>
      </c>
      <c r="B40" s="12" t="s">
        <v>88</v>
      </c>
      <c r="C40" s="14">
        <v>100</v>
      </c>
      <c r="D40" s="14">
        <v>100</v>
      </c>
      <c r="E40" s="14">
        <v>100</v>
      </c>
      <c r="F40" s="14">
        <v>80</v>
      </c>
      <c r="G40" s="14">
        <v>80</v>
      </c>
      <c r="H40" s="14">
        <v>80</v>
      </c>
      <c r="I40" s="14">
        <v>90</v>
      </c>
      <c r="J40" s="14">
        <v>100</v>
      </c>
      <c r="K40" s="14">
        <v>100</v>
      </c>
      <c r="L40" s="14">
        <v>80</v>
      </c>
      <c r="M40" s="12">
        <f t="shared" si="1"/>
        <v>91</v>
      </c>
    </row>
    <row r="41" spans="1:13">
      <c r="A41" s="12" t="s">
        <v>91</v>
      </c>
      <c r="B41" s="12" t="s">
        <v>90</v>
      </c>
      <c r="C41" s="14">
        <v>100</v>
      </c>
      <c r="D41" s="14">
        <v>100</v>
      </c>
      <c r="E41" s="14">
        <v>100</v>
      </c>
      <c r="F41" s="14">
        <v>80</v>
      </c>
      <c r="G41" s="14">
        <v>100</v>
      </c>
      <c r="H41" s="14">
        <v>100</v>
      </c>
      <c r="I41" s="14">
        <v>90</v>
      </c>
      <c r="J41" s="14">
        <v>90</v>
      </c>
      <c r="K41" s="14">
        <v>100</v>
      </c>
      <c r="L41" s="14">
        <v>80</v>
      </c>
      <c r="M41" s="12">
        <f t="shared" si="1"/>
        <v>94</v>
      </c>
    </row>
    <row r="42" spans="1:13">
      <c r="A42" s="12" t="s">
        <v>93</v>
      </c>
      <c r="B42" s="12" t="s">
        <v>92</v>
      </c>
      <c r="C42" s="14">
        <v>100</v>
      </c>
      <c r="D42" s="14">
        <v>100</v>
      </c>
      <c r="E42" s="14">
        <v>100</v>
      </c>
      <c r="F42" s="14">
        <v>90</v>
      </c>
      <c r="G42" s="14">
        <v>100</v>
      </c>
      <c r="H42" s="14">
        <v>100</v>
      </c>
      <c r="I42" s="14">
        <v>100</v>
      </c>
      <c r="J42" s="14">
        <v>90</v>
      </c>
      <c r="K42" s="14">
        <v>100</v>
      </c>
      <c r="L42" s="14">
        <v>100</v>
      </c>
      <c r="M42" s="12">
        <f t="shared" si="1"/>
        <v>98</v>
      </c>
    </row>
    <row r="43" spans="1:13">
      <c r="A43" s="12" t="s">
        <v>95</v>
      </c>
      <c r="B43" s="12" t="s">
        <v>94</v>
      </c>
      <c r="C43" s="14">
        <v>100</v>
      </c>
      <c r="D43" s="14">
        <v>100</v>
      </c>
      <c r="E43" s="14">
        <v>100</v>
      </c>
      <c r="F43" s="14">
        <v>90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80</v>
      </c>
      <c r="M43" s="12">
        <f t="shared" si="1"/>
        <v>97</v>
      </c>
    </row>
    <row r="44" spans="1:13">
      <c r="A44" s="12" t="s">
        <v>97</v>
      </c>
      <c r="B44" s="12" t="s">
        <v>96</v>
      </c>
      <c r="C44" s="14">
        <v>100</v>
      </c>
      <c r="D44" s="14">
        <v>100</v>
      </c>
      <c r="E44" s="14">
        <v>100</v>
      </c>
      <c r="F44" s="14">
        <v>0</v>
      </c>
      <c r="G44" s="14">
        <v>80</v>
      </c>
      <c r="H44" s="14">
        <v>80</v>
      </c>
      <c r="I44" s="14">
        <v>80</v>
      </c>
      <c r="J44" s="14">
        <v>0</v>
      </c>
      <c r="K44" s="14">
        <v>100</v>
      </c>
      <c r="L44" s="14">
        <v>80</v>
      </c>
      <c r="M44" s="12">
        <f t="shared" si="1"/>
        <v>72</v>
      </c>
    </row>
    <row r="45" spans="1:13">
      <c r="A45" s="12" t="s">
        <v>99</v>
      </c>
      <c r="B45" s="12" t="s">
        <v>98</v>
      </c>
      <c r="C45" s="14">
        <v>100</v>
      </c>
      <c r="D45" s="14">
        <v>100</v>
      </c>
      <c r="E45" s="14">
        <v>100</v>
      </c>
      <c r="F45" s="14">
        <v>90</v>
      </c>
      <c r="G45" s="14">
        <v>100</v>
      </c>
      <c r="H45" s="14">
        <v>100</v>
      </c>
      <c r="I45" s="14">
        <v>100</v>
      </c>
      <c r="J45" s="14">
        <v>100</v>
      </c>
      <c r="K45" s="14">
        <v>100</v>
      </c>
      <c r="L45" s="14">
        <v>100</v>
      </c>
      <c r="M45" s="12">
        <f t="shared" si="1"/>
        <v>99</v>
      </c>
    </row>
    <row r="46" spans="1:13">
      <c r="A46" s="12" t="s">
        <v>101</v>
      </c>
      <c r="B46" s="12" t="s">
        <v>100</v>
      </c>
      <c r="C46" s="14">
        <v>100</v>
      </c>
      <c r="D46" s="14">
        <v>100</v>
      </c>
      <c r="E46" s="14">
        <v>100</v>
      </c>
      <c r="F46" s="14">
        <v>80</v>
      </c>
      <c r="G46" s="14">
        <v>80</v>
      </c>
      <c r="H46" s="14">
        <v>80</v>
      </c>
      <c r="I46" s="14">
        <v>90</v>
      </c>
      <c r="J46" s="14">
        <v>100</v>
      </c>
      <c r="K46" s="14">
        <v>100</v>
      </c>
      <c r="L46" s="14">
        <v>80</v>
      </c>
      <c r="M46" s="12">
        <f t="shared" si="1"/>
        <v>91</v>
      </c>
    </row>
    <row r="47" spans="1:13">
      <c r="A47" s="12" t="s">
        <v>103</v>
      </c>
      <c r="B47" s="12" t="s">
        <v>102</v>
      </c>
      <c r="C47" s="14">
        <v>100</v>
      </c>
      <c r="D47" s="14">
        <v>80</v>
      </c>
      <c r="E47" s="14">
        <v>100</v>
      </c>
      <c r="F47" s="14">
        <v>0</v>
      </c>
      <c r="G47" s="14">
        <v>80</v>
      </c>
      <c r="H47" s="14">
        <v>80</v>
      </c>
      <c r="I47" s="14">
        <v>80</v>
      </c>
      <c r="J47" s="14">
        <v>100</v>
      </c>
      <c r="K47" s="14">
        <v>100</v>
      </c>
      <c r="L47" s="14">
        <v>100</v>
      </c>
      <c r="M47" s="12">
        <f t="shared" si="1"/>
        <v>82</v>
      </c>
    </row>
    <row r="48" spans="1:13">
      <c r="A48" s="12" t="s">
        <v>105</v>
      </c>
      <c r="B48" s="12" t="s">
        <v>104</v>
      </c>
      <c r="C48" s="14">
        <v>100</v>
      </c>
      <c r="D48" s="14">
        <v>80</v>
      </c>
      <c r="E48" s="14">
        <v>100</v>
      </c>
      <c r="F48" s="14">
        <v>80</v>
      </c>
      <c r="G48" s="14">
        <v>100</v>
      </c>
      <c r="H48" s="14">
        <v>100</v>
      </c>
      <c r="I48" s="14">
        <v>100</v>
      </c>
      <c r="J48" s="14">
        <v>100</v>
      </c>
      <c r="K48" s="14">
        <v>0</v>
      </c>
      <c r="L48" s="14">
        <v>0</v>
      </c>
      <c r="M48" s="12">
        <f t="shared" si="1"/>
        <v>76</v>
      </c>
    </row>
    <row r="49" spans="1:13">
      <c r="A49" s="12" t="s">
        <v>107</v>
      </c>
      <c r="B49" s="12" t="s">
        <v>106</v>
      </c>
      <c r="C49" s="14">
        <v>100</v>
      </c>
      <c r="D49" s="14">
        <v>100</v>
      </c>
      <c r="E49" s="14">
        <v>100</v>
      </c>
      <c r="F49" s="14">
        <v>80</v>
      </c>
      <c r="G49" s="14">
        <v>90</v>
      </c>
      <c r="H49" s="14">
        <v>90</v>
      </c>
      <c r="I49" s="14">
        <v>90</v>
      </c>
      <c r="J49" s="14">
        <v>100</v>
      </c>
      <c r="K49" s="14">
        <v>100</v>
      </c>
      <c r="L49" s="14">
        <v>90</v>
      </c>
      <c r="M49" s="12">
        <f t="shared" si="1"/>
        <v>94</v>
      </c>
    </row>
    <row r="50" spans="1:13">
      <c r="A50" s="12" t="s">
        <v>109</v>
      </c>
      <c r="B50" s="12" t="s">
        <v>108</v>
      </c>
      <c r="C50" s="14">
        <v>100</v>
      </c>
      <c r="D50" s="14">
        <v>80</v>
      </c>
      <c r="E50" s="14">
        <v>100</v>
      </c>
      <c r="F50" s="14">
        <v>80</v>
      </c>
      <c r="G50" s="14">
        <v>100</v>
      </c>
      <c r="H50" s="14">
        <v>100</v>
      </c>
      <c r="I50" s="14">
        <v>100</v>
      </c>
      <c r="J50" s="14">
        <v>100</v>
      </c>
      <c r="K50" s="14">
        <v>100</v>
      </c>
      <c r="L50" s="14">
        <v>100</v>
      </c>
      <c r="M50" s="12">
        <f t="shared" si="1"/>
        <v>96</v>
      </c>
    </row>
    <row r="51" spans="1:13">
      <c r="A51" s="12" t="s">
        <v>111</v>
      </c>
      <c r="B51" s="12" t="s">
        <v>110</v>
      </c>
      <c r="C51" s="14">
        <v>80</v>
      </c>
      <c r="D51" s="14">
        <v>100</v>
      </c>
      <c r="E51" s="14">
        <v>100</v>
      </c>
      <c r="F51" s="14">
        <v>100</v>
      </c>
      <c r="G51" s="14">
        <v>100</v>
      </c>
      <c r="H51" s="14">
        <v>100</v>
      </c>
      <c r="I51" s="14">
        <v>100</v>
      </c>
      <c r="J51" s="14">
        <v>0</v>
      </c>
      <c r="K51" s="14">
        <v>0</v>
      </c>
      <c r="L51" s="14">
        <v>100</v>
      </c>
      <c r="M51" s="12">
        <f t="shared" si="1"/>
        <v>78</v>
      </c>
    </row>
    <row r="52" spans="1:13">
      <c r="A52" s="12" t="s">
        <v>113</v>
      </c>
      <c r="B52" s="12" t="s">
        <v>112</v>
      </c>
      <c r="C52" s="14">
        <v>100</v>
      </c>
      <c r="D52" s="14">
        <v>100</v>
      </c>
      <c r="E52" s="14">
        <v>100</v>
      </c>
      <c r="F52" s="14">
        <v>80</v>
      </c>
      <c r="G52" s="14">
        <v>100</v>
      </c>
      <c r="H52" s="14">
        <v>100</v>
      </c>
      <c r="I52" s="14">
        <v>100</v>
      </c>
      <c r="J52" s="14">
        <v>100</v>
      </c>
      <c r="K52" s="14">
        <v>100</v>
      </c>
      <c r="L52" s="14">
        <v>100</v>
      </c>
      <c r="M52" s="12">
        <f t="shared" si="1"/>
        <v>98</v>
      </c>
    </row>
    <row r="53" spans="1:13">
      <c r="A53" s="12" t="s">
        <v>115</v>
      </c>
      <c r="B53" s="12" t="s">
        <v>114</v>
      </c>
      <c r="C53" s="14">
        <v>100</v>
      </c>
      <c r="D53" s="14">
        <v>100</v>
      </c>
      <c r="E53" s="14">
        <v>80</v>
      </c>
      <c r="F53" s="14">
        <v>90</v>
      </c>
      <c r="G53" s="14">
        <v>100</v>
      </c>
      <c r="H53" s="14">
        <v>100</v>
      </c>
      <c r="I53" s="14">
        <v>90</v>
      </c>
      <c r="J53" s="14">
        <v>100</v>
      </c>
      <c r="K53" s="14">
        <v>0</v>
      </c>
      <c r="L53" s="14">
        <v>100</v>
      </c>
      <c r="M53" s="12">
        <f t="shared" si="1"/>
        <v>86</v>
      </c>
    </row>
  </sheetData>
  <mergeCells count="1">
    <mergeCell ref="A2:M2"/>
  </mergeCells>
  <printOptions horizontalCentered="1" verticalCentered="1"/>
  <pageMargins left="0.751388888888889" right="0.751388888888889" top="1" bottom="1" header="0.5" footer="0.5"/>
  <pageSetup paperSize="9" scale="76" orientation="portrait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3"/>
  <sheetViews>
    <sheetView tabSelected="1" workbookViewId="0">
      <selection activeCell="I53" sqref="I53"/>
    </sheetView>
  </sheetViews>
  <sheetFormatPr defaultColWidth="8.88888888888889" defaultRowHeight="14.4"/>
  <cols>
    <col min="1" max="1" width="13.6666666666667" customWidth="1"/>
    <col min="4" max="4" width="10.6666666666667" customWidth="1"/>
    <col min="6" max="6" width="6.55555555555556" customWidth="1"/>
    <col min="8" max="8" width="9.88888888888889" customWidth="1"/>
    <col min="9" max="9" width="9.22222222222222" customWidth="1"/>
  </cols>
  <sheetData>
    <row r="1" ht="24" customHeight="1" spans="1:9">
      <c r="A1" s="1" t="s">
        <v>3968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3936</v>
      </c>
      <c r="B2" s="2" t="s">
        <v>3937</v>
      </c>
      <c r="C2" s="3" t="s">
        <v>3969</v>
      </c>
      <c r="D2" s="3"/>
      <c r="E2" s="3"/>
      <c r="F2" s="3"/>
      <c r="G2" s="4" t="s">
        <v>3970</v>
      </c>
      <c r="H2" s="4" t="s">
        <v>3971</v>
      </c>
      <c r="I2" s="3" t="s">
        <v>3972</v>
      </c>
    </row>
    <row r="3" ht="42" customHeight="1" spans="1:9">
      <c r="A3" s="2"/>
      <c r="B3" s="2"/>
      <c r="C3" s="4" t="s">
        <v>3973</v>
      </c>
      <c r="D3" s="4" t="s">
        <v>3974</v>
      </c>
      <c r="E3" s="4" t="s">
        <v>3975</v>
      </c>
      <c r="F3" s="4" t="s">
        <v>3976</v>
      </c>
      <c r="G3" s="4"/>
      <c r="H3" s="4"/>
      <c r="I3" s="3"/>
    </row>
    <row r="4" spans="1:9">
      <c r="A4" s="5" t="s">
        <v>13</v>
      </c>
      <c r="B4" s="6" t="s">
        <v>12</v>
      </c>
      <c r="C4" s="7">
        <v>64</v>
      </c>
      <c r="D4" s="8">
        <v>73.3333333333333</v>
      </c>
      <c r="E4" s="7">
        <v>70</v>
      </c>
      <c r="F4" s="8">
        <f>C4*0.2+D4*0.5+E4*0.3</f>
        <v>70.4666666666667</v>
      </c>
      <c r="G4" s="8">
        <v>78.5714285714286</v>
      </c>
      <c r="H4" s="8">
        <v>71.8</v>
      </c>
      <c r="I4" s="9">
        <f>F4*0.2+H4*0.5+G4*0.3</f>
        <v>73.5647619047619</v>
      </c>
    </row>
    <row r="5" spans="1:9">
      <c r="A5" s="5" t="s">
        <v>18</v>
      </c>
      <c r="B5" s="6" t="s">
        <v>17</v>
      </c>
      <c r="C5" s="7">
        <v>81</v>
      </c>
      <c r="D5" s="8">
        <v>67.7777777777778</v>
      </c>
      <c r="E5" s="7">
        <v>99</v>
      </c>
      <c r="F5" s="8">
        <f t="shared" ref="F5:F36" si="0">C5*0.2+D5*0.5+E5*0.3</f>
        <v>79.7888888888889</v>
      </c>
      <c r="G5" s="8">
        <v>82.8571428571429</v>
      </c>
      <c r="H5" s="8">
        <v>70.8</v>
      </c>
      <c r="I5" s="9">
        <f t="shared" ref="I5:I36" si="1">F5*0.2+H5*0.5+G5*0.3</f>
        <v>76.2149206349207</v>
      </c>
    </row>
    <row r="6" spans="1:9">
      <c r="A6" s="5" t="s">
        <v>20</v>
      </c>
      <c r="B6" s="6" t="s">
        <v>19</v>
      </c>
      <c r="C6" s="7">
        <v>89</v>
      </c>
      <c r="D6" s="8">
        <v>81.1111111111111</v>
      </c>
      <c r="E6" s="7">
        <v>96</v>
      </c>
      <c r="F6" s="8">
        <f t="shared" si="0"/>
        <v>87.1555555555556</v>
      </c>
      <c r="G6" s="8">
        <v>87.1428571428571</v>
      </c>
      <c r="H6" s="8">
        <v>56.6</v>
      </c>
      <c r="I6" s="9">
        <f t="shared" si="1"/>
        <v>71.8739682539682</v>
      </c>
    </row>
    <row r="7" spans="1:9">
      <c r="A7" s="5" t="s">
        <v>23</v>
      </c>
      <c r="B7" s="6" t="s">
        <v>22</v>
      </c>
      <c r="C7" s="7">
        <v>89</v>
      </c>
      <c r="D7" s="8">
        <v>88.8888888888889</v>
      </c>
      <c r="E7" s="7">
        <v>100</v>
      </c>
      <c r="F7" s="8">
        <f t="shared" si="0"/>
        <v>92.2444444444445</v>
      </c>
      <c r="G7" s="8">
        <v>85.7142857142857</v>
      </c>
      <c r="H7" s="8">
        <v>90.3</v>
      </c>
      <c r="I7" s="9">
        <f t="shared" si="1"/>
        <v>89.3131746031746</v>
      </c>
    </row>
    <row r="8" spans="1:9">
      <c r="A8" s="5" t="s">
        <v>25</v>
      </c>
      <c r="B8" s="6" t="s">
        <v>24</v>
      </c>
      <c r="C8" s="7">
        <v>81</v>
      </c>
      <c r="D8" s="8">
        <v>90</v>
      </c>
      <c r="E8" s="7">
        <v>85</v>
      </c>
      <c r="F8" s="8">
        <f t="shared" si="0"/>
        <v>86.7</v>
      </c>
      <c r="G8" s="8">
        <v>79.2857142857143</v>
      </c>
      <c r="H8" s="8">
        <v>92.1</v>
      </c>
      <c r="I8" s="9">
        <f t="shared" si="1"/>
        <v>87.1757142857143</v>
      </c>
    </row>
    <row r="9" spans="1:9">
      <c r="A9" s="5" t="s">
        <v>27</v>
      </c>
      <c r="B9" s="6" t="s">
        <v>26</v>
      </c>
      <c r="C9" s="7">
        <v>89</v>
      </c>
      <c r="D9" s="8">
        <v>83.3333333333333</v>
      </c>
      <c r="E9" s="7">
        <v>99</v>
      </c>
      <c r="F9" s="8">
        <f t="shared" si="0"/>
        <v>89.1666666666667</v>
      </c>
      <c r="G9" s="8">
        <v>88.5714285714286</v>
      </c>
      <c r="H9" s="8">
        <v>82.3</v>
      </c>
      <c r="I9" s="9">
        <f t="shared" si="1"/>
        <v>85.5547619047619</v>
      </c>
    </row>
    <row r="10" spans="1:9">
      <c r="A10" s="5" t="s">
        <v>29</v>
      </c>
      <c r="B10" s="6" t="s">
        <v>28</v>
      </c>
      <c r="C10" s="7">
        <v>81</v>
      </c>
      <c r="D10" s="8">
        <v>77.7777777777778</v>
      </c>
      <c r="E10" s="7">
        <v>86</v>
      </c>
      <c r="F10" s="8">
        <f t="shared" si="0"/>
        <v>80.8888888888889</v>
      </c>
      <c r="G10" s="8">
        <v>84.2857142857143</v>
      </c>
      <c r="H10" s="8">
        <v>57.81</v>
      </c>
      <c r="I10" s="9">
        <f t="shared" si="1"/>
        <v>70.3684920634921</v>
      </c>
    </row>
    <row r="11" spans="1:9">
      <c r="A11" s="5" t="s">
        <v>31</v>
      </c>
      <c r="B11" s="6" t="s">
        <v>30</v>
      </c>
      <c r="C11" s="7">
        <v>89</v>
      </c>
      <c r="D11" s="8">
        <v>81.1111111111111</v>
      </c>
      <c r="E11" s="7">
        <v>94</v>
      </c>
      <c r="F11" s="8">
        <f t="shared" si="0"/>
        <v>86.5555555555556</v>
      </c>
      <c r="G11" s="8">
        <v>82.1428571428571</v>
      </c>
      <c r="H11" s="8">
        <v>82.6</v>
      </c>
      <c r="I11" s="9">
        <f t="shared" si="1"/>
        <v>83.2539682539682</v>
      </c>
    </row>
    <row r="12" spans="1:9">
      <c r="A12" s="5" t="s">
        <v>33</v>
      </c>
      <c r="B12" s="6" t="s">
        <v>32</v>
      </c>
      <c r="C12" s="7">
        <v>0</v>
      </c>
      <c r="D12" s="8">
        <v>0</v>
      </c>
      <c r="E12" s="7">
        <v>16</v>
      </c>
      <c r="F12" s="8">
        <f t="shared" si="0"/>
        <v>4.8</v>
      </c>
      <c r="G12" s="8">
        <v>0</v>
      </c>
      <c r="H12" s="10" t="s">
        <v>3977</v>
      </c>
      <c r="I12" s="9">
        <v>1</v>
      </c>
    </row>
    <row r="13" spans="1:9">
      <c r="A13" s="5" t="s">
        <v>35</v>
      </c>
      <c r="B13" s="6" t="s">
        <v>34</v>
      </c>
      <c r="C13" s="7">
        <v>89</v>
      </c>
      <c r="D13" s="8">
        <v>78.8888888888889</v>
      </c>
      <c r="E13" s="7">
        <v>97</v>
      </c>
      <c r="F13" s="8">
        <f t="shared" si="0"/>
        <v>86.3444444444444</v>
      </c>
      <c r="G13" s="8">
        <v>81.4285714285714</v>
      </c>
      <c r="H13" s="8">
        <v>75.8</v>
      </c>
      <c r="I13" s="9">
        <f t="shared" si="1"/>
        <v>79.5974603174603</v>
      </c>
    </row>
    <row r="14" spans="1:9">
      <c r="A14" s="5" t="s">
        <v>37</v>
      </c>
      <c r="B14" s="6" t="s">
        <v>36</v>
      </c>
      <c r="C14" s="7">
        <v>81</v>
      </c>
      <c r="D14" s="8">
        <v>78.8888888888889</v>
      </c>
      <c r="E14" s="7">
        <v>94</v>
      </c>
      <c r="F14" s="8">
        <f t="shared" si="0"/>
        <v>83.8444444444444</v>
      </c>
      <c r="G14" s="8">
        <v>90.7142857142857</v>
      </c>
      <c r="H14" s="8">
        <v>90.81</v>
      </c>
      <c r="I14" s="9">
        <f t="shared" si="1"/>
        <v>89.3881746031746</v>
      </c>
    </row>
    <row r="15" spans="1:9">
      <c r="A15" s="5" t="s">
        <v>39</v>
      </c>
      <c r="B15" s="6" t="s">
        <v>38</v>
      </c>
      <c r="C15" s="7">
        <v>89</v>
      </c>
      <c r="D15" s="8">
        <v>85.5555555555556</v>
      </c>
      <c r="E15" s="7">
        <v>100</v>
      </c>
      <c r="F15" s="8">
        <f t="shared" si="0"/>
        <v>90.5777777777778</v>
      </c>
      <c r="G15" s="8">
        <v>85</v>
      </c>
      <c r="H15" s="8">
        <v>90.8</v>
      </c>
      <c r="I15" s="9">
        <f t="shared" si="1"/>
        <v>89.0155555555556</v>
      </c>
    </row>
    <row r="16" spans="1:9">
      <c r="A16" s="5" t="s">
        <v>41</v>
      </c>
      <c r="B16" s="6" t="s">
        <v>40</v>
      </c>
      <c r="C16" s="7">
        <v>89</v>
      </c>
      <c r="D16" s="8">
        <v>80</v>
      </c>
      <c r="E16" s="7">
        <v>91</v>
      </c>
      <c r="F16" s="8">
        <f t="shared" si="0"/>
        <v>85.1</v>
      </c>
      <c r="G16" s="8">
        <v>82.8571428571429</v>
      </c>
      <c r="H16" s="8">
        <v>76.99</v>
      </c>
      <c r="I16" s="9">
        <f t="shared" si="1"/>
        <v>80.3721428571429</v>
      </c>
    </row>
    <row r="17" spans="1:9">
      <c r="A17" s="5" t="s">
        <v>43</v>
      </c>
      <c r="B17" s="6" t="s">
        <v>42</v>
      </c>
      <c r="C17" s="7">
        <v>81</v>
      </c>
      <c r="D17" s="8">
        <v>81.1111111111111</v>
      </c>
      <c r="E17" s="7">
        <v>92</v>
      </c>
      <c r="F17" s="8">
        <f t="shared" si="0"/>
        <v>84.3555555555555</v>
      </c>
      <c r="G17" s="8">
        <v>89.2857142857143</v>
      </c>
      <c r="H17" s="8">
        <v>90.9</v>
      </c>
      <c r="I17" s="9">
        <f t="shared" si="1"/>
        <v>89.1068253968254</v>
      </c>
    </row>
    <row r="18" spans="1:9">
      <c r="A18" s="5" t="s">
        <v>45</v>
      </c>
      <c r="B18" s="6" t="s">
        <v>44</v>
      </c>
      <c r="C18" s="7">
        <v>81</v>
      </c>
      <c r="D18" s="8">
        <v>84.4444444444444</v>
      </c>
      <c r="E18" s="7">
        <v>99</v>
      </c>
      <c r="F18" s="8">
        <f t="shared" si="0"/>
        <v>88.1222222222222</v>
      </c>
      <c r="G18" s="8">
        <v>87.8571428571429</v>
      </c>
      <c r="H18" s="8">
        <v>84.2</v>
      </c>
      <c r="I18" s="9">
        <f t="shared" si="1"/>
        <v>86.0815873015873</v>
      </c>
    </row>
    <row r="19" spans="1:9">
      <c r="A19" s="5" t="s">
        <v>47</v>
      </c>
      <c r="B19" s="6" t="s">
        <v>46</v>
      </c>
      <c r="C19" s="7">
        <v>81</v>
      </c>
      <c r="D19" s="8">
        <v>86.6666666666667</v>
      </c>
      <c r="E19" s="7">
        <v>94</v>
      </c>
      <c r="F19" s="8">
        <f t="shared" si="0"/>
        <v>87.7333333333333</v>
      </c>
      <c r="G19" s="8">
        <v>81.4285714285714</v>
      </c>
      <c r="H19" s="8">
        <v>79.8</v>
      </c>
      <c r="I19" s="9">
        <f t="shared" si="1"/>
        <v>81.8752380952381</v>
      </c>
    </row>
    <row r="20" spans="1:9">
      <c r="A20" s="5" t="s">
        <v>49</v>
      </c>
      <c r="B20" s="6" t="s">
        <v>48</v>
      </c>
      <c r="C20" s="7">
        <v>89</v>
      </c>
      <c r="D20" s="8">
        <v>85.5555555555556</v>
      </c>
      <c r="E20" s="7">
        <v>95</v>
      </c>
      <c r="F20" s="8">
        <f t="shared" si="0"/>
        <v>89.0777777777778</v>
      </c>
      <c r="G20" s="8">
        <v>88.5714285714286</v>
      </c>
      <c r="H20" s="8">
        <v>79.8</v>
      </c>
      <c r="I20" s="9">
        <f t="shared" si="1"/>
        <v>84.2869841269841</v>
      </c>
    </row>
    <row r="21" spans="1:9">
      <c r="A21" s="5" t="s">
        <v>51</v>
      </c>
      <c r="B21" s="6" t="s">
        <v>50</v>
      </c>
      <c r="C21" s="7">
        <v>55</v>
      </c>
      <c r="D21" s="8">
        <v>63.3333333333333</v>
      </c>
      <c r="E21" s="7">
        <v>0</v>
      </c>
      <c r="F21" s="8">
        <f t="shared" si="0"/>
        <v>42.6666666666667</v>
      </c>
      <c r="G21" s="8">
        <v>0</v>
      </c>
      <c r="H21" s="8">
        <v>78.99</v>
      </c>
      <c r="I21" s="9">
        <f t="shared" si="1"/>
        <v>48.0283333333333</v>
      </c>
    </row>
    <row r="22" spans="1:9">
      <c r="A22" s="5" t="s">
        <v>53</v>
      </c>
      <c r="B22" s="6" t="s">
        <v>52</v>
      </c>
      <c r="C22" s="7">
        <v>89</v>
      </c>
      <c r="D22" s="8">
        <v>75.5555555555556</v>
      </c>
      <c r="E22" s="7">
        <v>90</v>
      </c>
      <c r="F22" s="8">
        <f t="shared" si="0"/>
        <v>82.5777777777778</v>
      </c>
      <c r="G22" s="8">
        <v>87.8571428571429</v>
      </c>
      <c r="H22" s="8">
        <v>70.8</v>
      </c>
      <c r="I22" s="9">
        <f t="shared" si="1"/>
        <v>78.2726984126984</v>
      </c>
    </row>
    <row r="23" spans="1:9">
      <c r="A23" s="5" t="s">
        <v>55</v>
      </c>
      <c r="B23" s="6" t="s">
        <v>54</v>
      </c>
      <c r="C23" s="7">
        <v>72</v>
      </c>
      <c r="D23" s="8">
        <v>76.6666666666667</v>
      </c>
      <c r="E23" s="7">
        <v>94</v>
      </c>
      <c r="F23" s="8">
        <f t="shared" si="0"/>
        <v>80.9333333333334</v>
      </c>
      <c r="G23" s="8">
        <v>83.3333333333333</v>
      </c>
      <c r="H23" s="8">
        <v>90.41</v>
      </c>
      <c r="I23" s="9">
        <f t="shared" si="1"/>
        <v>86.3916666666667</v>
      </c>
    </row>
    <row r="24" spans="1:9">
      <c r="A24" s="5" t="s">
        <v>57</v>
      </c>
      <c r="B24" s="6" t="s">
        <v>56</v>
      </c>
      <c r="C24" s="7">
        <v>55</v>
      </c>
      <c r="D24" s="8">
        <v>81.1111111111111</v>
      </c>
      <c r="E24" s="7">
        <v>90</v>
      </c>
      <c r="F24" s="8">
        <f t="shared" si="0"/>
        <v>78.5555555555555</v>
      </c>
      <c r="G24" s="8">
        <v>74.2857142857143</v>
      </c>
      <c r="H24" s="8">
        <v>65.8</v>
      </c>
      <c r="I24" s="9">
        <f t="shared" si="1"/>
        <v>70.8968253968254</v>
      </c>
    </row>
    <row r="25" spans="1:9">
      <c r="A25" s="5" t="s">
        <v>59</v>
      </c>
      <c r="B25" s="6" t="s">
        <v>58</v>
      </c>
      <c r="C25" s="7">
        <v>89</v>
      </c>
      <c r="D25" s="8">
        <v>73.3333333333333</v>
      </c>
      <c r="E25" s="7">
        <v>95</v>
      </c>
      <c r="F25" s="8">
        <f t="shared" si="0"/>
        <v>82.9666666666667</v>
      </c>
      <c r="G25" s="8">
        <v>80</v>
      </c>
      <c r="H25" s="8">
        <v>87.3</v>
      </c>
      <c r="I25" s="9">
        <f t="shared" si="1"/>
        <v>84.2433333333333</v>
      </c>
    </row>
    <row r="26" spans="1:9">
      <c r="A26" s="5" t="s">
        <v>61</v>
      </c>
      <c r="B26" s="6" t="s">
        <v>60</v>
      </c>
      <c r="C26" s="7">
        <v>81</v>
      </c>
      <c r="D26" s="8">
        <v>83.3333333333333</v>
      </c>
      <c r="E26" s="7">
        <v>92</v>
      </c>
      <c r="F26" s="8">
        <f t="shared" si="0"/>
        <v>85.4666666666666</v>
      </c>
      <c r="G26" s="8">
        <v>81.4285714285714</v>
      </c>
      <c r="H26" s="8">
        <v>77.2</v>
      </c>
      <c r="I26" s="9">
        <f t="shared" si="1"/>
        <v>80.1219047619047</v>
      </c>
    </row>
    <row r="27" spans="1:9">
      <c r="A27" s="5" t="s">
        <v>63</v>
      </c>
      <c r="B27" s="6" t="s">
        <v>62</v>
      </c>
      <c r="C27" s="7">
        <v>89</v>
      </c>
      <c r="D27" s="8">
        <v>80</v>
      </c>
      <c r="E27" s="7">
        <v>99</v>
      </c>
      <c r="F27" s="8">
        <f t="shared" si="0"/>
        <v>87.5</v>
      </c>
      <c r="G27" s="8">
        <v>89.2857142857143</v>
      </c>
      <c r="H27" s="8">
        <v>74.2</v>
      </c>
      <c r="I27" s="9">
        <f t="shared" si="1"/>
        <v>81.3857142857143</v>
      </c>
    </row>
    <row r="28" spans="1:9">
      <c r="A28" s="5" t="s">
        <v>65</v>
      </c>
      <c r="B28" s="6" t="s">
        <v>64</v>
      </c>
      <c r="C28" s="7">
        <v>63</v>
      </c>
      <c r="D28" s="8">
        <v>86.6666666666667</v>
      </c>
      <c r="E28" s="7">
        <v>94</v>
      </c>
      <c r="F28" s="8">
        <f t="shared" si="0"/>
        <v>84.1333333333334</v>
      </c>
      <c r="G28" s="8">
        <v>83.5714285714286</v>
      </c>
      <c r="H28" s="8">
        <v>95.61</v>
      </c>
      <c r="I28" s="9">
        <f t="shared" si="1"/>
        <v>89.7030952380953</v>
      </c>
    </row>
    <row r="29" spans="1:9">
      <c r="A29" s="5" t="s">
        <v>67</v>
      </c>
      <c r="B29" s="6" t="s">
        <v>66</v>
      </c>
      <c r="C29" s="7">
        <v>81</v>
      </c>
      <c r="D29" s="8">
        <v>83.3333333333333</v>
      </c>
      <c r="E29" s="7">
        <v>97</v>
      </c>
      <c r="F29" s="8">
        <f t="shared" si="0"/>
        <v>86.9666666666666</v>
      </c>
      <c r="G29" s="8">
        <v>93.5714285714286</v>
      </c>
      <c r="H29" s="8">
        <v>69.5</v>
      </c>
      <c r="I29" s="9">
        <f t="shared" si="1"/>
        <v>80.2147619047619</v>
      </c>
    </row>
    <row r="30" spans="1:9">
      <c r="A30" s="5" t="s">
        <v>69</v>
      </c>
      <c r="B30" s="6" t="s">
        <v>68</v>
      </c>
      <c r="C30" s="7">
        <v>89</v>
      </c>
      <c r="D30" s="8">
        <v>77.7777777777778</v>
      </c>
      <c r="E30" s="7">
        <v>99</v>
      </c>
      <c r="F30" s="8">
        <f t="shared" si="0"/>
        <v>86.3888888888889</v>
      </c>
      <c r="G30" s="8">
        <v>82.8571428571429</v>
      </c>
      <c r="H30" s="8">
        <v>77.1</v>
      </c>
      <c r="I30" s="9">
        <f t="shared" si="1"/>
        <v>80.6849206349207</v>
      </c>
    </row>
    <row r="31" spans="1:9">
      <c r="A31" s="5" t="s">
        <v>71</v>
      </c>
      <c r="B31" s="6" t="s">
        <v>70</v>
      </c>
      <c r="C31" s="7">
        <v>64</v>
      </c>
      <c r="D31" s="8">
        <v>76.6666666666667</v>
      </c>
      <c r="E31" s="7">
        <v>91</v>
      </c>
      <c r="F31" s="8">
        <f t="shared" si="0"/>
        <v>78.4333333333334</v>
      </c>
      <c r="G31" s="8">
        <v>74.2857142857143</v>
      </c>
      <c r="H31" s="8">
        <v>75.39</v>
      </c>
      <c r="I31" s="9">
        <f t="shared" si="1"/>
        <v>75.667380952381</v>
      </c>
    </row>
    <row r="32" spans="1:9">
      <c r="A32" s="5" t="s">
        <v>73</v>
      </c>
      <c r="B32" s="6" t="s">
        <v>72</v>
      </c>
      <c r="C32" s="7">
        <v>81</v>
      </c>
      <c r="D32" s="8">
        <v>70</v>
      </c>
      <c r="E32" s="7">
        <v>96</v>
      </c>
      <c r="F32" s="8">
        <f t="shared" si="0"/>
        <v>80</v>
      </c>
      <c r="G32" s="8">
        <v>80</v>
      </c>
      <c r="H32" s="8">
        <v>74.6</v>
      </c>
      <c r="I32" s="9">
        <f t="shared" si="1"/>
        <v>77.3</v>
      </c>
    </row>
    <row r="33" spans="1:9">
      <c r="A33" s="5" t="s">
        <v>75</v>
      </c>
      <c r="B33" s="6" t="s">
        <v>74</v>
      </c>
      <c r="C33" s="7">
        <v>73</v>
      </c>
      <c r="D33" s="8">
        <v>67.7777777777778</v>
      </c>
      <c r="E33" s="7">
        <v>88</v>
      </c>
      <c r="F33" s="8">
        <f t="shared" si="0"/>
        <v>74.8888888888889</v>
      </c>
      <c r="G33" s="8">
        <v>80</v>
      </c>
      <c r="H33" s="8">
        <v>77.1</v>
      </c>
      <c r="I33" s="9">
        <f t="shared" si="1"/>
        <v>77.5277777777778</v>
      </c>
    </row>
    <row r="34" spans="1:9">
      <c r="A34" s="5" t="s">
        <v>77</v>
      </c>
      <c r="B34" s="6" t="s">
        <v>76</v>
      </c>
      <c r="C34" s="7">
        <v>81</v>
      </c>
      <c r="D34" s="8">
        <v>66.6666666666667</v>
      </c>
      <c r="E34" s="7">
        <v>97</v>
      </c>
      <c r="F34" s="8">
        <f t="shared" si="0"/>
        <v>78.6333333333333</v>
      </c>
      <c r="G34" s="8">
        <v>84.2857142857143</v>
      </c>
      <c r="H34" s="8">
        <v>89.51</v>
      </c>
      <c r="I34" s="9">
        <f t="shared" si="1"/>
        <v>85.767380952381</v>
      </c>
    </row>
    <row r="35" spans="1:9">
      <c r="A35" s="5" t="s">
        <v>79</v>
      </c>
      <c r="B35" s="6" t="s">
        <v>78</v>
      </c>
      <c r="C35" s="7">
        <v>80</v>
      </c>
      <c r="D35" s="8">
        <v>71.1111111111111</v>
      </c>
      <c r="E35" s="7">
        <v>98</v>
      </c>
      <c r="F35" s="8">
        <f t="shared" si="0"/>
        <v>80.9555555555555</v>
      </c>
      <c r="G35" s="8">
        <v>81.4285714285714</v>
      </c>
      <c r="H35" s="8">
        <v>67.1</v>
      </c>
      <c r="I35" s="9">
        <f t="shared" si="1"/>
        <v>74.1696825396825</v>
      </c>
    </row>
    <row r="36" spans="1:9">
      <c r="A36" s="5" t="s">
        <v>81</v>
      </c>
      <c r="B36" s="6" t="s">
        <v>80</v>
      </c>
      <c r="C36" s="7">
        <v>89</v>
      </c>
      <c r="D36" s="8">
        <v>81.1111111111111</v>
      </c>
      <c r="E36" s="7">
        <v>96</v>
      </c>
      <c r="F36" s="8">
        <f t="shared" si="0"/>
        <v>87.1555555555556</v>
      </c>
      <c r="G36" s="8">
        <v>85.7142857142857</v>
      </c>
      <c r="H36" s="8">
        <v>75.7</v>
      </c>
      <c r="I36" s="9">
        <f t="shared" si="1"/>
        <v>80.9953968253968</v>
      </c>
    </row>
    <row r="37" spans="1:9">
      <c r="A37" s="5" t="s">
        <v>83</v>
      </c>
      <c r="B37" s="6" t="s">
        <v>82</v>
      </c>
      <c r="C37" s="7">
        <v>73</v>
      </c>
      <c r="D37" s="8">
        <v>80</v>
      </c>
      <c r="E37" s="7">
        <v>90</v>
      </c>
      <c r="F37" s="8">
        <f t="shared" ref="F37:F53" si="2">C37*0.2+D37*0.5+E37*0.3</f>
        <v>81.6</v>
      </c>
      <c r="G37" s="8">
        <v>78.5714285714286</v>
      </c>
      <c r="H37" s="8">
        <v>86.5</v>
      </c>
      <c r="I37" s="9">
        <f t="shared" ref="I37:I53" si="3">F37*0.2+H37*0.5+G37*0.3</f>
        <v>83.1414285714286</v>
      </c>
    </row>
    <row r="38" spans="1:9">
      <c r="A38" s="5" t="s">
        <v>85</v>
      </c>
      <c r="B38" s="6" t="s">
        <v>84</v>
      </c>
      <c r="C38" s="7">
        <v>89</v>
      </c>
      <c r="D38" s="8">
        <v>70</v>
      </c>
      <c r="E38" s="7">
        <v>95</v>
      </c>
      <c r="F38" s="8">
        <f t="shared" si="2"/>
        <v>81.3</v>
      </c>
      <c r="G38" s="8">
        <v>78.5714285714286</v>
      </c>
      <c r="H38" s="8">
        <v>81.49</v>
      </c>
      <c r="I38" s="9">
        <f t="shared" si="3"/>
        <v>80.5764285714286</v>
      </c>
    </row>
    <row r="39" spans="1:9">
      <c r="A39" s="5" t="s">
        <v>87</v>
      </c>
      <c r="B39" s="6" t="s">
        <v>86</v>
      </c>
      <c r="C39" s="7">
        <v>81</v>
      </c>
      <c r="D39" s="8">
        <v>83.3333333333333</v>
      </c>
      <c r="E39" s="7">
        <v>92</v>
      </c>
      <c r="F39" s="8">
        <f t="shared" si="2"/>
        <v>85.4666666666666</v>
      </c>
      <c r="G39" s="8">
        <v>81.4285714285714</v>
      </c>
      <c r="H39" s="8">
        <v>93.4</v>
      </c>
      <c r="I39" s="9">
        <f t="shared" si="3"/>
        <v>88.2219047619048</v>
      </c>
    </row>
    <row r="40" spans="1:9">
      <c r="A40" s="5" t="s">
        <v>89</v>
      </c>
      <c r="B40" s="6" t="s">
        <v>88</v>
      </c>
      <c r="C40" s="7">
        <v>64</v>
      </c>
      <c r="D40" s="8">
        <v>80</v>
      </c>
      <c r="E40" s="7">
        <v>91</v>
      </c>
      <c r="F40" s="8">
        <f t="shared" si="2"/>
        <v>80.1</v>
      </c>
      <c r="G40" s="8">
        <v>80</v>
      </c>
      <c r="H40" s="8">
        <v>77.19</v>
      </c>
      <c r="I40" s="9">
        <f t="shared" si="3"/>
        <v>78.615</v>
      </c>
    </row>
    <row r="41" spans="1:9">
      <c r="A41" s="5" t="s">
        <v>91</v>
      </c>
      <c r="B41" s="6" t="s">
        <v>90</v>
      </c>
      <c r="C41" s="7">
        <v>73</v>
      </c>
      <c r="D41" s="8">
        <v>80</v>
      </c>
      <c r="E41" s="7">
        <v>94</v>
      </c>
      <c r="F41" s="8">
        <f t="shared" si="2"/>
        <v>82.8</v>
      </c>
      <c r="G41" s="8">
        <v>80</v>
      </c>
      <c r="H41" s="8">
        <v>90.8</v>
      </c>
      <c r="I41" s="9">
        <f t="shared" si="3"/>
        <v>85.96</v>
      </c>
    </row>
    <row r="42" spans="1:9">
      <c r="A42" s="5" t="s">
        <v>93</v>
      </c>
      <c r="B42" s="6" t="s">
        <v>92</v>
      </c>
      <c r="C42" s="7">
        <v>80</v>
      </c>
      <c r="D42" s="8">
        <v>81.1111111111111</v>
      </c>
      <c r="E42" s="7">
        <v>98</v>
      </c>
      <c r="F42" s="8">
        <f t="shared" si="2"/>
        <v>85.9555555555555</v>
      </c>
      <c r="G42" s="8">
        <v>85.7142857142857</v>
      </c>
      <c r="H42" s="8">
        <v>69</v>
      </c>
      <c r="I42" s="9">
        <f t="shared" si="3"/>
        <v>77.4053968253968</v>
      </c>
    </row>
    <row r="43" spans="1:9">
      <c r="A43" s="5" t="s">
        <v>95</v>
      </c>
      <c r="B43" s="6" t="s">
        <v>94</v>
      </c>
      <c r="C43" s="7">
        <v>89</v>
      </c>
      <c r="D43" s="8">
        <v>82.2222222222222</v>
      </c>
      <c r="E43" s="7">
        <v>97</v>
      </c>
      <c r="F43" s="8">
        <f t="shared" si="2"/>
        <v>88.0111111111111</v>
      </c>
      <c r="G43" s="8">
        <v>84.2857142857143</v>
      </c>
      <c r="H43" s="8">
        <v>81.6</v>
      </c>
      <c r="I43" s="9">
        <f t="shared" si="3"/>
        <v>83.6879365079365</v>
      </c>
    </row>
    <row r="44" spans="1:9">
      <c r="A44" s="5" t="s">
        <v>97</v>
      </c>
      <c r="B44" s="6" t="s">
        <v>96</v>
      </c>
      <c r="C44" s="7">
        <v>0</v>
      </c>
      <c r="D44" s="8">
        <v>0</v>
      </c>
      <c r="E44" s="7">
        <v>72</v>
      </c>
      <c r="F44" s="8">
        <f t="shared" si="2"/>
        <v>21.6</v>
      </c>
      <c r="G44" s="8">
        <v>0</v>
      </c>
      <c r="H44" s="10" t="s">
        <v>3977</v>
      </c>
      <c r="I44" s="9">
        <v>4</v>
      </c>
    </row>
    <row r="45" spans="1:9">
      <c r="A45" s="5" t="s">
        <v>99</v>
      </c>
      <c r="B45" s="6" t="s">
        <v>98</v>
      </c>
      <c r="C45" s="7">
        <v>64</v>
      </c>
      <c r="D45" s="8">
        <v>84.4444444444444</v>
      </c>
      <c r="E45" s="7">
        <v>99</v>
      </c>
      <c r="F45" s="8">
        <f t="shared" si="2"/>
        <v>84.7222222222222</v>
      </c>
      <c r="G45" s="8">
        <v>87.1428571428571</v>
      </c>
      <c r="H45" s="8">
        <v>53</v>
      </c>
      <c r="I45" s="9">
        <f t="shared" si="3"/>
        <v>69.5873015873016</v>
      </c>
    </row>
    <row r="46" spans="1:9">
      <c r="A46" s="5" t="s">
        <v>101</v>
      </c>
      <c r="B46" s="6" t="s">
        <v>100</v>
      </c>
      <c r="C46" s="7">
        <v>72</v>
      </c>
      <c r="D46" s="8">
        <v>77.7777777777778</v>
      </c>
      <c r="E46" s="7">
        <v>91</v>
      </c>
      <c r="F46" s="8">
        <f t="shared" si="2"/>
        <v>80.5888888888889</v>
      </c>
      <c r="G46" s="8">
        <v>85</v>
      </c>
      <c r="H46" s="8">
        <v>82.5</v>
      </c>
      <c r="I46" s="9">
        <f t="shared" si="3"/>
        <v>82.8677777777778</v>
      </c>
    </row>
    <row r="47" spans="1:9">
      <c r="A47" s="5" t="s">
        <v>103</v>
      </c>
      <c r="B47" s="6" t="s">
        <v>102</v>
      </c>
      <c r="C47" s="7">
        <v>64</v>
      </c>
      <c r="D47" s="8">
        <v>80</v>
      </c>
      <c r="E47" s="7">
        <v>82</v>
      </c>
      <c r="F47" s="8">
        <f t="shared" si="2"/>
        <v>77.4</v>
      </c>
      <c r="G47" s="8">
        <v>75.7142857142857</v>
      </c>
      <c r="H47" s="8">
        <v>65.39</v>
      </c>
      <c r="I47" s="9">
        <f t="shared" si="3"/>
        <v>70.8892857142857</v>
      </c>
    </row>
    <row r="48" spans="1:9">
      <c r="A48" s="5" t="s">
        <v>105</v>
      </c>
      <c r="B48" s="6" t="s">
        <v>104</v>
      </c>
      <c r="C48" s="7">
        <v>55</v>
      </c>
      <c r="D48" s="8">
        <v>81.1111111111111</v>
      </c>
      <c r="E48" s="7">
        <v>76</v>
      </c>
      <c r="F48" s="8">
        <f t="shared" si="2"/>
        <v>74.3555555555556</v>
      </c>
      <c r="G48" s="8">
        <v>85</v>
      </c>
      <c r="H48" s="8">
        <v>76.2</v>
      </c>
      <c r="I48" s="9">
        <f t="shared" si="3"/>
        <v>78.4711111111111</v>
      </c>
    </row>
    <row r="49" spans="1:9">
      <c r="A49" s="5" t="s">
        <v>107</v>
      </c>
      <c r="B49" s="6" t="s">
        <v>106</v>
      </c>
      <c r="C49" s="7">
        <v>81</v>
      </c>
      <c r="D49" s="8">
        <v>71.1111111111111</v>
      </c>
      <c r="E49" s="7">
        <v>94</v>
      </c>
      <c r="F49" s="8">
        <f t="shared" si="2"/>
        <v>79.9555555555555</v>
      </c>
      <c r="G49" s="8">
        <v>82.8571428571429</v>
      </c>
      <c r="H49" s="8">
        <v>76.21</v>
      </c>
      <c r="I49" s="9">
        <f t="shared" si="3"/>
        <v>78.953253968254</v>
      </c>
    </row>
    <row r="50" spans="1:9">
      <c r="A50" s="5" t="s">
        <v>109</v>
      </c>
      <c r="B50" s="6" t="s">
        <v>108</v>
      </c>
      <c r="C50" s="7">
        <v>81</v>
      </c>
      <c r="D50" s="8">
        <v>81.1111111111111</v>
      </c>
      <c r="E50" s="7">
        <v>96</v>
      </c>
      <c r="F50" s="8">
        <f t="shared" si="2"/>
        <v>85.5555555555555</v>
      </c>
      <c r="G50" s="8">
        <v>85.7142857142857</v>
      </c>
      <c r="H50" s="8">
        <v>58</v>
      </c>
      <c r="I50" s="9">
        <f t="shared" si="3"/>
        <v>71.8253968253968</v>
      </c>
    </row>
    <row r="51" spans="1:9">
      <c r="A51" s="5" t="s">
        <v>111</v>
      </c>
      <c r="B51" s="6" t="s">
        <v>110</v>
      </c>
      <c r="C51" s="7">
        <v>72</v>
      </c>
      <c r="D51" s="8">
        <v>61.1111111111111</v>
      </c>
      <c r="E51" s="7">
        <v>78</v>
      </c>
      <c r="F51" s="8">
        <f t="shared" si="2"/>
        <v>68.3555555555556</v>
      </c>
      <c r="G51" s="8">
        <v>78.3333333333333</v>
      </c>
      <c r="H51" s="8">
        <v>77.3</v>
      </c>
      <c r="I51" s="9">
        <f t="shared" si="3"/>
        <v>75.8211111111111</v>
      </c>
    </row>
    <row r="52" spans="1:9">
      <c r="A52" s="5" t="s">
        <v>113</v>
      </c>
      <c r="B52" s="6" t="s">
        <v>112</v>
      </c>
      <c r="C52" s="7">
        <v>89</v>
      </c>
      <c r="D52" s="8">
        <v>76.6666666666667</v>
      </c>
      <c r="E52" s="7">
        <v>98</v>
      </c>
      <c r="F52" s="8">
        <f t="shared" si="2"/>
        <v>85.5333333333334</v>
      </c>
      <c r="G52" s="8">
        <v>80</v>
      </c>
      <c r="H52" s="8">
        <v>67.6</v>
      </c>
      <c r="I52" s="9">
        <f t="shared" si="3"/>
        <v>74.9066666666667</v>
      </c>
    </row>
    <row r="53" spans="1:9">
      <c r="A53" s="5" t="s">
        <v>115</v>
      </c>
      <c r="B53" s="6" t="s">
        <v>114</v>
      </c>
      <c r="C53" s="7">
        <v>81</v>
      </c>
      <c r="D53" s="8">
        <v>80</v>
      </c>
      <c r="E53" s="7">
        <v>86</v>
      </c>
      <c r="F53" s="8">
        <f t="shared" si="2"/>
        <v>82</v>
      </c>
      <c r="G53" s="8">
        <v>86.4285714285714</v>
      </c>
      <c r="H53" s="8">
        <v>91.8</v>
      </c>
      <c r="I53" s="9">
        <f t="shared" si="3"/>
        <v>88.2285714285714</v>
      </c>
    </row>
  </sheetData>
  <mergeCells count="7">
    <mergeCell ref="A1:I1"/>
    <mergeCell ref="C2:F2"/>
    <mergeCell ref="A2:A3"/>
    <mergeCell ref="B2:B3"/>
    <mergeCell ref="G2:G3"/>
    <mergeCell ref="H2:H3"/>
    <mergeCell ref="I2:I3"/>
  </mergeCells>
  <printOptions horizontalCentered="1" verticalCentered="1"/>
  <pageMargins left="0.751388888888889" right="0.751388888888889" top="1" bottom="1" header="0.5" footer="0.5"/>
  <pageSetup paperSize="9" scale="92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综合成绩</vt:lpstr>
      <vt:lpstr>综合成绩（各权重项百分制得分）</vt:lpstr>
      <vt:lpstr>学生学习进度详情</vt:lpstr>
      <vt:lpstr>章节学习次数</vt:lpstr>
      <vt:lpstr>任务点完成详情</vt:lpstr>
      <vt:lpstr>音视频观看详情</vt:lpstr>
      <vt:lpstr>讨论参与详情</vt:lpstr>
      <vt:lpstr>作业统计</vt:lpstr>
      <vt:lpstr>作业</vt:lpstr>
      <vt:lpstr>考试统计</vt:lpstr>
      <vt:lpstr>章节测验统计</vt:lpstr>
      <vt:lpstr>线下成绩统计</vt:lpstr>
      <vt:lpstr>班级教学内容详情</vt:lpstr>
      <vt:lpstr>大作业</vt:lpstr>
      <vt:lpstr>实验成绩</vt:lpstr>
      <vt:lpstr>课堂表现</vt:lpstr>
      <vt:lpstr>课外学习</vt:lpstr>
      <vt:lpstr>期间测验</vt:lpstr>
      <vt:lpstr>汇总成绩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刘东良</cp:lastModifiedBy>
  <dcterms:created xsi:type="dcterms:W3CDTF">2026-01-20T17:17:00Z</dcterms:created>
  <dcterms:modified xsi:type="dcterms:W3CDTF">2026-01-24T17:31:41Z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10F32E4400F846779E11157884869BA6_13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