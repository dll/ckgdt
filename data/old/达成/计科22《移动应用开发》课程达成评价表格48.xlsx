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FlutterProjects\knowledge_graph_app\data\达成\"/>
    </mc:Choice>
  </mc:AlternateContent>
  <xr:revisionPtr revIDLastSave="0" documentId="13_ncr:1_{6AA65415-0115-4DAC-B21E-384672F96F1D}" xr6:coauthVersionLast="47" xr6:coauthVersionMax="47" xr10:uidLastSave="{00000000-0000-0000-0000-000000000000}"/>
  <bookViews>
    <workbookView xWindow="-108" yWindow="-108" windowWidth="23256" windowHeight="12456" tabRatio="807" firstSheet="2" activeTab="9" xr2:uid="{00000000-000D-0000-FFFF-FFFF00000000}"/>
  </bookViews>
  <sheets>
    <sheet name="期末成绩" sheetId="11" r:id="rId1"/>
    <sheet name="实验成绩" sheetId="10" r:id="rId2"/>
    <sheet name="平时成绩" sheetId="12" r:id="rId3"/>
    <sheet name="学生个体课程目标达成度" sheetId="9" r:id="rId4"/>
    <sheet name="课程目标点达成度" sheetId="5" r:id="rId5"/>
    <sheet name="课程目标条形图" sheetId="13" r:id="rId6"/>
    <sheet name="目标1散点趋势图" sheetId="14" r:id="rId7"/>
    <sheet name="目标2散点趋势图" sheetId="18" r:id="rId8"/>
    <sheet name="目标3散点趋势图" sheetId="22" r:id="rId9"/>
    <sheet name="目标4散点趋势图" sheetId="2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5" l="1"/>
  <c r="J17" i="5"/>
  <c r="H17" i="5"/>
  <c r="J14" i="5"/>
  <c r="H14" i="5"/>
  <c r="J11" i="5"/>
  <c r="H11" i="5"/>
  <c r="J8" i="5"/>
  <c r="H8" i="5"/>
  <c r="O56" i="9"/>
  <c r="K56" i="9"/>
  <c r="G56" i="9"/>
  <c r="C56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R54" i="9"/>
  <c r="N54" i="9"/>
  <c r="J54" i="9"/>
  <c r="F54" i="9"/>
  <c r="R53" i="9"/>
  <c r="N53" i="9"/>
  <c r="J53" i="9"/>
  <c r="F53" i="9"/>
  <c r="R52" i="9"/>
  <c r="N52" i="9"/>
  <c r="J52" i="9"/>
  <c r="F52" i="9"/>
  <c r="R51" i="9"/>
  <c r="N51" i="9"/>
  <c r="J51" i="9"/>
  <c r="F51" i="9"/>
  <c r="R50" i="9"/>
  <c r="N50" i="9"/>
  <c r="J50" i="9"/>
  <c r="F50" i="9"/>
  <c r="R49" i="9"/>
  <c r="N49" i="9"/>
  <c r="J49" i="9"/>
  <c r="F49" i="9"/>
  <c r="R48" i="9"/>
  <c r="N48" i="9"/>
  <c r="J48" i="9"/>
  <c r="F48" i="9"/>
  <c r="R47" i="9"/>
  <c r="N47" i="9"/>
  <c r="J47" i="9"/>
  <c r="F47" i="9"/>
  <c r="R46" i="9"/>
  <c r="N46" i="9"/>
  <c r="J46" i="9"/>
  <c r="F46" i="9"/>
  <c r="R45" i="9"/>
  <c r="N45" i="9"/>
  <c r="J45" i="9"/>
  <c r="F45" i="9"/>
  <c r="R44" i="9"/>
  <c r="N44" i="9"/>
  <c r="J44" i="9"/>
  <c r="F44" i="9"/>
  <c r="R43" i="9"/>
  <c r="N43" i="9"/>
  <c r="J43" i="9"/>
  <c r="F43" i="9"/>
  <c r="R42" i="9"/>
  <c r="N42" i="9"/>
  <c r="J42" i="9"/>
  <c r="F42" i="9"/>
  <c r="R41" i="9"/>
  <c r="N41" i="9"/>
  <c r="J41" i="9"/>
  <c r="F41" i="9"/>
  <c r="R40" i="9"/>
  <c r="N40" i="9"/>
  <c r="J40" i="9"/>
  <c r="F40" i="9"/>
  <c r="R39" i="9"/>
  <c r="N39" i="9"/>
  <c r="J39" i="9"/>
  <c r="F39" i="9"/>
  <c r="R38" i="9"/>
  <c r="N38" i="9"/>
  <c r="J38" i="9"/>
  <c r="F38" i="9"/>
  <c r="R37" i="9"/>
  <c r="N37" i="9"/>
  <c r="J37" i="9"/>
  <c r="F37" i="9"/>
  <c r="R36" i="9"/>
  <c r="N36" i="9"/>
  <c r="J36" i="9"/>
  <c r="F36" i="9"/>
  <c r="R35" i="9"/>
  <c r="N35" i="9"/>
  <c r="J35" i="9"/>
  <c r="F35" i="9"/>
  <c r="R34" i="9"/>
  <c r="N34" i="9"/>
  <c r="J34" i="9"/>
  <c r="F34" i="9"/>
  <c r="R33" i="9"/>
  <c r="N33" i="9"/>
  <c r="J33" i="9"/>
  <c r="F33" i="9"/>
  <c r="R32" i="9"/>
  <c r="N32" i="9"/>
  <c r="J32" i="9"/>
  <c r="F32" i="9"/>
  <c r="R31" i="9"/>
  <c r="N31" i="9"/>
  <c r="J31" i="9"/>
  <c r="F31" i="9"/>
  <c r="R30" i="9"/>
  <c r="N30" i="9"/>
  <c r="J30" i="9"/>
  <c r="F30" i="9"/>
  <c r="R29" i="9"/>
  <c r="N29" i="9"/>
  <c r="J29" i="9"/>
  <c r="F29" i="9"/>
  <c r="R28" i="9"/>
  <c r="N28" i="9"/>
  <c r="J28" i="9"/>
  <c r="F28" i="9"/>
  <c r="R27" i="9"/>
  <c r="N27" i="9"/>
  <c r="J27" i="9"/>
  <c r="F27" i="9"/>
  <c r="R26" i="9"/>
  <c r="N26" i="9"/>
  <c r="J26" i="9"/>
  <c r="F26" i="9"/>
  <c r="R25" i="9"/>
  <c r="N25" i="9"/>
  <c r="J25" i="9"/>
  <c r="F25" i="9"/>
  <c r="R24" i="9"/>
  <c r="N24" i="9"/>
  <c r="J24" i="9"/>
  <c r="F24" i="9"/>
  <c r="R23" i="9"/>
  <c r="N23" i="9"/>
  <c r="J23" i="9"/>
  <c r="F23" i="9"/>
  <c r="R22" i="9"/>
  <c r="N22" i="9"/>
  <c r="J22" i="9"/>
  <c r="F22" i="9"/>
  <c r="R21" i="9"/>
  <c r="N21" i="9"/>
  <c r="J21" i="9"/>
  <c r="F21" i="9"/>
  <c r="R20" i="9"/>
  <c r="N20" i="9"/>
  <c r="J20" i="9"/>
  <c r="F20" i="9"/>
  <c r="R19" i="9"/>
  <c r="N19" i="9"/>
  <c r="J19" i="9"/>
  <c r="F19" i="9"/>
  <c r="R18" i="9"/>
  <c r="N18" i="9"/>
  <c r="J18" i="9"/>
  <c r="F18" i="9"/>
  <c r="R17" i="9"/>
  <c r="N17" i="9"/>
  <c r="J17" i="9"/>
  <c r="F17" i="9"/>
  <c r="R16" i="9"/>
  <c r="N16" i="9"/>
  <c r="J16" i="9"/>
  <c r="F16" i="9"/>
  <c r="R15" i="9"/>
  <c r="N15" i="9"/>
  <c r="J15" i="9"/>
  <c r="F15" i="9"/>
  <c r="R14" i="9"/>
  <c r="N14" i="9"/>
  <c r="J14" i="9"/>
  <c r="F14" i="9"/>
  <c r="R13" i="9"/>
  <c r="N13" i="9"/>
  <c r="J13" i="9"/>
  <c r="F13" i="9"/>
  <c r="R12" i="9"/>
  <c r="N12" i="9"/>
  <c r="J12" i="9"/>
  <c r="F12" i="9"/>
  <c r="R11" i="9"/>
  <c r="N11" i="9"/>
  <c r="J11" i="9"/>
  <c r="F11" i="9"/>
  <c r="R10" i="9"/>
  <c r="N10" i="9"/>
  <c r="J10" i="9"/>
  <c r="F10" i="9"/>
  <c r="R9" i="9"/>
  <c r="N9" i="9"/>
  <c r="J9" i="9"/>
  <c r="F9" i="9"/>
  <c r="R8" i="9"/>
  <c r="N8" i="9"/>
  <c r="J8" i="9"/>
  <c r="F8" i="9"/>
  <c r="R7" i="9"/>
  <c r="N7" i="9"/>
  <c r="J7" i="9"/>
  <c r="F7" i="9"/>
  <c r="AM55" i="12"/>
  <c r="AL55" i="12"/>
  <c r="AA55" i="12"/>
  <c r="O55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AM53" i="12"/>
  <c r="AL53" i="12"/>
  <c r="AK53" i="12"/>
  <c r="AA53" i="12"/>
  <c r="Z53" i="12"/>
  <c r="O53" i="12"/>
  <c r="N53" i="12"/>
  <c r="M53" i="12"/>
  <c r="AM52" i="12"/>
  <c r="AL52" i="12"/>
  <c r="AK52" i="12"/>
  <c r="AA52" i="12"/>
  <c r="Z52" i="12"/>
  <c r="O52" i="12"/>
  <c r="N52" i="12"/>
  <c r="M52" i="12"/>
  <c r="AM51" i="12"/>
  <c r="AL51" i="12"/>
  <c r="AK51" i="12"/>
  <c r="AA51" i="12"/>
  <c r="Z51" i="12"/>
  <c r="O51" i="12"/>
  <c r="N51" i="12"/>
  <c r="M51" i="12"/>
  <c r="AM50" i="12"/>
  <c r="AL50" i="12"/>
  <c r="AK50" i="12"/>
  <c r="AA50" i="12"/>
  <c r="Z50" i="12"/>
  <c r="O50" i="12"/>
  <c r="N50" i="12"/>
  <c r="M50" i="12"/>
  <c r="AM49" i="12"/>
  <c r="AL49" i="12"/>
  <c r="AK49" i="12"/>
  <c r="AA49" i="12"/>
  <c r="Z49" i="12"/>
  <c r="O49" i="12"/>
  <c r="N49" i="12"/>
  <c r="M49" i="12"/>
  <c r="AM48" i="12"/>
  <c r="AL48" i="12"/>
  <c r="AK48" i="12"/>
  <c r="AA48" i="12"/>
  <c r="Z48" i="12"/>
  <c r="O48" i="12"/>
  <c r="N48" i="12"/>
  <c r="M48" i="12"/>
  <c r="AM47" i="12"/>
  <c r="AL47" i="12"/>
  <c r="AK47" i="12"/>
  <c r="AA47" i="12"/>
  <c r="Z47" i="12"/>
  <c r="O47" i="12"/>
  <c r="N47" i="12"/>
  <c r="M47" i="12"/>
  <c r="AM46" i="12"/>
  <c r="AL46" i="12"/>
  <c r="AK46" i="12"/>
  <c r="AA46" i="12"/>
  <c r="Z46" i="12"/>
  <c r="O46" i="12"/>
  <c r="N46" i="12"/>
  <c r="M46" i="12"/>
  <c r="AM45" i="12"/>
  <c r="AL45" i="12"/>
  <c r="AK45" i="12"/>
  <c r="AA45" i="12"/>
  <c r="Z45" i="12"/>
  <c r="O45" i="12"/>
  <c r="N45" i="12"/>
  <c r="M45" i="12"/>
  <c r="AM44" i="12"/>
  <c r="AL44" i="12"/>
  <c r="AK44" i="12"/>
  <c r="AA44" i="12"/>
  <c r="Z44" i="12"/>
  <c r="O44" i="12"/>
  <c r="N44" i="12"/>
  <c r="M44" i="12"/>
  <c r="AM43" i="12"/>
  <c r="AL43" i="12"/>
  <c r="AK43" i="12"/>
  <c r="AA43" i="12"/>
  <c r="Z43" i="12"/>
  <c r="O43" i="12"/>
  <c r="N43" i="12"/>
  <c r="M43" i="12"/>
  <c r="AM42" i="12"/>
  <c r="AL42" i="12"/>
  <c r="AK42" i="12"/>
  <c r="AA42" i="12"/>
  <c r="Z42" i="12"/>
  <c r="O42" i="12"/>
  <c r="N42" i="12"/>
  <c r="M42" i="12"/>
  <c r="AM41" i="12"/>
  <c r="AL41" i="12"/>
  <c r="AK41" i="12"/>
  <c r="AA41" i="12"/>
  <c r="Z41" i="12"/>
  <c r="O41" i="12"/>
  <c r="N41" i="12"/>
  <c r="M41" i="12"/>
  <c r="AM40" i="12"/>
  <c r="AL40" i="12"/>
  <c r="AK40" i="12"/>
  <c r="AA40" i="12"/>
  <c r="Z40" i="12"/>
  <c r="O40" i="12"/>
  <c r="N40" i="12"/>
  <c r="M40" i="12"/>
  <c r="AM39" i="12"/>
  <c r="AL39" i="12"/>
  <c r="AK39" i="12"/>
  <c r="AA39" i="12"/>
  <c r="Z39" i="12"/>
  <c r="O39" i="12"/>
  <c r="N39" i="12"/>
  <c r="M39" i="12"/>
  <c r="AM38" i="12"/>
  <c r="AL38" i="12"/>
  <c r="AK38" i="12"/>
  <c r="AA38" i="12"/>
  <c r="Z38" i="12"/>
  <c r="O38" i="12"/>
  <c r="N38" i="12"/>
  <c r="M38" i="12"/>
  <c r="AM37" i="12"/>
  <c r="AL37" i="12"/>
  <c r="AK37" i="12"/>
  <c r="AA37" i="12"/>
  <c r="Z37" i="12"/>
  <c r="O37" i="12"/>
  <c r="N37" i="12"/>
  <c r="M37" i="12"/>
  <c r="AM36" i="12"/>
  <c r="AL36" i="12"/>
  <c r="AK36" i="12"/>
  <c r="AA36" i="12"/>
  <c r="Z36" i="12"/>
  <c r="O36" i="12"/>
  <c r="N36" i="12"/>
  <c r="M36" i="12"/>
  <c r="AM35" i="12"/>
  <c r="AL35" i="12"/>
  <c r="AK35" i="12"/>
  <c r="AA35" i="12"/>
  <c r="Z35" i="12"/>
  <c r="O35" i="12"/>
  <c r="N35" i="12"/>
  <c r="M35" i="12"/>
  <c r="AM34" i="12"/>
  <c r="AL34" i="12"/>
  <c r="AK34" i="12"/>
  <c r="AA34" i="12"/>
  <c r="Z34" i="12"/>
  <c r="O34" i="12"/>
  <c r="N34" i="12"/>
  <c r="M34" i="12"/>
  <c r="AM33" i="12"/>
  <c r="AL33" i="12"/>
  <c r="AK33" i="12"/>
  <c r="AA33" i="12"/>
  <c r="Z33" i="12"/>
  <c r="O33" i="12"/>
  <c r="N33" i="12"/>
  <c r="M33" i="12"/>
  <c r="AM32" i="12"/>
  <c r="AL32" i="12"/>
  <c r="AK32" i="12"/>
  <c r="AA32" i="12"/>
  <c r="Z32" i="12"/>
  <c r="O32" i="12"/>
  <c r="N32" i="12"/>
  <c r="M32" i="12"/>
  <c r="AM31" i="12"/>
  <c r="AL31" i="12"/>
  <c r="AK31" i="12"/>
  <c r="AA31" i="12"/>
  <c r="Z31" i="12"/>
  <c r="O31" i="12"/>
  <c r="N31" i="12"/>
  <c r="M31" i="12"/>
  <c r="AM30" i="12"/>
  <c r="AL30" i="12"/>
  <c r="AK30" i="12"/>
  <c r="AA30" i="12"/>
  <c r="Z30" i="12"/>
  <c r="O30" i="12"/>
  <c r="N30" i="12"/>
  <c r="M30" i="12"/>
  <c r="AM29" i="12"/>
  <c r="AL29" i="12"/>
  <c r="AK29" i="12"/>
  <c r="AA29" i="12"/>
  <c r="Z29" i="12"/>
  <c r="O29" i="12"/>
  <c r="N29" i="12"/>
  <c r="M29" i="12"/>
  <c r="AM28" i="12"/>
  <c r="AL28" i="12"/>
  <c r="AK28" i="12"/>
  <c r="AA28" i="12"/>
  <c r="Z28" i="12"/>
  <c r="O28" i="12"/>
  <c r="N28" i="12"/>
  <c r="M28" i="12"/>
  <c r="AM27" i="12"/>
  <c r="AL27" i="12"/>
  <c r="AK27" i="12"/>
  <c r="AA27" i="12"/>
  <c r="Z27" i="12"/>
  <c r="O27" i="12"/>
  <c r="N27" i="12"/>
  <c r="M27" i="12"/>
  <c r="AM26" i="12"/>
  <c r="AL26" i="12"/>
  <c r="AK26" i="12"/>
  <c r="AA26" i="12"/>
  <c r="Z26" i="12"/>
  <c r="O26" i="12"/>
  <c r="N26" i="12"/>
  <c r="M26" i="12"/>
  <c r="AM25" i="12"/>
  <c r="AL25" i="12"/>
  <c r="AK25" i="12"/>
  <c r="AA25" i="12"/>
  <c r="Z25" i="12"/>
  <c r="O25" i="12"/>
  <c r="N25" i="12"/>
  <c r="M25" i="12"/>
  <c r="AM24" i="12"/>
  <c r="AL24" i="12"/>
  <c r="AK24" i="12"/>
  <c r="AA24" i="12"/>
  <c r="Z24" i="12"/>
  <c r="O24" i="12"/>
  <c r="N24" i="12"/>
  <c r="M24" i="12"/>
  <c r="AM23" i="12"/>
  <c r="AL23" i="12"/>
  <c r="AK23" i="12"/>
  <c r="AA23" i="12"/>
  <c r="Z23" i="12"/>
  <c r="O23" i="12"/>
  <c r="N23" i="12"/>
  <c r="M23" i="12"/>
  <c r="AM22" i="12"/>
  <c r="AL22" i="12"/>
  <c r="AK22" i="12"/>
  <c r="AA22" i="12"/>
  <c r="Z22" i="12"/>
  <c r="O22" i="12"/>
  <c r="N22" i="12"/>
  <c r="M22" i="12"/>
  <c r="AM21" i="12"/>
  <c r="AL21" i="12"/>
  <c r="AK21" i="12"/>
  <c r="AA21" i="12"/>
  <c r="Z21" i="12"/>
  <c r="O21" i="12"/>
  <c r="N21" i="12"/>
  <c r="M21" i="12"/>
  <c r="AM20" i="12"/>
  <c r="AL20" i="12"/>
  <c r="AK20" i="12"/>
  <c r="AA20" i="12"/>
  <c r="Z20" i="12"/>
  <c r="O20" i="12"/>
  <c r="N20" i="12"/>
  <c r="M20" i="12"/>
  <c r="AM19" i="12"/>
  <c r="AL19" i="12"/>
  <c r="AK19" i="12"/>
  <c r="AA19" i="12"/>
  <c r="Z19" i="12"/>
  <c r="O19" i="12"/>
  <c r="N19" i="12"/>
  <c r="M19" i="12"/>
  <c r="AM18" i="12"/>
  <c r="AL18" i="12"/>
  <c r="AK18" i="12"/>
  <c r="AA18" i="12"/>
  <c r="Z18" i="12"/>
  <c r="O18" i="12"/>
  <c r="N18" i="12"/>
  <c r="M18" i="12"/>
  <c r="AM17" i="12"/>
  <c r="AL17" i="12"/>
  <c r="AK17" i="12"/>
  <c r="AA17" i="12"/>
  <c r="Z17" i="12"/>
  <c r="O17" i="12"/>
  <c r="N17" i="12"/>
  <c r="M17" i="12"/>
  <c r="AM16" i="12"/>
  <c r="AL16" i="12"/>
  <c r="AK16" i="12"/>
  <c r="AA16" i="12"/>
  <c r="Z16" i="12"/>
  <c r="O16" i="12"/>
  <c r="N16" i="12"/>
  <c r="M16" i="12"/>
  <c r="AM15" i="12"/>
  <c r="AL15" i="12"/>
  <c r="AK15" i="12"/>
  <c r="AA15" i="12"/>
  <c r="Z15" i="12"/>
  <c r="O15" i="12"/>
  <c r="N15" i="12"/>
  <c r="M15" i="12"/>
  <c r="AM14" i="12"/>
  <c r="AL14" i="12"/>
  <c r="AK14" i="12"/>
  <c r="AA14" i="12"/>
  <c r="Z14" i="12"/>
  <c r="O14" i="12"/>
  <c r="N14" i="12"/>
  <c r="M14" i="12"/>
  <c r="AM13" i="12"/>
  <c r="AL13" i="12"/>
  <c r="AK13" i="12"/>
  <c r="AA13" i="12"/>
  <c r="Z13" i="12"/>
  <c r="O13" i="12"/>
  <c r="N13" i="12"/>
  <c r="M13" i="12"/>
  <c r="AM12" i="12"/>
  <c r="AL12" i="12"/>
  <c r="AK12" i="12"/>
  <c r="AA12" i="12"/>
  <c r="Z12" i="12"/>
  <c r="O12" i="12"/>
  <c r="N12" i="12"/>
  <c r="M12" i="12"/>
  <c r="AM11" i="12"/>
  <c r="AL11" i="12"/>
  <c r="AK11" i="12"/>
  <c r="AA11" i="12"/>
  <c r="Z11" i="12"/>
  <c r="O11" i="12"/>
  <c r="N11" i="12"/>
  <c r="M11" i="12"/>
  <c r="AM10" i="12"/>
  <c r="AL10" i="12"/>
  <c r="AK10" i="12"/>
  <c r="AA10" i="12"/>
  <c r="Z10" i="12"/>
  <c r="O10" i="12"/>
  <c r="N10" i="12"/>
  <c r="M10" i="12"/>
  <c r="AM9" i="12"/>
  <c r="AL9" i="12"/>
  <c r="AK9" i="12"/>
  <c r="AA9" i="12"/>
  <c r="Z9" i="12"/>
  <c r="O9" i="12"/>
  <c r="N9" i="12"/>
  <c r="M9" i="12"/>
  <c r="AM8" i="12"/>
  <c r="AL8" i="12"/>
  <c r="AK8" i="12"/>
  <c r="AA8" i="12"/>
  <c r="Z8" i="12"/>
  <c r="O8" i="12"/>
  <c r="N8" i="12"/>
  <c r="M8" i="12"/>
  <c r="AM7" i="12"/>
  <c r="AL7" i="12"/>
  <c r="AK7" i="12"/>
  <c r="AA7" i="12"/>
  <c r="Z7" i="12"/>
  <c r="O7" i="12"/>
  <c r="N7" i="12"/>
  <c r="M7" i="12"/>
  <c r="AM6" i="12"/>
  <c r="AL6" i="12"/>
  <c r="AK6" i="12"/>
  <c r="AA6" i="12"/>
  <c r="Z6" i="12"/>
  <c r="O6" i="12"/>
  <c r="N6" i="12"/>
  <c r="M6" i="12"/>
  <c r="N55" i="10"/>
  <c r="M55" i="10"/>
  <c r="K55" i="10"/>
  <c r="H55" i="10"/>
  <c r="E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N53" i="10"/>
  <c r="M53" i="10"/>
  <c r="K53" i="10"/>
  <c r="H53" i="10"/>
  <c r="E53" i="10"/>
  <c r="N52" i="10"/>
  <c r="M52" i="10"/>
  <c r="K52" i="10"/>
  <c r="H52" i="10"/>
  <c r="E52" i="10"/>
  <c r="N51" i="10"/>
  <c r="M51" i="10"/>
  <c r="K51" i="10"/>
  <c r="H51" i="10"/>
  <c r="E51" i="10"/>
  <c r="N50" i="10"/>
  <c r="M50" i="10"/>
  <c r="K50" i="10"/>
  <c r="H50" i="10"/>
  <c r="E50" i="10"/>
  <c r="N49" i="10"/>
  <c r="M49" i="10"/>
  <c r="K49" i="10"/>
  <c r="H49" i="10"/>
  <c r="E49" i="10"/>
  <c r="N48" i="10"/>
  <c r="M48" i="10"/>
  <c r="K48" i="10"/>
  <c r="H48" i="10"/>
  <c r="E48" i="10"/>
  <c r="N47" i="10"/>
  <c r="M47" i="10"/>
  <c r="K47" i="10"/>
  <c r="H47" i="10"/>
  <c r="E47" i="10"/>
  <c r="N46" i="10"/>
  <c r="M46" i="10"/>
  <c r="K46" i="10"/>
  <c r="H46" i="10"/>
  <c r="E46" i="10"/>
  <c r="N45" i="10"/>
  <c r="M45" i="10"/>
  <c r="K45" i="10"/>
  <c r="H45" i="10"/>
  <c r="E45" i="10"/>
  <c r="N44" i="10"/>
  <c r="M44" i="10"/>
  <c r="K44" i="10"/>
  <c r="H44" i="10"/>
  <c r="E44" i="10"/>
  <c r="N43" i="10"/>
  <c r="M43" i="10"/>
  <c r="K43" i="10"/>
  <c r="H43" i="10"/>
  <c r="E43" i="10"/>
  <c r="N42" i="10"/>
  <c r="M42" i="10"/>
  <c r="K42" i="10"/>
  <c r="H42" i="10"/>
  <c r="E42" i="10"/>
  <c r="N41" i="10"/>
  <c r="M41" i="10"/>
  <c r="K41" i="10"/>
  <c r="H41" i="10"/>
  <c r="E41" i="10"/>
  <c r="N40" i="10"/>
  <c r="M40" i="10"/>
  <c r="K40" i="10"/>
  <c r="H40" i="10"/>
  <c r="E40" i="10"/>
  <c r="N39" i="10"/>
  <c r="M39" i="10"/>
  <c r="K39" i="10"/>
  <c r="H39" i="10"/>
  <c r="E39" i="10"/>
  <c r="N38" i="10"/>
  <c r="M38" i="10"/>
  <c r="K38" i="10"/>
  <c r="H38" i="10"/>
  <c r="E38" i="10"/>
  <c r="N37" i="10"/>
  <c r="M37" i="10"/>
  <c r="K37" i="10"/>
  <c r="H37" i="10"/>
  <c r="E37" i="10"/>
  <c r="N36" i="10"/>
  <c r="M36" i="10"/>
  <c r="K36" i="10"/>
  <c r="H36" i="10"/>
  <c r="E36" i="10"/>
  <c r="N35" i="10"/>
  <c r="M35" i="10"/>
  <c r="K35" i="10"/>
  <c r="H35" i="10"/>
  <c r="E35" i="10"/>
  <c r="N34" i="10"/>
  <c r="M34" i="10"/>
  <c r="K34" i="10"/>
  <c r="H34" i="10"/>
  <c r="E34" i="10"/>
  <c r="N33" i="10"/>
  <c r="M33" i="10"/>
  <c r="K33" i="10"/>
  <c r="H33" i="10"/>
  <c r="E33" i="10"/>
  <c r="N32" i="10"/>
  <c r="M32" i="10"/>
  <c r="K32" i="10"/>
  <c r="H32" i="10"/>
  <c r="E32" i="10"/>
  <c r="N31" i="10"/>
  <c r="M31" i="10"/>
  <c r="K31" i="10"/>
  <c r="H31" i="10"/>
  <c r="E31" i="10"/>
  <c r="N30" i="10"/>
  <c r="M30" i="10"/>
  <c r="K30" i="10"/>
  <c r="H30" i="10"/>
  <c r="E30" i="10"/>
  <c r="N29" i="10"/>
  <c r="M29" i="10"/>
  <c r="K29" i="10"/>
  <c r="H29" i="10"/>
  <c r="E29" i="10"/>
  <c r="N28" i="10"/>
  <c r="M28" i="10"/>
  <c r="K28" i="10"/>
  <c r="H28" i="10"/>
  <c r="E28" i="10"/>
  <c r="N27" i="10"/>
  <c r="M27" i="10"/>
  <c r="K27" i="10"/>
  <c r="H27" i="10"/>
  <c r="E27" i="10"/>
  <c r="N26" i="10"/>
  <c r="M26" i="10"/>
  <c r="K26" i="10"/>
  <c r="H26" i="10"/>
  <c r="E26" i="10"/>
  <c r="N25" i="10"/>
  <c r="M25" i="10"/>
  <c r="K25" i="10"/>
  <c r="H25" i="10"/>
  <c r="E25" i="10"/>
  <c r="N24" i="10"/>
  <c r="M24" i="10"/>
  <c r="K24" i="10"/>
  <c r="H24" i="10"/>
  <c r="E24" i="10"/>
  <c r="N23" i="10"/>
  <c r="M23" i="10"/>
  <c r="K23" i="10"/>
  <c r="H23" i="10"/>
  <c r="E23" i="10"/>
  <c r="N22" i="10"/>
  <c r="M22" i="10"/>
  <c r="K22" i="10"/>
  <c r="H22" i="10"/>
  <c r="E22" i="10"/>
  <c r="N21" i="10"/>
  <c r="M21" i="10"/>
  <c r="K21" i="10"/>
  <c r="H21" i="10"/>
  <c r="E21" i="10"/>
  <c r="N20" i="10"/>
  <c r="M20" i="10"/>
  <c r="K20" i="10"/>
  <c r="H20" i="10"/>
  <c r="E20" i="10"/>
  <c r="N19" i="10"/>
  <c r="M19" i="10"/>
  <c r="K19" i="10"/>
  <c r="H19" i="10"/>
  <c r="E19" i="10"/>
  <c r="N18" i="10"/>
  <c r="M18" i="10"/>
  <c r="K18" i="10"/>
  <c r="H18" i="10"/>
  <c r="E18" i="10"/>
  <c r="N17" i="10"/>
  <c r="M17" i="10"/>
  <c r="K17" i="10"/>
  <c r="H17" i="10"/>
  <c r="E17" i="10"/>
  <c r="N16" i="10"/>
  <c r="M16" i="10"/>
  <c r="K16" i="10"/>
  <c r="H16" i="10"/>
  <c r="E16" i="10"/>
  <c r="N15" i="10"/>
  <c r="M15" i="10"/>
  <c r="K15" i="10"/>
  <c r="H15" i="10"/>
  <c r="E15" i="10"/>
  <c r="N14" i="10"/>
  <c r="M14" i="10"/>
  <c r="K14" i="10"/>
  <c r="H14" i="10"/>
  <c r="E14" i="10"/>
  <c r="N13" i="10"/>
  <c r="M13" i="10"/>
  <c r="K13" i="10"/>
  <c r="H13" i="10"/>
  <c r="E13" i="10"/>
  <c r="N12" i="10"/>
  <c r="M12" i="10"/>
  <c r="K12" i="10"/>
  <c r="H12" i="10"/>
  <c r="E12" i="10"/>
  <c r="N11" i="10"/>
  <c r="M11" i="10"/>
  <c r="K11" i="10"/>
  <c r="H11" i="10"/>
  <c r="E11" i="10"/>
  <c r="N10" i="10"/>
  <c r="M10" i="10"/>
  <c r="K10" i="10"/>
  <c r="H10" i="10"/>
  <c r="E10" i="10"/>
  <c r="N9" i="10"/>
  <c r="M9" i="10"/>
  <c r="K9" i="10"/>
  <c r="H9" i="10"/>
  <c r="E9" i="10"/>
  <c r="N8" i="10"/>
  <c r="M8" i="10"/>
  <c r="K8" i="10"/>
  <c r="H8" i="10"/>
  <c r="E8" i="10"/>
  <c r="N7" i="10"/>
  <c r="M7" i="10"/>
  <c r="K7" i="10"/>
  <c r="H7" i="10"/>
  <c r="E7" i="10"/>
  <c r="N6" i="10"/>
  <c r="M6" i="10"/>
  <c r="K6" i="10"/>
  <c r="H6" i="10"/>
  <c r="E6" i="10"/>
  <c r="K55" i="11"/>
  <c r="J55" i="11"/>
  <c r="H55" i="11"/>
  <c r="F55" i="11"/>
  <c r="D55" i="11"/>
  <c r="K54" i="11"/>
  <c r="J54" i="11"/>
  <c r="I54" i="11"/>
  <c r="H54" i="11"/>
  <c r="G54" i="11"/>
  <c r="F54" i="11"/>
  <c r="E54" i="11"/>
  <c r="D54" i="11"/>
  <c r="C54" i="11"/>
  <c r="K53" i="11"/>
  <c r="J53" i="11"/>
  <c r="H53" i="11"/>
  <c r="F53" i="11"/>
  <c r="D53" i="11"/>
  <c r="K52" i="11"/>
  <c r="J52" i="11"/>
  <c r="H52" i="11"/>
  <c r="F52" i="11"/>
  <c r="D52" i="11"/>
  <c r="K51" i="11"/>
  <c r="J51" i="11"/>
  <c r="H51" i="11"/>
  <c r="F51" i="11"/>
  <c r="D51" i="11"/>
  <c r="K50" i="11"/>
  <c r="J50" i="11"/>
  <c r="H50" i="11"/>
  <c r="F50" i="11"/>
  <c r="D50" i="11"/>
  <c r="K49" i="11"/>
  <c r="J49" i="11"/>
  <c r="H49" i="11"/>
  <c r="F49" i="11"/>
  <c r="D49" i="11"/>
  <c r="K48" i="11"/>
  <c r="J48" i="11"/>
  <c r="H48" i="11"/>
  <c r="F48" i="11"/>
  <c r="D48" i="11"/>
  <c r="K47" i="11"/>
  <c r="J47" i="11"/>
  <c r="H47" i="11"/>
  <c r="F47" i="11"/>
  <c r="D47" i="11"/>
  <c r="K46" i="11"/>
  <c r="J46" i="11"/>
  <c r="H46" i="11"/>
  <c r="F46" i="11"/>
  <c r="D46" i="11"/>
  <c r="K45" i="11"/>
  <c r="J45" i="11"/>
  <c r="H45" i="11"/>
  <c r="F45" i="11"/>
  <c r="D45" i="11"/>
  <c r="K44" i="11"/>
  <c r="J44" i="11"/>
  <c r="H44" i="11"/>
  <c r="F44" i="11"/>
  <c r="D44" i="11"/>
  <c r="K43" i="11"/>
  <c r="J43" i="11"/>
  <c r="H43" i="11"/>
  <c r="F43" i="11"/>
  <c r="D43" i="11"/>
  <c r="K42" i="11"/>
  <c r="J42" i="11"/>
  <c r="H42" i="11"/>
  <c r="F42" i="11"/>
  <c r="D42" i="11"/>
  <c r="K41" i="11"/>
  <c r="J41" i="11"/>
  <c r="H41" i="11"/>
  <c r="F41" i="11"/>
  <c r="D41" i="11"/>
  <c r="K40" i="11"/>
  <c r="J40" i="11"/>
  <c r="H40" i="11"/>
  <c r="F40" i="11"/>
  <c r="D40" i="11"/>
  <c r="K39" i="11"/>
  <c r="J39" i="11"/>
  <c r="H39" i="11"/>
  <c r="F39" i="11"/>
  <c r="D39" i="11"/>
  <c r="K38" i="11"/>
  <c r="J38" i="11"/>
  <c r="H38" i="11"/>
  <c r="F38" i="11"/>
  <c r="D38" i="11"/>
  <c r="K37" i="11"/>
  <c r="J37" i="11"/>
  <c r="H37" i="11"/>
  <c r="F37" i="11"/>
  <c r="D37" i="11"/>
  <c r="K36" i="11"/>
  <c r="J36" i="11"/>
  <c r="H36" i="11"/>
  <c r="F36" i="11"/>
  <c r="D36" i="11"/>
  <c r="K35" i="11"/>
  <c r="J35" i="11"/>
  <c r="H35" i="11"/>
  <c r="F35" i="11"/>
  <c r="D35" i="11"/>
  <c r="K34" i="11"/>
  <c r="J34" i="11"/>
  <c r="H34" i="11"/>
  <c r="F34" i="11"/>
  <c r="D34" i="11"/>
  <c r="K33" i="11"/>
  <c r="J33" i="11"/>
  <c r="H33" i="11"/>
  <c r="F33" i="11"/>
  <c r="D33" i="11"/>
  <c r="K32" i="11"/>
  <c r="J32" i="11"/>
  <c r="H32" i="11"/>
  <c r="F32" i="11"/>
  <c r="D32" i="11"/>
  <c r="K31" i="11"/>
  <c r="J31" i="11"/>
  <c r="H31" i="11"/>
  <c r="F31" i="11"/>
  <c r="D31" i="11"/>
  <c r="K30" i="11"/>
  <c r="J30" i="11"/>
  <c r="H30" i="11"/>
  <c r="F30" i="11"/>
  <c r="D30" i="11"/>
  <c r="K29" i="11"/>
  <c r="J29" i="11"/>
  <c r="H29" i="11"/>
  <c r="F29" i="11"/>
  <c r="D29" i="11"/>
  <c r="K28" i="11"/>
  <c r="J28" i="11"/>
  <c r="H28" i="11"/>
  <c r="F28" i="11"/>
  <c r="D28" i="11"/>
  <c r="K27" i="11"/>
  <c r="J27" i="11"/>
  <c r="H27" i="11"/>
  <c r="F27" i="11"/>
  <c r="D27" i="11"/>
  <c r="K26" i="11"/>
  <c r="J26" i="11"/>
  <c r="H26" i="11"/>
  <c r="F26" i="11"/>
  <c r="D26" i="11"/>
  <c r="K25" i="11"/>
  <c r="J25" i="11"/>
  <c r="H25" i="11"/>
  <c r="F25" i="11"/>
  <c r="D25" i="11"/>
  <c r="K24" i="11"/>
  <c r="J24" i="11"/>
  <c r="H24" i="11"/>
  <c r="F24" i="11"/>
  <c r="D24" i="11"/>
  <c r="K23" i="11"/>
  <c r="J23" i="11"/>
  <c r="H23" i="11"/>
  <c r="F23" i="11"/>
  <c r="D23" i="11"/>
  <c r="K22" i="11"/>
  <c r="J22" i="11"/>
  <c r="H22" i="11"/>
  <c r="F22" i="11"/>
  <c r="D22" i="11"/>
  <c r="K21" i="11"/>
  <c r="J21" i="11"/>
  <c r="H21" i="11"/>
  <c r="F21" i="11"/>
  <c r="D21" i="11"/>
  <c r="K20" i="11"/>
  <c r="J20" i="11"/>
  <c r="H20" i="11"/>
  <c r="F20" i="11"/>
  <c r="D20" i="11"/>
  <c r="K19" i="11"/>
  <c r="J19" i="11"/>
  <c r="H19" i="11"/>
  <c r="F19" i="11"/>
  <c r="D19" i="11"/>
  <c r="K18" i="11"/>
  <c r="J18" i="11"/>
  <c r="H18" i="11"/>
  <c r="F18" i="11"/>
  <c r="D18" i="11"/>
  <c r="K17" i="11"/>
  <c r="J17" i="11"/>
  <c r="H17" i="11"/>
  <c r="F17" i="11"/>
  <c r="D17" i="11"/>
  <c r="K16" i="11"/>
  <c r="J16" i="11"/>
  <c r="H16" i="11"/>
  <c r="F16" i="11"/>
  <c r="D16" i="11"/>
  <c r="K15" i="11"/>
  <c r="J15" i="11"/>
  <c r="H15" i="11"/>
  <c r="F15" i="11"/>
  <c r="D15" i="11"/>
  <c r="K14" i="11"/>
  <c r="J14" i="11"/>
  <c r="H14" i="11"/>
  <c r="F14" i="11"/>
  <c r="D14" i="11"/>
  <c r="K13" i="11"/>
  <c r="J13" i="11"/>
  <c r="H13" i="11"/>
  <c r="F13" i="11"/>
  <c r="D13" i="11"/>
  <c r="K12" i="11"/>
  <c r="J12" i="11"/>
  <c r="H12" i="11"/>
  <c r="F12" i="11"/>
  <c r="D12" i="11"/>
  <c r="K11" i="11"/>
  <c r="J11" i="11"/>
  <c r="H11" i="11"/>
  <c r="F11" i="11"/>
  <c r="D11" i="11"/>
  <c r="K10" i="11"/>
  <c r="J10" i="11"/>
  <c r="H10" i="11"/>
  <c r="F10" i="11"/>
  <c r="D10" i="11"/>
  <c r="K9" i="11"/>
  <c r="J9" i="11"/>
  <c r="H9" i="11"/>
  <c r="F9" i="11"/>
  <c r="D9" i="11"/>
  <c r="K8" i="11"/>
  <c r="J8" i="11"/>
  <c r="H8" i="11"/>
  <c r="F8" i="11"/>
  <c r="D8" i="11"/>
  <c r="K7" i="11"/>
  <c r="J7" i="11"/>
  <c r="H7" i="11"/>
  <c r="F7" i="11"/>
  <c r="D7" i="11"/>
  <c r="K6" i="11"/>
  <c r="J6" i="11"/>
  <c r="H6" i="11"/>
  <c r="F6" i="11"/>
  <c r="D6" i="11"/>
</calcChain>
</file>

<file path=xl/sharedStrings.xml><?xml version="1.0" encoding="utf-8"?>
<sst xmlns="http://schemas.openxmlformats.org/spreadsheetml/2006/main" count="543" uniqueCount="199">
  <si>
    <r>
      <t xml:space="preserve">2025- 2026 </t>
    </r>
    <r>
      <rPr>
        <sz val="12"/>
        <rFont val="宋体"/>
        <family val="3"/>
        <charset val="134"/>
      </rPr>
      <t>学年第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学期计科</t>
    </r>
    <r>
      <rPr>
        <sz val="12"/>
        <rFont val="Times New Roman"/>
        <family val="1"/>
      </rPr>
      <t>22</t>
    </r>
    <r>
      <rPr>
        <sz val="12"/>
        <rFont val="宋体"/>
        <family val="3"/>
        <charset val="134"/>
      </rPr>
      <t>《移动应用开发》课程目标达成度计算表（期末考核）</t>
    </r>
  </si>
  <si>
    <r>
      <t>班级：计科</t>
    </r>
    <r>
      <rPr>
        <sz val="12"/>
        <rFont val="Times New Roman"/>
        <family val="1"/>
      </rPr>
      <t>22</t>
    </r>
  </si>
  <si>
    <r>
      <t>评价方式</t>
    </r>
    <r>
      <rPr>
        <sz val="12"/>
        <rFont val="Times New Roman"/>
        <family val="1"/>
      </rPr>
      <t>:</t>
    </r>
    <r>
      <rPr>
        <sz val="12"/>
        <rFont val="宋体"/>
        <family val="3"/>
        <charset val="134"/>
      </rPr>
      <t>期末考核（大作业）</t>
    </r>
  </si>
  <si>
    <r>
      <t>满分值：</t>
    </r>
    <r>
      <rPr>
        <sz val="12"/>
        <rFont val="Times New Roman"/>
        <family val="1"/>
      </rPr>
      <t>100</t>
    </r>
    <r>
      <rPr>
        <sz val="12"/>
        <rFont val="宋体"/>
        <family val="3"/>
        <charset val="134"/>
      </rPr>
      <t>分</t>
    </r>
  </si>
  <si>
    <t>课程目标</t>
  </si>
  <si>
    <t xml:space="preserve">3
4 </t>
  </si>
  <si>
    <t>总评</t>
  </si>
  <si>
    <t>学号</t>
  </si>
  <si>
    <t>满分10</t>
  </si>
  <si>
    <t>满分20</t>
  </si>
  <si>
    <t>满分30</t>
  </si>
  <si>
    <t>满分40</t>
  </si>
  <si>
    <t>项目（30%）</t>
  </si>
  <si>
    <t>指标点达成度</t>
  </si>
  <si>
    <t>小组（20%）</t>
  </si>
  <si>
    <t>个人（20%）</t>
  </si>
  <si>
    <t>答辩（30%）</t>
  </si>
  <si>
    <t>得分</t>
  </si>
  <si>
    <t>2020211034</t>
  </si>
  <si>
    <t>张梦杰</t>
  </si>
  <si>
    <t>2020213700</t>
  </si>
  <si>
    <t>童其凡</t>
  </si>
  <si>
    <t>2022210331</t>
  </si>
  <si>
    <t>曹安晨</t>
  </si>
  <si>
    <t>2022210332</t>
  </si>
  <si>
    <t>陈晨</t>
  </si>
  <si>
    <t>2022210333</t>
  </si>
  <si>
    <t>陈创东</t>
  </si>
  <si>
    <t>2022210334</t>
  </si>
  <si>
    <t>程纪阳</t>
  </si>
  <si>
    <t>2022210335</t>
  </si>
  <si>
    <t>程梦圆</t>
  </si>
  <si>
    <t>2022210337</t>
  </si>
  <si>
    <t>邓慧茹</t>
  </si>
  <si>
    <t>2022210339</t>
  </si>
  <si>
    <t>范鑫蕊</t>
  </si>
  <si>
    <t>2022210342</t>
  </si>
  <si>
    <t>高恩鹏</t>
  </si>
  <si>
    <t>2022210343</t>
  </si>
  <si>
    <t>关雪艳</t>
  </si>
  <si>
    <t>2022210344</t>
  </si>
  <si>
    <t>郭新杰</t>
  </si>
  <si>
    <t>2022210346</t>
  </si>
  <si>
    <t>洪晓瑞</t>
  </si>
  <si>
    <t>2022210347</t>
  </si>
  <si>
    <t>胡步兴</t>
  </si>
  <si>
    <t>2022210348</t>
  </si>
  <si>
    <t>胡昊泱</t>
  </si>
  <si>
    <t>2022210351</t>
  </si>
  <si>
    <t>季玮</t>
  </si>
  <si>
    <t>2022210359</t>
  </si>
  <si>
    <t>李宝航</t>
  </si>
  <si>
    <t>2022210360</t>
  </si>
  <si>
    <t>李浩</t>
  </si>
  <si>
    <t>2022210361</t>
  </si>
  <si>
    <t>李今朝</t>
  </si>
  <si>
    <t>2022210362</t>
  </si>
  <si>
    <t>李良辰</t>
  </si>
  <si>
    <t>2022210367</t>
  </si>
  <si>
    <t>梁平</t>
  </si>
  <si>
    <t>2022210371</t>
  </si>
  <si>
    <t>陆征宇</t>
  </si>
  <si>
    <t>2022210374</t>
  </si>
  <si>
    <t>苗佳宇</t>
  </si>
  <si>
    <t>2022210376</t>
  </si>
  <si>
    <t>庞雨俊</t>
  </si>
  <si>
    <t>2022210378</t>
  </si>
  <si>
    <t>戚锐</t>
  </si>
  <si>
    <t>2022210380</t>
  </si>
  <si>
    <t>任奕凯</t>
  </si>
  <si>
    <t>2022210381</t>
  </si>
  <si>
    <t>阮珧</t>
  </si>
  <si>
    <t>2022210384</t>
  </si>
  <si>
    <t>孙嘉婧</t>
  </si>
  <si>
    <t>2022210385</t>
  </si>
  <si>
    <t>孙锦年</t>
  </si>
  <si>
    <t>2022210387</t>
  </si>
  <si>
    <t>唐蕊</t>
  </si>
  <si>
    <t>2022210389</t>
  </si>
  <si>
    <t>汪海洋</t>
  </si>
  <si>
    <t>2022210392</t>
  </si>
  <si>
    <t>王瑞</t>
  </si>
  <si>
    <t>2022210393</t>
  </si>
  <si>
    <t>王鑫玥</t>
  </si>
  <si>
    <t>2022210394</t>
  </si>
  <si>
    <t>王志成</t>
  </si>
  <si>
    <t>2022210400</t>
  </si>
  <si>
    <t>闫鹏飞</t>
  </si>
  <si>
    <t>2022210401</t>
  </si>
  <si>
    <t>杨浩天</t>
  </si>
  <si>
    <t>2022210402</t>
  </si>
  <si>
    <t>杨龙</t>
  </si>
  <si>
    <t>2022210404</t>
  </si>
  <si>
    <t>詹庆</t>
  </si>
  <si>
    <t>2022210405</t>
  </si>
  <si>
    <t>张金龙</t>
  </si>
  <si>
    <t>2022210411</t>
  </si>
  <si>
    <t>张文抱</t>
  </si>
  <si>
    <t>2022210414</t>
  </si>
  <si>
    <t>张玉妍</t>
  </si>
  <si>
    <t>2022210416</t>
  </si>
  <si>
    <t>赵杰</t>
  </si>
  <si>
    <t>2022210417</t>
  </si>
  <si>
    <t>郑存耀</t>
  </si>
  <si>
    <t>2022210422</t>
  </si>
  <si>
    <t>周宇</t>
  </si>
  <si>
    <t>2022210423</t>
  </si>
  <si>
    <t>朱传双</t>
  </si>
  <si>
    <t>2022210428</t>
  </si>
  <si>
    <t>朱世俊</t>
  </si>
  <si>
    <t>2022210429</t>
  </si>
  <si>
    <t>祝文耿</t>
  </si>
  <si>
    <t>2022210430</t>
  </si>
  <si>
    <t>宗梦晴</t>
  </si>
  <si>
    <t>班平均值</t>
  </si>
  <si>
    <t>课程目标达成度</t>
  </si>
  <si>
    <r>
      <t xml:space="preserve">2025- 2026 </t>
    </r>
    <r>
      <rPr>
        <sz val="12"/>
        <rFont val="宋体"/>
        <family val="3"/>
        <charset val="134"/>
      </rPr>
      <t>学年第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学期计科</t>
    </r>
    <r>
      <rPr>
        <sz val="12"/>
        <rFont val="Times New Roman"/>
        <family val="1"/>
      </rPr>
      <t>22</t>
    </r>
    <r>
      <rPr>
        <sz val="12"/>
        <rFont val="宋体"/>
        <family val="3"/>
        <charset val="134"/>
      </rPr>
      <t>《移动应用开发》课程目标达成度计算表（实验）</t>
    </r>
  </si>
  <si>
    <r>
      <t>评价方式</t>
    </r>
    <r>
      <rPr>
        <sz val="12"/>
        <rFont val="Times New Roman"/>
        <family val="1"/>
      </rPr>
      <t>:</t>
    </r>
    <r>
      <rPr>
        <sz val="12"/>
        <rFont val="宋体"/>
        <family val="3"/>
        <charset val="134"/>
      </rPr>
      <t>实验</t>
    </r>
  </si>
  <si>
    <r>
      <t>满分1</t>
    </r>
    <r>
      <rPr>
        <sz val="12"/>
        <rFont val="Times New Roman"/>
        <family val="1"/>
      </rPr>
      <t>0</t>
    </r>
  </si>
  <si>
    <r>
      <t>满分</t>
    </r>
    <r>
      <rPr>
        <sz val="12"/>
        <rFont val="Times New Roman"/>
        <family val="1"/>
      </rPr>
      <t xml:space="preserve"> 20</t>
    </r>
  </si>
  <si>
    <r>
      <t>满分</t>
    </r>
    <r>
      <rPr>
        <sz val="12"/>
        <rFont val="Times New Roman"/>
        <family val="1"/>
      </rPr>
      <t xml:space="preserve"> 30</t>
    </r>
  </si>
  <si>
    <r>
      <t>满分</t>
    </r>
    <r>
      <rPr>
        <sz val="12"/>
        <rFont val="Times New Roman"/>
        <family val="1"/>
      </rPr>
      <t>40</t>
    </r>
  </si>
  <si>
    <r>
      <t>实验1得分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（满分5分）</t>
    </r>
  </si>
  <si>
    <r>
      <t>实验2得分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（满分5分）</t>
    </r>
  </si>
  <si>
    <r>
      <t>实验3得分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（满分10分）</t>
    </r>
  </si>
  <si>
    <r>
      <t>实验4得分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（满分10分）</t>
    </r>
  </si>
  <si>
    <r>
      <t>实验5得分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（满分15分）</t>
    </r>
  </si>
  <si>
    <r>
      <t>实验6得分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（满分15分）</t>
    </r>
  </si>
  <si>
    <r>
      <t>实验7得分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（满分40分）</t>
    </r>
  </si>
  <si>
    <t>2025- 2026 学年第1学期计科22《移动应用开发》课程目标达成度计算表（平时）</t>
  </si>
  <si>
    <t>班级：计科22</t>
  </si>
  <si>
    <t>评价方式:平时</t>
  </si>
  <si>
    <t>满分值：100分</t>
  </si>
  <si>
    <t>知识图谱</t>
  </si>
  <si>
    <t>TRAE</t>
  </si>
  <si>
    <t>原生</t>
  </si>
  <si>
    <t>AS</t>
  </si>
  <si>
    <t>iOS</t>
  </si>
  <si>
    <t>Typora</t>
  </si>
  <si>
    <t>混合</t>
  </si>
  <si>
    <t>小程序</t>
  </si>
  <si>
    <t>PUML</t>
  </si>
  <si>
    <t>开发计划</t>
  </si>
  <si>
    <t>原始分</t>
  </si>
  <si>
    <t>最后得分</t>
  </si>
  <si>
    <t>作业1概述</t>
  </si>
  <si>
    <t>作业2原生Android</t>
  </si>
  <si>
    <t>作业3原生iOS</t>
  </si>
  <si>
    <t>作业4原生应用开发</t>
  </si>
  <si>
    <t>作业5Flutter混合应用</t>
  </si>
  <si>
    <t>作业6Cordova&amp;UniApp混合应用</t>
  </si>
  <si>
    <t>作业7 MAUI&amp;&amp;WXMiniApp</t>
  </si>
  <si>
    <t>作业8小程序2</t>
  </si>
  <si>
    <t>作业9华为多端应用开发1</t>
  </si>
  <si>
    <t>作业10华为多端应用开发2</t>
  </si>
  <si>
    <t>平均分</t>
  </si>
  <si>
    <t>课程考核大作业1——项目启动</t>
  </si>
  <si>
    <t>课程考核大作业2——核心开发</t>
  </si>
  <si>
    <t>课程考核大作业3——系统整合</t>
  </si>
  <si>
    <t>课程考核大作业4——测试交付</t>
  </si>
  <si>
    <t>考核报告1——答辩报告</t>
  </si>
  <si>
    <t>考核报告2——个人报告</t>
  </si>
  <si>
    <t>考核报告3——小组报告</t>
  </si>
  <si>
    <t>考核报告4——项目报告</t>
  </si>
  <si>
    <t>课程考试大作业</t>
  </si>
  <si>
    <t/>
  </si>
  <si>
    <t>2023- 2024 学年第二学期计科231 《数据结构》学生个体课程目标达成度计算表</t>
  </si>
  <si>
    <t>支撑的毕业要求指标点</t>
  </si>
  <si>
    <t>权重</t>
  </si>
  <si>
    <t>姓名</t>
  </si>
  <si>
    <t>平时评价达成度</t>
  </si>
  <si>
    <t>实验评价达成度</t>
  </si>
  <si>
    <t>期末考核评价达成度</t>
  </si>
  <si>
    <t>2025- 2026 学年第1学期计科22《移动应用开发》课程目标达成度计算表</t>
  </si>
  <si>
    <t>课程目标及权重</t>
  </si>
  <si>
    <t>评价方式</t>
  </si>
  <si>
    <t>课成目标达成度</t>
  </si>
  <si>
    <t>毕业要求指标点达成度</t>
  </si>
  <si>
    <r>
      <rPr>
        <sz val="10.5"/>
        <rFont val="宋体"/>
        <family val="3"/>
        <charset val="134"/>
      </rPr>
      <t>课程目标</t>
    </r>
    <r>
      <rPr>
        <i/>
        <sz val="10.5"/>
        <rFont val="Times New Roman"/>
        <family val="1"/>
      </rPr>
      <t>i</t>
    </r>
  </si>
  <si>
    <r>
      <rPr>
        <sz val="10.5"/>
        <rFont val="宋体"/>
        <family val="3"/>
        <charset val="134"/>
      </rPr>
      <t>评价环节</t>
    </r>
    <r>
      <rPr>
        <i/>
        <sz val="10.5"/>
        <rFont val="Times New Roman"/>
        <family val="1"/>
      </rPr>
      <t>j</t>
    </r>
  </si>
  <si>
    <t>满分</t>
  </si>
  <si>
    <t>达成度</t>
  </si>
  <si>
    <t>指标点</t>
  </si>
  <si>
    <t>目标1</t>
  </si>
  <si>
    <t>平时</t>
  </si>
  <si>
    <t>实验</t>
  </si>
  <si>
    <t>期末考试</t>
  </si>
  <si>
    <t>目标2</t>
  </si>
  <si>
    <r>
      <rPr>
        <sz val="10.5"/>
        <rFont val="宋体"/>
        <family val="3"/>
        <charset val="134"/>
      </rPr>
      <t>目标</t>
    </r>
    <r>
      <rPr>
        <sz val="10.5"/>
        <rFont val="Times New Roman"/>
        <family val="1"/>
      </rPr>
      <t>3</t>
    </r>
  </si>
  <si>
    <r>
      <rPr>
        <sz val="10.5"/>
        <rFont val="宋体"/>
        <family val="3"/>
        <charset val="134"/>
      </rPr>
      <t>目标</t>
    </r>
    <r>
      <rPr>
        <sz val="10.5"/>
        <rFont val="Times New Roman"/>
        <family val="1"/>
      </rPr>
      <t>4</t>
    </r>
  </si>
  <si>
    <t>课程总体目标期望值</t>
  </si>
  <si>
    <r>
      <rPr>
        <sz val="10.5"/>
        <rFont val="宋体"/>
        <family val="3"/>
        <charset val="134"/>
      </rPr>
      <t>课程总体目标达成度(</t>
    </r>
    <r>
      <rPr>
        <i/>
        <sz val="10.5"/>
        <rFont val="Times New Roman"/>
        <family val="1"/>
      </rPr>
      <t>cc</t>
    </r>
    <r>
      <rPr>
        <sz val="10.5"/>
        <rFont val="宋体"/>
        <family val="3"/>
        <charset val="134"/>
      </rPr>
      <t>)</t>
    </r>
  </si>
  <si>
    <t>课程目标1</t>
  </si>
  <si>
    <t>课程目标2</t>
  </si>
  <si>
    <t>课程目标3</t>
  </si>
  <si>
    <t>课程目标4</t>
  </si>
  <si>
    <t>课堂表现 满分20</t>
    <phoneticPr fontId="25" type="noConversion"/>
  </si>
  <si>
    <t>期间测验 满分30</t>
    <phoneticPr fontId="25" type="noConversion"/>
  </si>
  <si>
    <t>课外学习 满分50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</si>
</sst>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0.00_ "/>
    <numFmt numFmtId="177" formatCode="0.00_);[Red]\(0.00\)"/>
    <numFmt numFmtId="178" formatCode="0.0_);[Red]\(0.0\)"/>
    <numFmt numFmtId="179" formatCode="0_ "/>
    <numFmt numFmtId="180" formatCode="0.0_ ;[Red]\-0.0\ "/>
    <numFmt numFmtId="181" formatCode="0.000_ "/>
    <numFmt numFmtId="182" formatCode="0.0_ "/>
  </numFmts>
  <fonts count="26">
    <font>
      <sz val="12"/>
      <name val="宋体"/>
      <charset val="134"/>
    </font>
    <font>
      <b/>
      <sz val="8"/>
      <name val="Arial Unicode MS"/>
      <family val="2"/>
    </font>
    <font>
      <sz val="8"/>
      <name val="宋体"/>
      <family val="3"/>
      <charset val="134"/>
    </font>
    <font>
      <b/>
      <sz val="14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8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color indexed="8"/>
      <name val="宋体"/>
      <family val="3"/>
      <charset val="134"/>
      <scheme val="minor"/>
    </font>
    <font>
      <sz val="12"/>
      <name val="Arial"/>
      <family val="2"/>
    </font>
    <font>
      <sz val="12"/>
      <name val="宋体"/>
      <family val="3"/>
      <charset val="134"/>
    </font>
    <font>
      <sz val="12"/>
      <name val="Arial Unicode MS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indexed="8"/>
      <name val="宋体"/>
      <family val="3"/>
      <charset val="134"/>
      <scheme val="minor"/>
    </font>
    <font>
      <sz val="10"/>
      <name val="Arial"/>
      <family val="2"/>
    </font>
    <font>
      <b/>
      <sz val="11"/>
      <color rgb="FF3F3F3F"/>
      <name val="宋体"/>
      <family val="3"/>
      <charset val="134"/>
      <scheme val="minor"/>
    </font>
    <font>
      <sz val="11"/>
      <name val="Arial"/>
      <family val="2"/>
    </font>
    <font>
      <i/>
      <sz val="10.5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8"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0" fillId="0" borderId="0"/>
    <xf numFmtId="0" fontId="24" fillId="0" borderId="0">
      <alignment vertical="center"/>
    </xf>
    <xf numFmtId="0" fontId="20" fillId="0" borderId="0"/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3" borderId="5" applyNumberFormat="0" applyAlignment="0" applyProtection="0">
      <alignment vertical="center"/>
    </xf>
    <xf numFmtId="0" fontId="22" fillId="0" borderId="0"/>
  </cellStyleXfs>
  <cellXfs count="102">
    <xf numFmtId="0" fontId="0" fillId="0" borderId="0" xfId="0"/>
    <xf numFmtId="176" fontId="1" fillId="0" borderId="1" xfId="12" applyNumberFormat="1" applyFont="1" applyBorder="1" applyAlignment="1">
      <alignment horizontal="center" vertical="center"/>
    </xf>
    <xf numFmtId="176" fontId="0" fillId="0" borderId="0" xfId="0" applyNumberFormat="1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10" applyFont="1" applyBorder="1" applyAlignment="1">
      <alignment horizontal="center" vertical="center" wrapText="1"/>
    </xf>
    <xf numFmtId="0" fontId="3" fillId="2" borderId="1" xfId="10" applyFont="1" applyFill="1" applyBorder="1" applyAlignment="1">
      <alignment horizontal="right" vertical="center" wrapText="1"/>
    </xf>
    <xf numFmtId="176" fontId="24" fillId="0" borderId="1" xfId="10" applyNumberFormat="1" applyBorder="1" applyAlignment="1">
      <alignment horizontal="center" vertical="center"/>
    </xf>
    <xf numFmtId="0" fontId="24" fillId="0" borderId="1" xfId="10" applyBorder="1" applyAlignment="1">
      <alignment horizontal="center"/>
    </xf>
    <xf numFmtId="0" fontId="6" fillId="2" borderId="1" xfId="10" applyFont="1" applyFill="1" applyBorder="1" applyAlignment="1">
      <alignment horizontal="center" vertical="center" wrapText="1"/>
    </xf>
    <xf numFmtId="9" fontId="6" fillId="2" borderId="1" xfId="1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77" fontId="1" fillId="0" borderId="1" xfId="10" applyNumberFormat="1" applyFont="1" applyBorder="1" applyAlignment="1">
      <alignment horizontal="center" vertical="center"/>
    </xf>
    <xf numFmtId="177" fontId="10" fillId="0" borderId="1" xfId="10" applyNumberFormat="1" applyFont="1" applyBorder="1" applyAlignment="1">
      <alignment horizontal="center" vertical="center"/>
    </xf>
    <xf numFmtId="178" fontId="0" fillId="0" borderId="0" xfId="0" applyNumberFormat="1"/>
    <xf numFmtId="17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179" fontId="24" fillId="0" borderId="1" xfId="10" applyNumberFormat="1" applyBorder="1" applyAlignment="1">
      <alignment horizontal="center" vertical="center"/>
    </xf>
    <xf numFmtId="9" fontId="24" fillId="2" borderId="1" xfId="10" applyNumberForma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" fontId="11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179" fontId="11" fillId="0" borderId="1" xfId="0" applyNumberFormat="1" applyFont="1" applyBorder="1" applyAlignment="1">
      <alignment horizontal="right" vertical="center"/>
    </xf>
    <xf numFmtId="176" fontId="14" fillId="0" borderId="1" xfId="5" applyNumberFormat="1" applyFont="1" applyBorder="1" applyAlignment="1">
      <alignment horizontal="center" vertical="center"/>
    </xf>
    <xf numFmtId="179" fontId="14" fillId="0" borderId="1" xfId="5" applyNumberFormat="1" applyFont="1" applyBorder="1" applyAlignment="1">
      <alignment horizontal="center" vertical="center"/>
    </xf>
    <xf numFmtId="178" fontId="24" fillId="0" borderId="1" xfId="10" applyNumberFormat="1" applyBorder="1" applyAlignment="1">
      <alignment horizontal="center" vertical="center"/>
    </xf>
    <xf numFmtId="177" fontId="24" fillId="0" borderId="1" xfId="10" applyNumberFormat="1" applyBorder="1" applyAlignment="1">
      <alignment vertical="center"/>
    </xf>
    <xf numFmtId="177" fontId="24" fillId="0" borderId="1" xfId="10" applyNumberFormat="1" applyBorder="1" applyAlignment="1">
      <alignment horizontal="center" vertical="center"/>
    </xf>
    <xf numFmtId="180" fontId="14" fillId="0" borderId="1" xfId="5" applyNumberFormat="1" applyFont="1" applyBorder="1" applyAlignment="1">
      <alignment horizontal="center" vertical="center"/>
    </xf>
    <xf numFmtId="179" fontId="24" fillId="0" borderId="1" xfId="10" applyNumberFormat="1" applyBorder="1"/>
    <xf numFmtId="43" fontId="24" fillId="0" borderId="1" xfId="10" applyNumberFormat="1" applyBorder="1"/>
    <xf numFmtId="176" fontId="24" fillId="0" borderId="1" xfId="1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76" fontId="24" fillId="2" borderId="1" xfId="10" applyNumberFormat="1" applyFill="1" applyBorder="1" applyAlignment="1">
      <alignment horizontal="center" vertical="center" wrapText="1"/>
    </xf>
    <xf numFmtId="179" fontId="0" fillId="0" borderId="1" xfId="0" applyNumberFormat="1" applyBorder="1"/>
    <xf numFmtId="176" fontId="0" fillId="0" borderId="1" xfId="0" applyNumberFormat="1" applyBorder="1"/>
    <xf numFmtId="179" fontId="15" fillId="0" borderId="1" xfId="10" applyNumberFormat="1" applyFont="1" applyBorder="1" applyAlignment="1">
      <alignment horizontal="center" vertical="center"/>
    </xf>
    <xf numFmtId="176" fontId="15" fillId="0" borderId="1" xfId="10" applyNumberFormat="1" applyFont="1" applyBorder="1" applyAlignment="1">
      <alignment horizontal="center" vertical="center"/>
    </xf>
    <xf numFmtId="179" fontId="15" fillId="0" borderId="1" xfId="5" applyNumberFormat="1" applyFont="1" applyBorder="1" applyAlignment="1">
      <alignment horizontal="center" vertical="center"/>
    </xf>
    <xf numFmtId="182" fontId="0" fillId="0" borderId="1" xfId="0" applyNumberFormat="1" applyBorder="1"/>
    <xf numFmtId="178" fontId="0" fillId="0" borderId="0" xfId="0" applyNumberForma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176" fontId="15" fillId="0" borderId="0" xfId="0" applyNumberFormat="1" applyFont="1"/>
    <xf numFmtId="179" fontId="15" fillId="0" borderId="0" xfId="0" applyNumberFormat="1" applyFont="1"/>
    <xf numFmtId="0" fontId="17" fillId="0" borderId="1" xfId="0" applyFont="1" applyBorder="1"/>
    <xf numFmtId="176" fontId="12" fillId="0" borderId="1" xfId="0" applyNumberFormat="1" applyFont="1" applyBorder="1"/>
    <xf numFmtId="182" fontId="17" fillId="0" borderId="1" xfId="0" applyNumberFormat="1" applyFont="1" applyBorder="1"/>
    <xf numFmtId="178" fontId="15" fillId="0" borderId="1" xfId="10" applyNumberFormat="1" applyFont="1" applyBorder="1" applyAlignment="1">
      <alignment horizontal="center" vertical="center"/>
    </xf>
    <xf numFmtId="43" fontId="12" fillId="0" borderId="1" xfId="0" applyNumberFormat="1" applyFont="1" applyBorder="1"/>
    <xf numFmtId="182" fontId="15" fillId="0" borderId="1" xfId="10" applyNumberFormat="1" applyFont="1" applyBorder="1" applyAlignment="1">
      <alignment horizontal="center" vertical="center"/>
    </xf>
    <xf numFmtId="177" fontId="15" fillId="0" borderId="1" xfId="10" applyNumberFormat="1" applyFont="1" applyBorder="1" applyAlignment="1">
      <alignment horizontal="center" vertical="center"/>
    </xf>
    <xf numFmtId="177" fontId="18" fillId="0" borderId="1" xfId="10" applyNumberFormat="1" applyFont="1" applyBorder="1" applyAlignment="1">
      <alignment horizontal="center" vertical="center"/>
    </xf>
    <xf numFmtId="176" fontId="15" fillId="0" borderId="1" xfId="1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4" fillId="0" borderId="1" xfId="10" applyBorder="1" applyAlignment="1">
      <alignment horizontal="center" vertical="center" wrapText="1"/>
    </xf>
    <xf numFmtId="0" fontId="0" fillId="0" borderId="1" xfId="0" applyBorder="1"/>
    <xf numFmtId="0" fontId="15" fillId="0" borderId="1" xfId="0" applyFont="1" applyBorder="1"/>
    <xf numFmtId="0" fontId="15" fillId="0" borderId="1" xfId="10" applyFont="1" applyBorder="1" applyAlignment="1">
      <alignment horizontal="center" vertical="center"/>
    </xf>
    <xf numFmtId="0" fontId="15" fillId="0" borderId="1" xfId="10" applyFont="1" applyBorder="1" applyAlignment="1">
      <alignment horizontal="center" vertical="center" wrapText="1"/>
    </xf>
    <xf numFmtId="176" fontId="16" fillId="0" borderId="1" xfId="10" applyNumberFormat="1" applyFont="1" applyBorder="1" applyAlignment="1">
      <alignment horizontal="center" vertical="center"/>
    </xf>
    <xf numFmtId="0" fontId="24" fillId="0" borderId="2" xfId="10" applyBorder="1" applyAlignment="1">
      <alignment horizontal="center" vertical="center" wrapText="1"/>
    </xf>
    <xf numFmtId="0" fontId="15" fillId="0" borderId="3" xfId="10" applyFont="1" applyBorder="1" applyAlignment="1">
      <alignment horizontal="center" vertical="center" wrapText="1"/>
    </xf>
    <xf numFmtId="0" fontId="15" fillId="2" borderId="1" xfId="10" applyFont="1" applyFill="1" applyBorder="1" applyAlignment="1">
      <alignment horizontal="center" vertical="center" wrapText="1"/>
    </xf>
    <xf numFmtId="179" fontId="24" fillId="0" borderId="1" xfId="10" applyNumberFormat="1" applyBorder="1" applyAlignment="1">
      <alignment horizontal="center" vertical="center"/>
    </xf>
    <xf numFmtId="9" fontId="24" fillId="2" borderId="1" xfId="10" applyNumberFormat="1" applyFill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0" fontId="24" fillId="2" borderId="1" xfId="10" applyFill="1" applyBorder="1" applyAlignment="1">
      <alignment horizontal="center" vertical="center"/>
    </xf>
    <xf numFmtId="0" fontId="15" fillId="2" borderId="1" xfId="10" applyFont="1" applyFill="1" applyBorder="1" applyAlignment="1">
      <alignment horizontal="center" vertical="center"/>
    </xf>
    <xf numFmtId="0" fontId="24" fillId="0" borderId="3" xfId="10" applyBorder="1" applyAlignment="1">
      <alignment horizontal="center" vertical="center" wrapText="1"/>
    </xf>
    <xf numFmtId="176" fontId="24" fillId="2" borderId="1" xfId="10" applyNumberFormat="1" applyFill="1" applyBorder="1" applyAlignment="1">
      <alignment horizontal="center" vertical="center"/>
    </xf>
    <xf numFmtId="176" fontId="15" fillId="2" borderId="1" xfId="1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4" fillId="0" borderId="1" xfId="10" applyBorder="1" applyAlignment="1">
      <alignment horizontal="center" vertical="center"/>
    </xf>
    <xf numFmtId="9" fontId="13" fillId="2" borderId="1" xfId="10" applyNumberFormat="1" applyFont="1" applyFill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/>
    </xf>
    <xf numFmtId="0" fontId="24" fillId="2" borderId="1" xfId="10" applyFill="1" applyBorder="1" applyAlignment="1">
      <alignment horizontal="center" vertical="center" wrapText="1"/>
    </xf>
    <xf numFmtId="0" fontId="3" fillId="0" borderId="1" xfId="10" applyFont="1" applyBorder="1" applyAlignment="1">
      <alignment horizontal="center" vertical="center" wrapText="1"/>
    </xf>
    <xf numFmtId="0" fontId="3" fillId="2" borderId="1" xfId="10" applyFont="1" applyFill="1" applyBorder="1" applyAlignment="1">
      <alignment horizontal="center" vertical="center"/>
    </xf>
    <xf numFmtId="177" fontId="10" fillId="0" borderId="2" xfId="10" applyNumberFormat="1" applyFont="1" applyBorder="1" applyAlignment="1">
      <alignment horizontal="center" vertical="center"/>
    </xf>
    <xf numFmtId="177" fontId="10" fillId="0" borderId="4" xfId="10" applyNumberFormat="1" applyFont="1" applyBorder="1" applyAlignment="1">
      <alignment horizontal="center" vertical="center"/>
    </xf>
    <xf numFmtId="177" fontId="10" fillId="0" borderId="3" xfId="10" applyNumberFormat="1" applyFont="1" applyBorder="1" applyAlignment="1">
      <alignment horizontal="center" vertical="center"/>
    </xf>
    <xf numFmtId="0" fontId="9" fillId="0" borderId="2" xfId="10" applyFont="1" applyBorder="1" applyAlignment="1">
      <alignment horizontal="center" vertical="center" wrapText="1"/>
    </xf>
    <xf numFmtId="0" fontId="9" fillId="0" borderId="3" xfId="10" applyFont="1" applyBorder="1" applyAlignment="1">
      <alignment horizontal="center" vertical="center" wrapText="1"/>
    </xf>
    <xf numFmtId="177" fontId="10" fillId="0" borderId="1" xfId="10" applyNumberFormat="1" applyFont="1" applyBorder="1" applyAlignment="1">
      <alignment horizontal="center" vertical="center"/>
    </xf>
  </cellXfs>
  <cellStyles count="18">
    <cellStyle name="Normal" xfId="17" xr:uid="{00000000-0005-0000-0000-000041000000}"/>
    <cellStyle name="常规" xfId="0" builtinId="0"/>
    <cellStyle name="常规 10" xfId="1" xr:uid="{00000000-0005-0000-0000-000031000000}"/>
    <cellStyle name="常规 11" xfId="2" xr:uid="{00000000-0005-0000-0000-000032000000}"/>
    <cellStyle name="常规 12" xfId="3" xr:uid="{00000000-0005-0000-0000-000033000000}"/>
    <cellStyle name="常规 14" xfId="4" xr:uid="{00000000-0005-0000-0000-000034000000}"/>
    <cellStyle name="常规 16" xfId="5" xr:uid="{00000000-0005-0000-0000-000035000000}"/>
    <cellStyle name="常规 17" xfId="6" xr:uid="{00000000-0005-0000-0000-000036000000}"/>
    <cellStyle name="常规 2" xfId="7" xr:uid="{00000000-0005-0000-0000-000037000000}"/>
    <cellStyle name="常规 2 2" xfId="8" xr:uid="{00000000-0005-0000-0000-000038000000}"/>
    <cellStyle name="常规 3" xfId="9" xr:uid="{00000000-0005-0000-0000-000039000000}"/>
    <cellStyle name="常规 4" xfId="10" xr:uid="{00000000-0005-0000-0000-00003A000000}"/>
    <cellStyle name="常规 5" xfId="11" xr:uid="{00000000-0005-0000-0000-00003B000000}"/>
    <cellStyle name="常规 6" xfId="12" xr:uid="{00000000-0005-0000-0000-00003C000000}"/>
    <cellStyle name="常规 7" xfId="13" xr:uid="{00000000-0005-0000-0000-00003D000000}"/>
    <cellStyle name="常规 8" xfId="14" xr:uid="{00000000-0005-0000-0000-00003E000000}"/>
    <cellStyle name="常规 9" xfId="15" xr:uid="{00000000-0005-0000-0000-00003F000000}"/>
    <cellStyle name="输出 2" xfId="16" xr:uid="{00000000-0005-0000-0000-000040000000}"/>
  </cellStyles>
  <dxfs count="0"/>
  <tableStyles count="0" defaultTableStyle="TableStyleMedium9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课程目标达成评价结果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课程目标条形图!$B$7:$B$10</c:f>
              <c:strCache>
                <c:ptCount val="4"/>
                <c:pt idx="0">
                  <c:v>课程目标1</c:v>
                </c:pt>
                <c:pt idx="1">
                  <c:v>课程目标2</c:v>
                </c:pt>
                <c:pt idx="2">
                  <c:v>课程目标3</c:v>
                </c:pt>
                <c:pt idx="3">
                  <c:v>课程目标4</c:v>
                </c:pt>
              </c:strCache>
            </c:strRef>
          </c:cat>
          <c:val>
            <c:numRef>
              <c:f>课程目标条形图!$C$7:$C$10</c:f>
              <c:numCache>
                <c:formatCode>0.00_ </c:formatCode>
                <c:ptCount val="4"/>
                <c:pt idx="0">
                  <c:v>0.82</c:v>
                </c:pt>
                <c:pt idx="1">
                  <c:v>0.82</c:v>
                </c:pt>
                <c:pt idx="2">
                  <c:v>0.61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3-4CD2-8F4E-08092A2A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44286592"/>
        <c:axId val="244288896"/>
      </c:barChart>
      <c:catAx>
        <c:axId val="2442865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课程目标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288896"/>
        <c:crosses val="autoZero"/>
        <c:auto val="1"/>
        <c:lblAlgn val="ctr"/>
        <c:lblOffset val="100"/>
        <c:noMultiLvlLbl val="0"/>
      </c:catAx>
      <c:valAx>
        <c:axId val="2442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2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3db9af5-0680-4655-bead-dfca110bf7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1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741775772912"/>
          <c:y val="0.178116791270964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平均达成度(0.7)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目标1散点趋势图!$B$1:$B$48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目标1散点趋势图!$D$1:$D$48</c:f>
              <c:numCache>
                <c:formatCode>0.00_ </c:formatCode>
                <c:ptCount val="48"/>
                <c:pt idx="0">
                  <c:v>0.82</c:v>
                </c:pt>
                <c:pt idx="1">
                  <c:v>0.82</c:v>
                </c:pt>
                <c:pt idx="2">
                  <c:v>0.82</c:v>
                </c:pt>
                <c:pt idx="3">
                  <c:v>0.82</c:v>
                </c:pt>
                <c:pt idx="4">
                  <c:v>0.82</c:v>
                </c:pt>
                <c:pt idx="5">
                  <c:v>0.82</c:v>
                </c:pt>
                <c:pt idx="6">
                  <c:v>0.82</c:v>
                </c:pt>
                <c:pt idx="7">
                  <c:v>0.82</c:v>
                </c:pt>
                <c:pt idx="8">
                  <c:v>0.82</c:v>
                </c:pt>
                <c:pt idx="9">
                  <c:v>0.82</c:v>
                </c:pt>
                <c:pt idx="10">
                  <c:v>0.82</c:v>
                </c:pt>
                <c:pt idx="11">
                  <c:v>0.82</c:v>
                </c:pt>
                <c:pt idx="12">
                  <c:v>0.82</c:v>
                </c:pt>
                <c:pt idx="13">
                  <c:v>0.82</c:v>
                </c:pt>
                <c:pt idx="14">
                  <c:v>0.82</c:v>
                </c:pt>
                <c:pt idx="15">
                  <c:v>0.82</c:v>
                </c:pt>
                <c:pt idx="16">
                  <c:v>0.82</c:v>
                </c:pt>
                <c:pt idx="17">
                  <c:v>0.82</c:v>
                </c:pt>
                <c:pt idx="18">
                  <c:v>0.82</c:v>
                </c:pt>
                <c:pt idx="19">
                  <c:v>0.82</c:v>
                </c:pt>
                <c:pt idx="20">
                  <c:v>0.82</c:v>
                </c:pt>
                <c:pt idx="21">
                  <c:v>0.82</c:v>
                </c:pt>
                <c:pt idx="22">
                  <c:v>0.82</c:v>
                </c:pt>
                <c:pt idx="23">
                  <c:v>0.82</c:v>
                </c:pt>
                <c:pt idx="24">
                  <c:v>0.82</c:v>
                </c:pt>
                <c:pt idx="25">
                  <c:v>0.82</c:v>
                </c:pt>
                <c:pt idx="26">
                  <c:v>0.82</c:v>
                </c:pt>
                <c:pt idx="27">
                  <c:v>0.82</c:v>
                </c:pt>
                <c:pt idx="28">
                  <c:v>0.82</c:v>
                </c:pt>
                <c:pt idx="29">
                  <c:v>0.82</c:v>
                </c:pt>
                <c:pt idx="30">
                  <c:v>0.82</c:v>
                </c:pt>
                <c:pt idx="31">
                  <c:v>0.82</c:v>
                </c:pt>
                <c:pt idx="32">
                  <c:v>0.82</c:v>
                </c:pt>
                <c:pt idx="33">
                  <c:v>0.82</c:v>
                </c:pt>
                <c:pt idx="34">
                  <c:v>0.82</c:v>
                </c:pt>
                <c:pt idx="35">
                  <c:v>0.82</c:v>
                </c:pt>
                <c:pt idx="36">
                  <c:v>0.82</c:v>
                </c:pt>
                <c:pt idx="37">
                  <c:v>0.82</c:v>
                </c:pt>
                <c:pt idx="38">
                  <c:v>0.82</c:v>
                </c:pt>
                <c:pt idx="39">
                  <c:v>0.82</c:v>
                </c:pt>
                <c:pt idx="40">
                  <c:v>0.82</c:v>
                </c:pt>
                <c:pt idx="41">
                  <c:v>0.82</c:v>
                </c:pt>
                <c:pt idx="42">
                  <c:v>0.82</c:v>
                </c:pt>
                <c:pt idx="43">
                  <c:v>0.82</c:v>
                </c:pt>
                <c:pt idx="44">
                  <c:v>0.82</c:v>
                </c:pt>
                <c:pt idx="45">
                  <c:v>0.82</c:v>
                </c:pt>
                <c:pt idx="46">
                  <c:v>0.82</c:v>
                </c:pt>
                <c:pt idx="47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5-48AF-914D-5E6F1986FB1B}"/>
            </c:ext>
          </c:extLst>
        </c:ser>
        <c:ser>
          <c:idx val="2"/>
          <c:order val="2"/>
          <c:tx>
            <c:v>期望达成度(0.6)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目标1散点趋势图!$B$1:$B$48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目标1散点趋势图!$E$1:$E$48</c:f>
              <c:numCache>
                <c:formatCode>0.00_ </c:formatCode>
                <c:ptCount val="4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5-48AF-914D-5E6F1986F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223808"/>
        <c:axId val="251851136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目标1散点趋势图!$B$1:$B$48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目标1散点趋势图!$C$1:$C$48</c:f>
              <c:numCache>
                <c:formatCode>0.00_ </c:formatCode>
                <c:ptCount val="48"/>
                <c:pt idx="0">
                  <c:v>0.748</c:v>
                </c:pt>
                <c:pt idx="1">
                  <c:v>0.81200000000000006</c:v>
                </c:pt>
                <c:pt idx="2">
                  <c:v>0.77300000000000002</c:v>
                </c:pt>
                <c:pt idx="3">
                  <c:v>0.92300000000000004</c:v>
                </c:pt>
                <c:pt idx="4">
                  <c:v>0.86199999999999999</c:v>
                </c:pt>
                <c:pt idx="5">
                  <c:v>0.83799999999999997</c:v>
                </c:pt>
                <c:pt idx="6">
                  <c:v>0.69699999999999995</c:v>
                </c:pt>
                <c:pt idx="7">
                  <c:v>0.88800000000000001</c:v>
                </c:pt>
                <c:pt idx="8">
                  <c:v>0.84799999999999998</c:v>
                </c:pt>
                <c:pt idx="9">
                  <c:v>0.93200000000000005</c:v>
                </c:pt>
                <c:pt idx="10">
                  <c:v>0.89800000000000002</c:v>
                </c:pt>
                <c:pt idx="11">
                  <c:v>0.86299999999999999</c:v>
                </c:pt>
                <c:pt idx="12">
                  <c:v>0.91200000000000003</c:v>
                </c:pt>
                <c:pt idx="13">
                  <c:v>0.877</c:v>
                </c:pt>
                <c:pt idx="14">
                  <c:v>0.83199999999999996</c:v>
                </c:pt>
                <c:pt idx="15">
                  <c:v>0.83799999999999997</c:v>
                </c:pt>
                <c:pt idx="16">
                  <c:v>0.51</c:v>
                </c:pt>
                <c:pt idx="17">
                  <c:v>0.82050000000000001</c:v>
                </c:pt>
                <c:pt idx="18">
                  <c:v>0.879</c:v>
                </c:pt>
                <c:pt idx="19">
                  <c:v>0.73</c:v>
                </c:pt>
                <c:pt idx="20">
                  <c:v>0.88300000000000001</c:v>
                </c:pt>
                <c:pt idx="21">
                  <c:v>0.81699999999999995</c:v>
                </c:pt>
                <c:pt idx="22">
                  <c:v>0.82799999999999996</c:v>
                </c:pt>
                <c:pt idx="23">
                  <c:v>0.876</c:v>
                </c:pt>
                <c:pt idx="24">
                  <c:v>0.79700000000000004</c:v>
                </c:pt>
                <c:pt idx="25">
                  <c:v>0.85799999999999998</c:v>
                </c:pt>
                <c:pt idx="26">
                  <c:v>0.76800000000000002</c:v>
                </c:pt>
                <c:pt idx="27">
                  <c:v>0.79700000000000004</c:v>
                </c:pt>
                <c:pt idx="28">
                  <c:v>0.81599999999999995</c:v>
                </c:pt>
                <c:pt idx="29">
                  <c:v>0.86699999999999999</c:v>
                </c:pt>
                <c:pt idx="30">
                  <c:v>0.73</c:v>
                </c:pt>
                <c:pt idx="31">
                  <c:v>0.86799999999999999</c:v>
                </c:pt>
                <c:pt idx="32">
                  <c:v>0.88600000000000001</c:v>
                </c:pt>
                <c:pt idx="33">
                  <c:v>0.80800000000000005</c:v>
                </c:pt>
                <c:pt idx="34">
                  <c:v>0.91700000000000004</c:v>
                </c:pt>
                <c:pt idx="35">
                  <c:v>0.77300000000000002</c:v>
                </c:pt>
                <c:pt idx="36">
                  <c:v>0.86099999999999999</c:v>
                </c:pt>
                <c:pt idx="37">
                  <c:v>0.82250000000000001</c:v>
                </c:pt>
                <c:pt idx="38">
                  <c:v>0.85299999999999998</c:v>
                </c:pt>
                <c:pt idx="39">
                  <c:v>0.64800000000000002</c:v>
                </c:pt>
                <c:pt idx="40">
                  <c:v>0.86650000000000005</c:v>
                </c:pt>
                <c:pt idx="41">
                  <c:v>0.70299999999999996</c:v>
                </c:pt>
                <c:pt idx="42">
                  <c:v>0.75</c:v>
                </c:pt>
                <c:pt idx="43">
                  <c:v>0.83199999999999996</c:v>
                </c:pt>
                <c:pt idx="44">
                  <c:v>0.73199999999999998</c:v>
                </c:pt>
                <c:pt idx="45">
                  <c:v>0.78900000000000003</c:v>
                </c:pt>
                <c:pt idx="46">
                  <c:v>0.79800000000000004</c:v>
                </c:pt>
                <c:pt idx="47">
                  <c:v>0.91449999999999998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5-48AF-914D-5E6F1986F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23808"/>
        <c:axId val="251851136"/>
      </c:scatterChart>
      <c:catAx>
        <c:axId val="245223808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851136"/>
        <c:crosses val="autoZero"/>
        <c:auto val="1"/>
        <c:lblAlgn val="ctr"/>
        <c:lblOffset val="10"/>
        <c:tickLblSkip val="3"/>
        <c:noMultiLvlLbl val="0"/>
      </c:catAx>
      <c:valAx>
        <c:axId val="2518511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522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14719917463587201"/>
          <c:y val="0.67289806386586604"/>
          <c:w val="0.62759684296470997"/>
          <c:h val="4.40134194616692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82679b6-efd1-4bd3-af42-e7e7c9b11f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2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099"/>
          <c:y val="0.180584250592282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平均达成度(0.76)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目标2散点趋势图!$B$1:$B$50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目标2散点趋势图!$D$1:$D$48</c:f>
              <c:numCache>
                <c:formatCode>0.00_ </c:formatCode>
                <c:ptCount val="48"/>
                <c:pt idx="0">
                  <c:v>0.82</c:v>
                </c:pt>
                <c:pt idx="1">
                  <c:v>0.82</c:v>
                </c:pt>
                <c:pt idx="2">
                  <c:v>0.82</c:v>
                </c:pt>
                <c:pt idx="3">
                  <c:v>0.82</c:v>
                </c:pt>
                <c:pt idx="4">
                  <c:v>0.82</c:v>
                </c:pt>
                <c:pt idx="5">
                  <c:v>0.82</c:v>
                </c:pt>
                <c:pt idx="6">
                  <c:v>0.82</c:v>
                </c:pt>
                <c:pt idx="7">
                  <c:v>0.82</c:v>
                </c:pt>
                <c:pt idx="8">
                  <c:v>0.82</c:v>
                </c:pt>
                <c:pt idx="9">
                  <c:v>0.82</c:v>
                </c:pt>
                <c:pt idx="10">
                  <c:v>0.82</c:v>
                </c:pt>
                <c:pt idx="11">
                  <c:v>0.82</c:v>
                </c:pt>
                <c:pt idx="12">
                  <c:v>0.82</c:v>
                </c:pt>
                <c:pt idx="13">
                  <c:v>0.82</c:v>
                </c:pt>
                <c:pt idx="14">
                  <c:v>0.82</c:v>
                </c:pt>
                <c:pt idx="15">
                  <c:v>0.82</c:v>
                </c:pt>
                <c:pt idx="16">
                  <c:v>0.82</c:v>
                </c:pt>
                <c:pt idx="17">
                  <c:v>0.82</c:v>
                </c:pt>
                <c:pt idx="18">
                  <c:v>0.82</c:v>
                </c:pt>
                <c:pt idx="19">
                  <c:v>0.82</c:v>
                </c:pt>
                <c:pt idx="20">
                  <c:v>0.82</c:v>
                </c:pt>
                <c:pt idx="21">
                  <c:v>0.82</c:v>
                </c:pt>
                <c:pt idx="22">
                  <c:v>0.82</c:v>
                </c:pt>
                <c:pt idx="23">
                  <c:v>0.82</c:v>
                </c:pt>
                <c:pt idx="24">
                  <c:v>0.82</c:v>
                </c:pt>
                <c:pt idx="25">
                  <c:v>0.82</c:v>
                </c:pt>
                <c:pt idx="26">
                  <c:v>0.82</c:v>
                </c:pt>
                <c:pt idx="27">
                  <c:v>0.82</c:v>
                </c:pt>
                <c:pt idx="28">
                  <c:v>0.82</c:v>
                </c:pt>
                <c:pt idx="29">
                  <c:v>0.82</c:v>
                </c:pt>
                <c:pt idx="30">
                  <c:v>0.82</c:v>
                </c:pt>
                <c:pt idx="31">
                  <c:v>0.82</c:v>
                </c:pt>
                <c:pt idx="32">
                  <c:v>0.82</c:v>
                </c:pt>
                <c:pt idx="33">
                  <c:v>0.82</c:v>
                </c:pt>
                <c:pt idx="34">
                  <c:v>0.82</c:v>
                </c:pt>
                <c:pt idx="35">
                  <c:v>0.82</c:v>
                </c:pt>
                <c:pt idx="36">
                  <c:v>0.82</c:v>
                </c:pt>
                <c:pt idx="37">
                  <c:v>0.82</c:v>
                </c:pt>
                <c:pt idx="38">
                  <c:v>0.82</c:v>
                </c:pt>
                <c:pt idx="39">
                  <c:v>0.82</c:v>
                </c:pt>
                <c:pt idx="40">
                  <c:v>0.82</c:v>
                </c:pt>
                <c:pt idx="41">
                  <c:v>0.82</c:v>
                </c:pt>
                <c:pt idx="42">
                  <c:v>0.82</c:v>
                </c:pt>
                <c:pt idx="43">
                  <c:v>0.82</c:v>
                </c:pt>
                <c:pt idx="44">
                  <c:v>0.82</c:v>
                </c:pt>
                <c:pt idx="45">
                  <c:v>0.82</c:v>
                </c:pt>
                <c:pt idx="46">
                  <c:v>0.82</c:v>
                </c:pt>
                <c:pt idx="47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8-489A-9CD4-4BC32981BC7F}"/>
            </c:ext>
          </c:extLst>
        </c:ser>
        <c:ser>
          <c:idx val="2"/>
          <c:order val="2"/>
          <c:tx>
            <c:v>期望达成度(0.6)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目标2散点趋势图!$B$1:$B$50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目标2散点趋势图!$E$1:$E$48</c:f>
              <c:numCache>
                <c:formatCode>0.00_ </c:formatCode>
                <c:ptCount val="4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08-489A-9CD4-4BC32981B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681536"/>
        <c:axId val="243684096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目标2散点趋势图!$B$1:$B$50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目标2散点趋势图!$C$1:$C$48</c:f>
              <c:numCache>
                <c:formatCode>0.00_ </c:formatCode>
                <c:ptCount val="48"/>
                <c:pt idx="0">
                  <c:v>0.76500000000000001</c:v>
                </c:pt>
                <c:pt idx="1">
                  <c:v>0.81799999999999995</c:v>
                </c:pt>
                <c:pt idx="2">
                  <c:v>0.74199999999999999</c:v>
                </c:pt>
                <c:pt idx="3">
                  <c:v>0.91</c:v>
                </c:pt>
                <c:pt idx="4">
                  <c:v>0.85</c:v>
                </c:pt>
                <c:pt idx="5">
                  <c:v>0.88800000000000001</c:v>
                </c:pt>
                <c:pt idx="6">
                  <c:v>0.69199999999999995</c:v>
                </c:pt>
                <c:pt idx="7">
                  <c:v>0.86550000000000005</c:v>
                </c:pt>
                <c:pt idx="8">
                  <c:v>0.79900000000000004</c:v>
                </c:pt>
                <c:pt idx="9">
                  <c:v>0.91800000000000004</c:v>
                </c:pt>
                <c:pt idx="10">
                  <c:v>0.92749999999999999</c:v>
                </c:pt>
                <c:pt idx="11">
                  <c:v>0.78700000000000003</c:v>
                </c:pt>
                <c:pt idx="12">
                  <c:v>0.90400000000000003</c:v>
                </c:pt>
                <c:pt idx="13">
                  <c:v>0.89549999999999996</c:v>
                </c:pt>
                <c:pt idx="14">
                  <c:v>0.82299999999999995</c:v>
                </c:pt>
                <c:pt idx="15">
                  <c:v>0.87</c:v>
                </c:pt>
                <c:pt idx="16">
                  <c:v>0.35</c:v>
                </c:pt>
                <c:pt idx="17">
                  <c:v>0.8</c:v>
                </c:pt>
                <c:pt idx="18">
                  <c:v>0.89800000000000002</c:v>
                </c:pt>
                <c:pt idx="19">
                  <c:v>0.77</c:v>
                </c:pt>
                <c:pt idx="20">
                  <c:v>0.9</c:v>
                </c:pt>
                <c:pt idx="21">
                  <c:v>0.86899999999999999</c:v>
                </c:pt>
                <c:pt idx="22">
                  <c:v>0.84050000000000002</c:v>
                </c:pt>
                <c:pt idx="23">
                  <c:v>0.91300000000000003</c:v>
                </c:pt>
                <c:pt idx="24">
                  <c:v>0.80400000000000005</c:v>
                </c:pt>
                <c:pt idx="25">
                  <c:v>0.85299999999999998</c:v>
                </c:pt>
                <c:pt idx="26">
                  <c:v>0.77200000000000002</c:v>
                </c:pt>
                <c:pt idx="27">
                  <c:v>0.85199999999999998</c:v>
                </c:pt>
                <c:pt idx="28">
                  <c:v>0.80600000000000005</c:v>
                </c:pt>
                <c:pt idx="29">
                  <c:v>0.90400000000000003</c:v>
                </c:pt>
                <c:pt idx="30">
                  <c:v>0.77600000000000002</c:v>
                </c:pt>
                <c:pt idx="31">
                  <c:v>0.82699999999999996</c:v>
                </c:pt>
                <c:pt idx="32">
                  <c:v>0.82</c:v>
                </c:pt>
                <c:pt idx="33">
                  <c:v>0.84</c:v>
                </c:pt>
                <c:pt idx="34">
                  <c:v>0.88400000000000001</c:v>
                </c:pt>
                <c:pt idx="35">
                  <c:v>0.83199999999999996</c:v>
                </c:pt>
                <c:pt idx="36">
                  <c:v>0.89300000000000002</c:v>
                </c:pt>
                <c:pt idx="37">
                  <c:v>0.83850000000000002</c:v>
                </c:pt>
                <c:pt idx="38">
                  <c:v>0.82899999999999996</c:v>
                </c:pt>
                <c:pt idx="39">
                  <c:v>0.71799999999999997</c:v>
                </c:pt>
                <c:pt idx="40">
                  <c:v>0.86199999999999999</c:v>
                </c:pt>
                <c:pt idx="41">
                  <c:v>0.71399999999999997</c:v>
                </c:pt>
                <c:pt idx="42">
                  <c:v>0.84199999999999997</c:v>
                </c:pt>
                <c:pt idx="43">
                  <c:v>0.83799999999999997</c:v>
                </c:pt>
                <c:pt idx="44">
                  <c:v>0.77700000000000002</c:v>
                </c:pt>
                <c:pt idx="45">
                  <c:v>0.76100000000000001</c:v>
                </c:pt>
                <c:pt idx="46">
                  <c:v>0.83599999999999997</c:v>
                </c:pt>
                <c:pt idx="47">
                  <c:v>0.88700000000000001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08-489A-9CD4-4BC32981B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81536"/>
        <c:axId val="243684096"/>
      </c:scatterChart>
      <c:catAx>
        <c:axId val="243681536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684096"/>
        <c:crosses val="autoZero"/>
        <c:auto val="1"/>
        <c:lblAlgn val="ctr"/>
        <c:lblOffset val="100"/>
        <c:tickLblSkip val="3"/>
        <c:noMultiLvlLbl val="0"/>
      </c:catAx>
      <c:valAx>
        <c:axId val="2436840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6815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5318895103991"/>
          <c:y val="0.663540553848467"/>
          <c:w val="0.62759684296470997"/>
          <c:h val="4.40134194616692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209cbd-4a8d-4421-a85e-189b791342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3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099"/>
          <c:y val="0.180584250592282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平均达成度(0.71)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目标3散点趋势图!$B$1:$B$50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目标3散点趋势图!$D$1:$D$48</c:f>
              <c:numCache>
                <c:formatCode>0.00_ </c:formatCode>
                <c:ptCount val="48"/>
                <c:pt idx="0">
                  <c:v>0.61</c:v>
                </c:pt>
                <c:pt idx="1">
                  <c:v>0.61</c:v>
                </c:pt>
                <c:pt idx="2">
                  <c:v>0.61</c:v>
                </c:pt>
                <c:pt idx="3">
                  <c:v>0.61</c:v>
                </c:pt>
                <c:pt idx="4">
                  <c:v>0.61</c:v>
                </c:pt>
                <c:pt idx="5">
                  <c:v>0.61</c:v>
                </c:pt>
                <c:pt idx="6">
                  <c:v>0.61</c:v>
                </c:pt>
                <c:pt idx="7">
                  <c:v>0.61</c:v>
                </c:pt>
                <c:pt idx="8">
                  <c:v>0.61</c:v>
                </c:pt>
                <c:pt idx="9">
                  <c:v>0.61</c:v>
                </c:pt>
                <c:pt idx="10">
                  <c:v>0.61</c:v>
                </c:pt>
                <c:pt idx="11">
                  <c:v>0.61</c:v>
                </c:pt>
                <c:pt idx="12">
                  <c:v>0.61</c:v>
                </c:pt>
                <c:pt idx="13">
                  <c:v>0.61</c:v>
                </c:pt>
                <c:pt idx="14">
                  <c:v>0.61</c:v>
                </c:pt>
                <c:pt idx="15">
                  <c:v>0.61</c:v>
                </c:pt>
                <c:pt idx="16">
                  <c:v>0.61</c:v>
                </c:pt>
                <c:pt idx="17">
                  <c:v>0.61</c:v>
                </c:pt>
                <c:pt idx="18">
                  <c:v>0.61</c:v>
                </c:pt>
                <c:pt idx="19">
                  <c:v>0.61</c:v>
                </c:pt>
                <c:pt idx="20">
                  <c:v>0.61</c:v>
                </c:pt>
                <c:pt idx="21">
                  <c:v>0.61</c:v>
                </c:pt>
                <c:pt idx="22">
                  <c:v>0.61</c:v>
                </c:pt>
                <c:pt idx="23">
                  <c:v>0.61</c:v>
                </c:pt>
                <c:pt idx="24">
                  <c:v>0.61</c:v>
                </c:pt>
                <c:pt idx="25">
                  <c:v>0.61</c:v>
                </c:pt>
                <c:pt idx="26">
                  <c:v>0.61</c:v>
                </c:pt>
                <c:pt idx="27">
                  <c:v>0.61</c:v>
                </c:pt>
                <c:pt idx="28">
                  <c:v>0.61</c:v>
                </c:pt>
                <c:pt idx="29">
                  <c:v>0.61</c:v>
                </c:pt>
                <c:pt idx="30">
                  <c:v>0.61</c:v>
                </c:pt>
                <c:pt idx="31">
                  <c:v>0.61</c:v>
                </c:pt>
                <c:pt idx="32">
                  <c:v>0.61</c:v>
                </c:pt>
                <c:pt idx="33">
                  <c:v>0.61</c:v>
                </c:pt>
                <c:pt idx="34">
                  <c:v>0.61</c:v>
                </c:pt>
                <c:pt idx="35">
                  <c:v>0.61</c:v>
                </c:pt>
                <c:pt idx="36">
                  <c:v>0.61</c:v>
                </c:pt>
                <c:pt idx="37">
                  <c:v>0.61</c:v>
                </c:pt>
                <c:pt idx="38">
                  <c:v>0.61</c:v>
                </c:pt>
                <c:pt idx="39">
                  <c:v>0.61</c:v>
                </c:pt>
                <c:pt idx="40">
                  <c:v>0.61</c:v>
                </c:pt>
                <c:pt idx="41">
                  <c:v>0.61</c:v>
                </c:pt>
                <c:pt idx="42">
                  <c:v>0.61</c:v>
                </c:pt>
                <c:pt idx="43">
                  <c:v>0.61</c:v>
                </c:pt>
                <c:pt idx="44">
                  <c:v>0.61</c:v>
                </c:pt>
                <c:pt idx="45">
                  <c:v>0.61</c:v>
                </c:pt>
                <c:pt idx="46">
                  <c:v>0.61</c:v>
                </c:pt>
                <c:pt idx="47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1-4174-917B-53ED3B077B38}"/>
            </c:ext>
          </c:extLst>
        </c:ser>
        <c:ser>
          <c:idx val="2"/>
          <c:order val="2"/>
          <c:tx>
            <c:v>期望达成度(0.6)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目标3散点趋势图!$B$1:$B$50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目标3散点趋势图!$E$1:$E$48</c:f>
              <c:numCache>
                <c:formatCode>0.00_ </c:formatCode>
                <c:ptCount val="4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1-4174-917B-53ED3B07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916032"/>
        <c:axId val="420528896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目标3散点趋势图!$B$1:$B$50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目标3散点趋势图!$C$1:$C$48</c:f>
              <c:numCache>
                <c:formatCode>0.00_ </c:formatCode>
                <c:ptCount val="48"/>
                <c:pt idx="0">
                  <c:v>0.56999999999999995</c:v>
                </c:pt>
                <c:pt idx="1">
                  <c:v>0.47499999999999998</c:v>
                </c:pt>
                <c:pt idx="2">
                  <c:v>0.47499999999999998</c:v>
                </c:pt>
                <c:pt idx="3">
                  <c:v>0.71499999999999997</c:v>
                </c:pt>
                <c:pt idx="4">
                  <c:v>0.73750000000000004</c:v>
                </c:pt>
                <c:pt idx="5">
                  <c:v>0.67</c:v>
                </c:pt>
                <c:pt idx="6">
                  <c:v>0.57499999999999996</c:v>
                </c:pt>
                <c:pt idx="7">
                  <c:v>0.66</c:v>
                </c:pt>
                <c:pt idx="8">
                  <c:v>0.58499999999999996</c:v>
                </c:pt>
                <c:pt idx="9">
                  <c:v>0.71</c:v>
                </c:pt>
                <c:pt idx="10">
                  <c:v>0.71</c:v>
                </c:pt>
                <c:pt idx="11">
                  <c:v>0.57499999999999996</c:v>
                </c:pt>
                <c:pt idx="12">
                  <c:v>0.67500000000000004</c:v>
                </c:pt>
                <c:pt idx="13">
                  <c:v>0.69499999999999995</c:v>
                </c:pt>
                <c:pt idx="14">
                  <c:v>0.625</c:v>
                </c:pt>
                <c:pt idx="15">
                  <c:v>0.65500000000000003</c:v>
                </c:pt>
                <c:pt idx="16">
                  <c:v>0.4</c:v>
                </c:pt>
                <c:pt idx="17">
                  <c:v>0.59499999999999997</c:v>
                </c:pt>
                <c:pt idx="18">
                  <c:v>0.56999999999999995</c:v>
                </c:pt>
                <c:pt idx="19">
                  <c:v>0.51500000000000001</c:v>
                </c:pt>
                <c:pt idx="20">
                  <c:v>0.68500000000000005</c:v>
                </c:pt>
                <c:pt idx="21">
                  <c:v>0.6</c:v>
                </c:pt>
                <c:pt idx="22">
                  <c:v>0.60499999999999998</c:v>
                </c:pt>
                <c:pt idx="23">
                  <c:v>0.7</c:v>
                </c:pt>
                <c:pt idx="24">
                  <c:v>0.57250000000000001</c:v>
                </c:pt>
                <c:pt idx="25">
                  <c:v>0.65</c:v>
                </c:pt>
                <c:pt idx="26">
                  <c:v>0.55000000000000004</c:v>
                </c:pt>
                <c:pt idx="27">
                  <c:v>0.59</c:v>
                </c:pt>
                <c:pt idx="28">
                  <c:v>0.63</c:v>
                </c:pt>
                <c:pt idx="29">
                  <c:v>0.70499999999999996</c:v>
                </c:pt>
                <c:pt idx="30">
                  <c:v>0.55000000000000004</c:v>
                </c:pt>
                <c:pt idx="31">
                  <c:v>0.62</c:v>
                </c:pt>
                <c:pt idx="32">
                  <c:v>0.63</c:v>
                </c:pt>
                <c:pt idx="33">
                  <c:v>0.62</c:v>
                </c:pt>
                <c:pt idx="34">
                  <c:v>0.70499999999999996</c:v>
                </c:pt>
                <c:pt idx="35">
                  <c:v>0.59499999999999997</c:v>
                </c:pt>
                <c:pt idx="36">
                  <c:v>0.66500000000000004</c:v>
                </c:pt>
                <c:pt idx="37">
                  <c:v>0.64</c:v>
                </c:pt>
                <c:pt idx="38">
                  <c:v>0.64</c:v>
                </c:pt>
                <c:pt idx="39">
                  <c:v>0.505</c:v>
                </c:pt>
                <c:pt idx="40">
                  <c:v>0.625</c:v>
                </c:pt>
                <c:pt idx="41">
                  <c:v>0.55000000000000004</c:v>
                </c:pt>
                <c:pt idx="42">
                  <c:v>0.61499999999999999</c:v>
                </c:pt>
                <c:pt idx="43">
                  <c:v>0.57499999999999996</c:v>
                </c:pt>
                <c:pt idx="44">
                  <c:v>0.49</c:v>
                </c:pt>
                <c:pt idx="45">
                  <c:v>0.495</c:v>
                </c:pt>
                <c:pt idx="46">
                  <c:v>0.52500000000000002</c:v>
                </c:pt>
                <c:pt idx="47">
                  <c:v>0.72499999999999998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71-4174-917B-53ED3B07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16032"/>
        <c:axId val="420528896"/>
      </c:scatterChart>
      <c:catAx>
        <c:axId val="419916032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528896"/>
        <c:crosses val="autoZero"/>
        <c:auto val="1"/>
        <c:lblAlgn val="ctr"/>
        <c:lblOffset val="100"/>
        <c:tickLblSkip val="3"/>
        <c:noMultiLvlLbl val="0"/>
      </c:catAx>
      <c:valAx>
        <c:axId val="420528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91603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152254261156601"/>
          <c:y val="0.74229247541279397"/>
          <c:w val="0.62759684296470997"/>
          <c:h val="4.40134194616692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eb733f-a9bb-4435-b6c9-954a5556be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4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099"/>
          <c:y val="0.180584250592282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平均达成度(0.71)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目标4散点趋势图!$B$1:$B$50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目标4散点趋势图!$D$1:$D$48</c:f>
              <c:numCache>
                <c:formatCode>0.00_ </c:formatCode>
                <c:ptCount val="48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0-4F59-AB01-A5137A7D5730}"/>
            </c:ext>
          </c:extLst>
        </c:ser>
        <c:ser>
          <c:idx val="2"/>
          <c:order val="2"/>
          <c:tx>
            <c:v>期望达成度(0.6)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目标4散点趋势图!$B$1:$B$50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目标4散点趋势图!$E$1:$E$48</c:f>
              <c:numCache>
                <c:formatCode>0.00_ </c:formatCode>
                <c:ptCount val="4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0-4F59-AB01-A5137A7D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672704"/>
        <c:axId val="403399424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目标4散点趋势图!$B$1:$B$50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目标4散点趋势图!$C$1:$C$48</c:f>
              <c:numCache>
                <c:formatCode>0.00_ </c:formatCode>
                <c:ptCount val="48"/>
                <c:pt idx="0">
                  <c:v>0.69666666666666699</c:v>
                </c:pt>
                <c:pt idx="1">
                  <c:v>0.74555555555555597</c:v>
                </c:pt>
                <c:pt idx="2">
                  <c:v>0.67222222222222205</c:v>
                </c:pt>
                <c:pt idx="3">
                  <c:v>0.82277777777777805</c:v>
                </c:pt>
                <c:pt idx="4">
                  <c:v>0.82499999999999996</c:v>
                </c:pt>
                <c:pt idx="5">
                  <c:v>0.84166666666666701</c:v>
                </c:pt>
                <c:pt idx="6">
                  <c:v>0.67905555555555597</c:v>
                </c:pt>
                <c:pt idx="7">
                  <c:v>0.74222222222222201</c:v>
                </c:pt>
                <c:pt idx="8">
                  <c:v>0.75777777777777799</c:v>
                </c:pt>
                <c:pt idx="9">
                  <c:v>0.86627777777777804</c:v>
                </c:pt>
                <c:pt idx="10">
                  <c:v>0.83111111111111102</c:v>
                </c:pt>
                <c:pt idx="11">
                  <c:v>0.78649999999999998</c:v>
                </c:pt>
                <c:pt idx="12">
                  <c:v>0.91222222222222205</c:v>
                </c:pt>
                <c:pt idx="13">
                  <c:v>0.77888888888888896</c:v>
                </c:pt>
                <c:pt idx="14">
                  <c:v>0.793333333333333</c:v>
                </c:pt>
                <c:pt idx="15">
                  <c:v>0.801111111111111</c:v>
                </c:pt>
                <c:pt idx="16">
                  <c:v>0.54316666666666702</c:v>
                </c:pt>
                <c:pt idx="17">
                  <c:v>0.73111111111111104</c:v>
                </c:pt>
                <c:pt idx="18">
                  <c:v>0.78683333333333305</c:v>
                </c:pt>
                <c:pt idx="19">
                  <c:v>0.612222222222222</c:v>
                </c:pt>
                <c:pt idx="20">
                  <c:v>0.73166666666666702</c:v>
                </c:pt>
                <c:pt idx="21">
                  <c:v>0.73666666666666702</c:v>
                </c:pt>
                <c:pt idx="22">
                  <c:v>0.8</c:v>
                </c:pt>
                <c:pt idx="23">
                  <c:v>0.93183333333333296</c:v>
                </c:pt>
                <c:pt idx="24">
                  <c:v>0.81666666666666698</c:v>
                </c:pt>
                <c:pt idx="25">
                  <c:v>0.70055555555555604</c:v>
                </c:pt>
                <c:pt idx="26">
                  <c:v>0.729833333333333</c:v>
                </c:pt>
                <c:pt idx="27">
                  <c:v>0.69</c:v>
                </c:pt>
                <c:pt idx="28">
                  <c:v>0.68055555555555602</c:v>
                </c:pt>
                <c:pt idx="29">
                  <c:v>0.79183333333333294</c:v>
                </c:pt>
                <c:pt idx="30">
                  <c:v>0.72722222222222199</c:v>
                </c:pt>
                <c:pt idx="31">
                  <c:v>0.737222222222222</c:v>
                </c:pt>
                <c:pt idx="32">
                  <c:v>0.80500000000000005</c:v>
                </c:pt>
                <c:pt idx="33">
                  <c:v>0.79149999999999998</c:v>
                </c:pt>
                <c:pt idx="34">
                  <c:v>0.836666666666667</c:v>
                </c:pt>
                <c:pt idx="35">
                  <c:v>0.73650000000000004</c:v>
                </c:pt>
                <c:pt idx="36">
                  <c:v>0.83</c:v>
                </c:pt>
                <c:pt idx="37">
                  <c:v>0.62222222222222201</c:v>
                </c:pt>
                <c:pt idx="38">
                  <c:v>0.82444444444444498</c:v>
                </c:pt>
                <c:pt idx="39">
                  <c:v>0.70888888888888901</c:v>
                </c:pt>
                <c:pt idx="40">
                  <c:v>0.77055555555555599</c:v>
                </c:pt>
                <c:pt idx="41">
                  <c:v>0.67649999999999999</c:v>
                </c:pt>
                <c:pt idx="42">
                  <c:v>0.51222222222222202</c:v>
                </c:pt>
                <c:pt idx="43">
                  <c:v>0.73572222222222206</c:v>
                </c:pt>
                <c:pt idx="44">
                  <c:v>0.67222222222222205</c:v>
                </c:pt>
                <c:pt idx="45">
                  <c:v>0.74722222222222201</c:v>
                </c:pt>
                <c:pt idx="46">
                  <c:v>0.663333333333333</c:v>
                </c:pt>
                <c:pt idx="47">
                  <c:v>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80-4F59-AB01-A5137A7D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72704"/>
        <c:axId val="403399424"/>
      </c:scatterChart>
      <c:catAx>
        <c:axId val="385672704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3399424"/>
        <c:crosses val="autoZero"/>
        <c:auto val="1"/>
        <c:lblAlgn val="ctr"/>
        <c:lblOffset val="100"/>
        <c:tickLblSkip val="3"/>
        <c:noMultiLvlLbl val="0"/>
      </c:catAx>
      <c:valAx>
        <c:axId val="403399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67270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929837626716"/>
          <c:y val="0.69061152688620397"/>
          <c:w val="0.62759684296470997"/>
          <c:h val="4.40134194616692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e97908-f90f-4ed6-a528-5fa90cd479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5" Type="http://schemas.openxmlformats.org/officeDocument/2006/relationships/image" Target="../media/image5.wmf"/><Relationship Id="rId10" Type="http://schemas.openxmlformats.org/officeDocument/2006/relationships/image" Target="../media/image10.wmf"/><Relationship Id="rId4" Type="http://schemas.openxmlformats.org/officeDocument/2006/relationships/image" Target="../media/image4.wmf"/><Relationship Id="rId9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44673</xdr:colOff>
      <xdr:row>3</xdr:row>
      <xdr:rowOff>19289</xdr:rowOff>
    </xdr:from>
    <xdr:to>
      <xdr:col>2</xdr:col>
      <xdr:colOff>386816</xdr:colOff>
      <xdr:row>5</xdr:row>
      <xdr:rowOff>144228</xdr:rowOff>
    </xdr:to>
    <xdr:grpSp>
      <xdr:nvGrpSpPr>
        <xdr:cNvPr id="14" name="Group 6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44673" y="1086089"/>
          <a:ext cx="2323343" cy="879319"/>
          <a:chOff x="-61" y="76"/>
          <a:chExt cx="354" cy="89"/>
        </a:xfrm>
      </xdr:grpSpPr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60" y="83"/>
            <a:ext cx="90" cy="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接连接符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5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19" name="TextBox 6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94" y="74"/>
          <a:ext cx="983839" cy="1360096"/>
          <a:chOff x="94" y="74"/>
          <a:chExt cx="1214344" cy="876226"/>
        </a:xfrm>
      </xdr:grpSpPr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22" name="直接连接符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5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44673</xdr:colOff>
      <xdr:row>3</xdr:row>
      <xdr:rowOff>19289</xdr:rowOff>
    </xdr:from>
    <xdr:to>
      <xdr:col>1</xdr:col>
      <xdr:colOff>1057275</xdr:colOff>
      <xdr:row>5</xdr:row>
      <xdr:rowOff>144228</xdr:rowOff>
    </xdr:to>
    <xdr:grpSp>
      <xdr:nvGrpSpPr>
        <xdr:cNvPr id="14" name="Group 6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44673" y="628889"/>
          <a:ext cx="1934622" cy="925039"/>
          <a:chOff x="-61" y="76"/>
          <a:chExt cx="354" cy="89"/>
        </a:xfrm>
      </xdr:grpSpPr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60" y="83"/>
            <a:ext cx="90" cy="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接连接符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19" name="TextBox 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94" y="74"/>
          <a:ext cx="983839" cy="902896"/>
          <a:chOff x="94" y="74"/>
          <a:chExt cx="1214344" cy="876226"/>
        </a:xfrm>
      </xdr:grpSpPr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22" name="直接连接符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5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5002</xdr:rowOff>
    </xdr:from>
    <xdr:to>
      <xdr:col>2</xdr:col>
      <xdr:colOff>342143</xdr:colOff>
      <xdr:row>5</xdr:row>
      <xdr:rowOff>129941</xdr:rowOff>
    </xdr:to>
    <xdr:grpSp>
      <xdr:nvGrpSpPr>
        <xdr:cNvPr id="14" name="Group 6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0" y="604092"/>
          <a:ext cx="1960736" cy="918470"/>
          <a:chOff x="-61" y="76"/>
          <a:chExt cx="354" cy="89"/>
        </a:xfrm>
      </xdr:grpSpPr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40" y="83"/>
            <a:ext cx="110" cy="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接连接符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5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19" name="TextBox 6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/>
      </xdr:nvGrpSpPr>
      <xdr:grpSpPr>
        <a:xfrm>
          <a:off x="94" y="74"/>
          <a:ext cx="955198" cy="893962"/>
          <a:chOff x="94" y="74"/>
          <a:chExt cx="1214344" cy="876226"/>
        </a:xfrm>
      </xdr:grpSpPr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22" name="直接连接符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5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5</xdr:row>
      <xdr:rowOff>28576</xdr:rowOff>
    </xdr:from>
    <xdr:to>
      <xdr:col>0</xdr:col>
      <xdr:colOff>2</xdr:colOff>
      <xdr:row>5</xdr:row>
      <xdr:rowOff>28576</xdr:rowOff>
    </xdr:to>
    <xdr:grpSp>
      <xdr:nvGrpSpPr>
        <xdr:cNvPr id="2" name="Group 6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" y="843916"/>
          <a:ext cx="0" cy="0"/>
          <a:chOff x="94" y="74"/>
          <a:chExt cx="146" cy="7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0" y="80"/>
            <a:ext cx="72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21</xdr:row>
          <xdr:rowOff>0</xdr:rowOff>
        </xdr:from>
        <xdr:to>
          <xdr:col>0</xdr:col>
          <xdr:colOff>632460</xdr:colOff>
          <xdr:row>23</xdr:row>
          <xdr:rowOff>76200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274320</xdr:colOff>
          <xdr:row>20</xdr:row>
          <xdr:rowOff>121920</xdr:rowOff>
        </xdr:from>
        <xdr:to>
          <xdr:col>2</xdr:col>
          <xdr:colOff>381000</xdr:colOff>
          <xdr:row>23</xdr:row>
          <xdr:rowOff>68580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167640</xdr:colOff>
          <xdr:row>21</xdr:row>
          <xdr:rowOff>22860</xdr:rowOff>
        </xdr:from>
        <xdr:to>
          <xdr:col>4</xdr:col>
          <xdr:colOff>312420</xdr:colOff>
          <xdr:row>22</xdr:row>
          <xdr:rowOff>121920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594360</xdr:colOff>
          <xdr:row>20</xdr:row>
          <xdr:rowOff>99060</xdr:rowOff>
        </xdr:from>
        <xdr:to>
          <xdr:col>6</xdr:col>
          <xdr:colOff>45720</xdr:colOff>
          <xdr:row>23</xdr:row>
          <xdr:rowOff>60960</xdr:rowOff>
        </xdr:to>
        <xdr:sp macro="" textlink="">
          <xdr:nvSpPr>
            <xdr:cNvPr id="8196" name="Object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20</xdr:row>
          <xdr:rowOff>83820</xdr:rowOff>
        </xdr:from>
        <xdr:to>
          <xdr:col>8</xdr:col>
          <xdr:colOff>30480</xdr:colOff>
          <xdr:row>23</xdr:row>
          <xdr:rowOff>30480</xdr:rowOff>
        </xdr:to>
        <xdr:sp macro="" textlink="">
          <xdr:nvSpPr>
            <xdr:cNvPr id="8197" name="Object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21</xdr:row>
          <xdr:rowOff>0</xdr:rowOff>
        </xdr:from>
        <xdr:to>
          <xdr:col>9</xdr:col>
          <xdr:colOff>723900</xdr:colOff>
          <xdr:row>23</xdr:row>
          <xdr:rowOff>76200</xdr:rowOff>
        </xdr:to>
        <xdr:sp macro="" textlink="">
          <xdr:nvSpPr>
            <xdr:cNvPr id="8198" name="Object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</xdr:colOff>
          <xdr:row>6</xdr:row>
          <xdr:rowOff>121920</xdr:rowOff>
        </xdr:from>
        <xdr:to>
          <xdr:col>1</xdr:col>
          <xdr:colOff>373380</xdr:colOff>
          <xdr:row>6</xdr:row>
          <xdr:rowOff>350520</xdr:rowOff>
        </xdr:to>
        <xdr:sp macro="" textlink="">
          <xdr:nvSpPr>
            <xdr:cNvPr id="8200" name="Object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281940</xdr:colOff>
          <xdr:row>6</xdr:row>
          <xdr:rowOff>91440</xdr:rowOff>
        </xdr:from>
        <xdr:to>
          <xdr:col>3</xdr:col>
          <xdr:colOff>441960</xdr:colOff>
          <xdr:row>6</xdr:row>
          <xdr:rowOff>335280</xdr:rowOff>
        </xdr:to>
        <xdr:sp macro="" textlink="">
          <xdr:nvSpPr>
            <xdr:cNvPr id="8201" name="Object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236220</xdr:colOff>
          <xdr:row>6</xdr:row>
          <xdr:rowOff>121920</xdr:rowOff>
        </xdr:from>
        <xdr:to>
          <xdr:col>4</xdr:col>
          <xdr:colOff>563880</xdr:colOff>
          <xdr:row>6</xdr:row>
          <xdr:rowOff>365760</xdr:rowOff>
        </xdr:to>
        <xdr:sp macro="" textlink="">
          <xdr:nvSpPr>
            <xdr:cNvPr id="8202" name="Object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251460</xdr:colOff>
          <xdr:row>6</xdr:row>
          <xdr:rowOff>137160</xdr:rowOff>
        </xdr:from>
        <xdr:to>
          <xdr:col>5</xdr:col>
          <xdr:colOff>495300</xdr:colOff>
          <xdr:row>7</xdr:row>
          <xdr:rowOff>0</xdr:rowOff>
        </xdr:to>
        <xdr:sp macro="" textlink="">
          <xdr:nvSpPr>
            <xdr:cNvPr id="8203" name="Object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6</xdr:row>
          <xdr:rowOff>144780</xdr:rowOff>
        </xdr:from>
        <xdr:to>
          <xdr:col>6</xdr:col>
          <xdr:colOff>464820</xdr:colOff>
          <xdr:row>7</xdr:row>
          <xdr:rowOff>7620</xdr:rowOff>
        </xdr:to>
        <xdr:sp macro="" textlink="">
          <xdr:nvSpPr>
            <xdr:cNvPr id="8204" name="Object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6</xdr:row>
          <xdr:rowOff>121920</xdr:rowOff>
        </xdr:from>
        <xdr:to>
          <xdr:col>7</xdr:col>
          <xdr:colOff>403860</xdr:colOff>
          <xdr:row>6</xdr:row>
          <xdr:rowOff>350520</xdr:rowOff>
        </xdr:to>
        <xdr:sp macro="" textlink="">
          <xdr:nvSpPr>
            <xdr:cNvPr id="8205" name="对象 56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4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9</xdr:row>
          <xdr:rowOff>144780</xdr:rowOff>
        </xdr:from>
        <xdr:to>
          <xdr:col>6</xdr:col>
          <xdr:colOff>464820</xdr:colOff>
          <xdr:row>10</xdr:row>
          <xdr:rowOff>7620</xdr:rowOff>
        </xdr:to>
        <xdr:sp macro="" textlink="">
          <xdr:nvSpPr>
            <xdr:cNvPr id="8206" name="Object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4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12</xdr:row>
          <xdr:rowOff>144780</xdr:rowOff>
        </xdr:from>
        <xdr:to>
          <xdr:col>6</xdr:col>
          <xdr:colOff>464820</xdr:colOff>
          <xdr:row>13</xdr:row>
          <xdr:rowOff>7620</xdr:rowOff>
        </xdr:to>
        <xdr:sp macro="" textlink="">
          <xdr:nvSpPr>
            <xdr:cNvPr id="8207" name="Object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4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15</xdr:row>
          <xdr:rowOff>144780</xdr:rowOff>
        </xdr:from>
        <xdr:to>
          <xdr:col>6</xdr:col>
          <xdr:colOff>464820</xdr:colOff>
          <xdr:row>16</xdr:row>
          <xdr:rowOff>7620</xdr:rowOff>
        </xdr:to>
        <xdr:sp macro="" textlink="">
          <xdr:nvSpPr>
            <xdr:cNvPr id="8208" name="Object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4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15</xdr:row>
          <xdr:rowOff>144780</xdr:rowOff>
        </xdr:from>
        <xdr:to>
          <xdr:col>6</xdr:col>
          <xdr:colOff>464820</xdr:colOff>
          <xdr:row>16</xdr:row>
          <xdr:rowOff>7620</xdr:rowOff>
        </xdr:to>
        <xdr:sp macro="" textlink="">
          <xdr:nvSpPr>
            <xdr:cNvPr id="8209" name="Object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4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18</xdr:row>
          <xdr:rowOff>144780</xdr:rowOff>
        </xdr:from>
        <xdr:to>
          <xdr:col>6</xdr:col>
          <xdr:colOff>464820</xdr:colOff>
          <xdr:row>19</xdr:row>
          <xdr:rowOff>7620</xdr:rowOff>
        </xdr:to>
        <xdr:sp macro="" textlink="">
          <xdr:nvSpPr>
            <xdr:cNvPr id="8210" name="Object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181610</xdr:colOff>
      <xdr:row>3</xdr:row>
      <xdr:rowOff>14923</xdr:rowOff>
    </xdr:from>
    <xdr:to>
      <xdr:col>15</xdr:col>
      <xdr:colOff>84455</xdr:colOff>
      <xdr:row>23</xdr:row>
      <xdr:rowOff>147638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512082</xdr:colOff>
      <xdr:row>3</xdr:row>
      <xdr:rowOff>149862</xdr:rowOff>
    </xdr:from>
    <xdr:to>
      <xdr:col>19</xdr:col>
      <xdr:colOff>20409</xdr:colOff>
      <xdr:row>31</xdr:row>
      <xdr:rowOff>54428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wmf"/><Relationship Id="rId26" Type="http://schemas.openxmlformats.org/officeDocument/2006/relationships/image" Target="../media/image12.wmf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0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wmf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2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7.wmf"/><Relationship Id="rId20" Type="http://schemas.openxmlformats.org/officeDocument/2006/relationships/image" Target="../media/image9.wmf"/><Relationship Id="rId29" Type="http://schemas.openxmlformats.org/officeDocument/2006/relationships/oleObject" Target="../embeddings/oleObject15.bin"/><Relationship Id="rId1" Type="http://schemas.openxmlformats.org/officeDocument/2006/relationships/drawing" Target="../drawings/drawing5.xml"/><Relationship Id="rId6" Type="http://schemas.openxmlformats.org/officeDocument/2006/relationships/image" Target="../media/image2.wmf"/><Relationship Id="rId11" Type="http://schemas.openxmlformats.org/officeDocument/2006/relationships/oleObject" Target="../embeddings/oleObject5.bin"/><Relationship Id="rId24" Type="http://schemas.openxmlformats.org/officeDocument/2006/relationships/image" Target="../media/image11.wmf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28" Type="http://schemas.openxmlformats.org/officeDocument/2006/relationships/oleObject" Target="../embeddings/oleObject14.bin"/><Relationship Id="rId10" Type="http://schemas.openxmlformats.org/officeDocument/2006/relationships/image" Target="../media/image4.wmf"/><Relationship Id="rId19" Type="http://schemas.openxmlformats.org/officeDocument/2006/relationships/oleObject" Target="../embeddings/oleObject9.bin"/><Relationship Id="rId31" Type="http://schemas.openxmlformats.org/officeDocument/2006/relationships/oleObject" Target="../embeddings/oleObject17.bin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wmf"/><Relationship Id="rId22" Type="http://schemas.openxmlformats.org/officeDocument/2006/relationships/image" Target="../media/image10.wmf"/><Relationship Id="rId27" Type="http://schemas.openxmlformats.org/officeDocument/2006/relationships/oleObject" Target="../embeddings/oleObject13.bin"/><Relationship Id="rId30" Type="http://schemas.openxmlformats.org/officeDocument/2006/relationships/oleObject" Target="../embeddings/oleObject1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55"/>
  <sheetViews>
    <sheetView workbookViewId="0">
      <selection activeCell="C5" sqref="C5"/>
    </sheetView>
  </sheetViews>
  <sheetFormatPr defaultColWidth="9" defaultRowHeight="15.6"/>
  <cols>
    <col min="1" max="1" width="12.09765625" style="49" customWidth="1"/>
    <col min="2" max="2" width="13.8984375" style="49" customWidth="1"/>
    <col min="3" max="3" width="10.09765625" style="50" customWidth="1"/>
    <col min="4" max="4" width="11.59765625" style="50" customWidth="1"/>
    <col min="5" max="5" width="10.09765625" style="50" customWidth="1"/>
    <col min="6" max="6" width="11.59765625" style="50" customWidth="1"/>
    <col min="7" max="7" width="10.19921875" style="49" customWidth="1"/>
    <col min="8" max="8" width="11.5" style="51" customWidth="1"/>
    <col min="9" max="9" width="10.09765625" style="49" customWidth="1"/>
    <col min="10" max="10" width="12.69921875" style="51" customWidth="1"/>
    <col min="11" max="11" width="15.3984375" style="52" customWidth="1"/>
    <col min="12" max="16384" width="9" style="49"/>
  </cols>
  <sheetData>
    <row r="1" spans="1:11" ht="29.25" customHeight="1">
      <c r="A1" s="66" t="s">
        <v>0</v>
      </c>
      <c r="B1" s="66"/>
      <c r="C1" s="66"/>
      <c r="D1" s="66"/>
      <c r="E1" s="66"/>
      <c r="F1" s="66"/>
      <c r="G1" s="66"/>
      <c r="H1" s="67"/>
      <c r="I1" s="66"/>
      <c r="J1" s="67"/>
      <c r="K1" s="68"/>
    </row>
    <row r="2" spans="1:11" ht="39" customHeight="1">
      <c r="A2" s="69" t="s">
        <v>1</v>
      </c>
      <c r="B2" s="69"/>
      <c r="C2" s="70" t="s">
        <v>2</v>
      </c>
      <c r="D2" s="70"/>
      <c r="E2" s="70"/>
      <c r="F2" s="70"/>
      <c r="G2" s="70"/>
      <c r="H2" s="70"/>
      <c r="I2" s="70"/>
      <c r="J2" s="70"/>
      <c r="K2" s="20" t="s">
        <v>3</v>
      </c>
    </row>
    <row r="3" spans="1:11" ht="16.2">
      <c r="A3" s="71" t="s">
        <v>4</v>
      </c>
      <c r="B3" s="72"/>
      <c r="C3" s="73">
        <v>1</v>
      </c>
      <c r="D3" s="73"/>
      <c r="E3" s="73">
        <v>2</v>
      </c>
      <c r="F3" s="73"/>
      <c r="G3" s="74" t="s">
        <v>5</v>
      </c>
      <c r="H3" s="73"/>
      <c r="I3" s="73">
        <v>4</v>
      </c>
      <c r="J3" s="75"/>
      <c r="K3" s="79" t="s">
        <v>6</v>
      </c>
    </row>
    <row r="4" spans="1:11">
      <c r="A4" s="71" t="s">
        <v>7</v>
      </c>
      <c r="B4" s="78"/>
      <c r="C4" s="80" t="s">
        <v>8</v>
      </c>
      <c r="D4" s="80"/>
      <c r="E4" s="80" t="s">
        <v>9</v>
      </c>
      <c r="F4" s="80"/>
      <c r="G4" s="80" t="s">
        <v>10</v>
      </c>
      <c r="H4" s="80"/>
      <c r="I4" s="80" t="s">
        <v>11</v>
      </c>
      <c r="J4" s="81"/>
      <c r="K4" s="68"/>
    </row>
    <row r="5" spans="1:11" ht="44.1" customHeight="1">
      <c r="A5" s="72"/>
      <c r="B5" s="72"/>
      <c r="C5" s="18" t="s">
        <v>12</v>
      </c>
      <c r="D5" s="18" t="s">
        <v>13</v>
      </c>
      <c r="E5" s="18" t="s">
        <v>14</v>
      </c>
      <c r="F5" s="18" t="s">
        <v>13</v>
      </c>
      <c r="G5" s="18" t="s">
        <v>15</v>
      </c>
      <c r="H5" s="18" t="s">
        <v>13</v>
      </c>
      <c r="I5" s="18" t="s">
        <v>16</v>
      </c>
      <c r="J5" s="18" t="s">
        <v>13</v>
      </c>
      <c r="K5" s="20" t="s">
        <v>17</v>
      </c>
    </row>
    <row r="6" spans="1:11" ht="16.2">
      <c r="A6" s="25" t="s">
        <v>18</v>
      </c>
      <c r="B6" s="26" t="s">
        <v>19</v>
      </c>
      <c r="C6" s="53">
        <v>76</v>
      </c>
      <c r="D6" s="54">
        <f>C6*0.01</f>
        <v>0.76</v>
      </c>
      <c r="E6" s="53">
        <v>71</v>
      </c>
      <c r="F6" s="54">
        <f>E6*0.01</f>
        <v>0.71</v>
      </c>
      <c r="G6" s="53">
        <v>72</v>
      </c>
      <c r="H6" s="45">
        <f>G6*0.01</f>
        <v>0.72</v>
      </c>
      <c r="I6" s="55">
        <v>68</v>
      </c>
      <c r="J6" s="45">
        <f>I6*0.01</f>
        <v>0.68</v>
      </c>
      <c r="K6" s="46">
        <f t="shared" ref="K6:K13" si="0">C6*0.3+E6*0.2+G6*0.2+I6*0.3</f>
        <v>71.8</v>
      </c>
    </row>
    <row r="7" spans="1:11" ht="16.2">
      <c r="A7" s="25" t="s">
        <v>20</v>
      </c>
      <c r="B7" s="26" t="s">
        <v>21</v>
      </c>
      <c r="C7" s="53">
        <v>76</v>
      </c>
      <c r="D7" s="54">
        <f t="shared" ref="D7:D13" si="1">C7*0.01</f>
        <v>0.76</v>
      </c>
      <c r="E7" s="53">
        <v>70</v>
      </c>
      <c r="F7" s="54">
        <f t="shared" ref="F7:F13" si="2">E7*0.01</f>
        <v>0.7</v>
      </c>
      <c r="G7" s="53">
        <v>50</v>
      </c>
      <c r="H7" s="45">
        <f t="shared" ref="H7:H13" si="3">G7*0.01</f>
        <v>0.5</v>
      </c>
      <c r="I7" s="55">
        <v>80</v>
      </c>
      <c r="J7" s="45">
        <f t="shared" ref="J7:J13" si="4">I7*0.01</f>
        <v>0.8</v>
      </c>
      <c r="K7" s="46">
        <f t="shared" si="0"/>
        <v>70.8</v>
      </c>
    </row>
    <row r="8" spans="1:11" ht="16.2">
      <c r="A8" s="25" t="s">
        <v>22</v>
      </c>
      <c r="B8" s="26" t="s">
        <v>23</v>
      </c>
      <c r="C8" s="53">
        <v>62</v>
      </c>
      <c r="D8" s="54">
        <f t="shared" si="1"/>
        <v>0.62</v>
      </c>
      <c r="E8" s="53">
        <v>50</v>
      </c>
      <c r="F8" s="54">
        <f t="shared" si="2"/>
        <v>0.5</v>
      </c>
      <c r="G8" s="53">
        <v>50</v>
      </c>
      <c r="H8" s="45">
        <f t="shared" si="3"/>
        <v>0.5</v>
      </c>
      <c r="I8" s="55">
        <v>60</v>
      </c>
      <c r="J8" s="45">
        <f t="shared" si="4"/>
        <v>0.6</v>
      </c>
      <c r="K8" s="46">
        <f t="shared" si="0"/>
        <v>56.6</v>
      </c>
    </row>
    <row r="9" spans="1:11" ht="16.2">
      <c r="A9" s="25" t="s">
        <v>24</v>
      </c>
      <c r="B9" s="26" t="s">
        <v>25</v>
      </c>
      <c r="C9" s="53">
        <v>92</v>
      </c>
      <c r="D9" s="54">
        <f t="shared" si="1"/>
        <v>0.92</v>
      </c>
      <c r="E9" s="53">
        <v>91</v>
      </c>
      <c r="F9" s="54">
        <f t="shared" si="2"/>
        <v>0.91</v>
      </c>
      <c r="G9" s="53">
        <v>92</v>
      </c>
      <c r="H9" s="45">
        <f t="shared" si="3"/>
        <v>0.92</v>
      </c>
      <c r="I9" s="55">
        <v>87</v>
      </c>
      <c r="J9" s="45">
        <f t="shared" si="4"/>
        <v>0.87</v>
      </c>
      <c r="K9" s="46">
        <f t="shared" si="0"/>
        <v>90.3</v>
      </c>
    </row>
    <row r="10" spans="1:11" ht="16.2">
      <c r="A10" s="25" t="s">
        <v>26</v>
      </c>
      <c r="B10" s="26" t="s">
        <v>27</v>
      </c>
      <c r="C10" s="53">
        <v>92</v>
      </c>
      <c r="D10" s="54">
        <f t="shared" si="1"/>
        <v>0.92</v>
      </c>
      <c r="E10" s="53">
        <v>91</v>
      </c>
      <c r="F10" s="54">
        <f t="shared" si="2"/>
        <v>0.91</v>
      </c>
      <c r="G10" s="53">
        <v>92</v>
      </c>
      <c r="H10" s="45">
        <f t="shared" si="3"/>
        <v>0.92</v>
      </c>
      <c r="I10" s="55">
        <v>93</v>
      </c>
      <c r="J10" s="45">
        <f t="shared" si="4"/>
        <v>0.93</v>
      </c>
      <c r="K10" s="46">
        <f t="shared" si="0"/>
        <v>92.1</v>
      </c>
    </row>
    <row r="11" spans="1:11" ht="16.2">
      <c r="A11" s="25" t="s">
        <v>28</v>
      </c>
      <c r="B11" s="26" t="s">
        <v>29</v>
      </c>
      <c r="C11" s="53">
        <v>78</v>
      </c>
      <c r="D11" s="54">
        <f t="shared" si="1"/>
        <v>0.78</v>
      </c>
      <c r="E11" s="53">
        <v>78</v>
      </c>
      <c r="F11" s="54">
        <f t="shared" si="2"/>
        <v>0.78</v>
      </c>
      <c r="G11" s="53">
        <v>86</v>
      </c>
      <c r="H11" s="45">
        <f t="shared" si="3"/>
        <v>0.86</v>
      </c>
      <c r="I11" s="55">
        <v>87</v>
      </c>
      <c r="J11" s="45">
        <f t="shared" si="4"/>
        <v>0.87</v>
      </c>
      <c r="K11" s="46">
        <f t="shared" si="0"/>
        <v>82.3</v>
      </c>
    </row>
    <row r="12" spans="1:11" ht="16.2">
      <c r="A12" s="25" t="s">
        <v>30</v>
      </c>
      <c r="B12" s="26" t="s">
        <v>31</v>
      </c>
      <c r="C12" s="53">
        <v>50</v>
      </c>
      <c r="D12" s="54">
        <f t="shared" si="1"/>
        <v>0.5</v>
      </c>
      <c r="E12" s="53">
        <v>50</v>
      </c>
      <c r="F12" s="54">
        <f t="shared" si="2"/>
        <v>0.5</v>
      </c>
      <c r="G12" s="53">
        <v>70</v>
      </c>
      <c r="H12" s="45">
        <f t="shared" si="3"/>
        <v>0.7</v>
      </c>
      <c r="I12" s="55">
        <v>62.7</v>
      </c>
      <c r="J12" s="45">
        <f t="shared" si="4"/>
        <v>0.627</v>
      </c>
      <c r="K12" s="46">
        <f t="shared" si="0"/>
        <v>57.81</v>
      </c>
    </row>
    <row r="13" spans="1:11" ht="16.2">
      <c r="A13" s="25" t="s">
        <v>32</v>
      </c>
      <c r="B13" s="26" t="s">
        <v>33</v>
      </c>
      <c r="C13" s="53">
        <v>88</v>
      </c>
      <c r="D13" s="54">
        <f t="shared" si="1"/>
        <v>0.88</v>
      </c>
      <c r="E13" s="53">
        <v>80</v>
      </c>
      <c r="F13" s="54">
        <f t="shared" si="2"/>
        <v>0.8</v>
      </c>
      <c r="G13" s="53">
        <v>90</v>
      </c>
      <c r="H13" s="45">
        <f t="shared" si="3"/>
        <v>0.9</v>
      </c>
      <c r="I13" s="55">
        <v>74</v>
      </c>
      <c r="J13" s="45">
        <f t="shared" si="4"/>
        <v>0.74</v>
      </c>
      <c r="K13" s="46">
        <f t="shared" si="0"/>
        <v>82.6</v>
      </c>
    </row>
    <row r="14" spans="1:11" ht="16.2">
      <c r="A14" s="25" t="s">
        <v>34</v>
      </c>
      <c r="B14" s="26" t="s">
        <v>35</v>
      </c>
      <c r="C14" s="53">
        <v>80</v>
      </c>
      <c r="D14" s="54">
        <f>C14*0.01</f>
        <v>0.8</v>
      </c>
      <c r="E14" s="53">
        <v>70</v>
      </c>
      <c r="F14" s="54">
        <f>E14*0.01</f>
        <v>0.7</v>
      </c>
      <c r="G14" s="53">
        <v>72</v>
      </c>
      <c r="H14" s="45">
        <f>G14*0.01</f>
        <v>0.72</v>
      </c>
      <c r="I14" s="55">
        <v>78</v>
      </c>
      <c r="J14" s="45">
        <f t="shared" ref="J14:J19" si="5">I14*0.01</f>
        <v>0.78</v>
      </c>
      <c r="K14" s="46">
        <f t="shared" ref="K14:K37" si="6">C14*0.3+E14*0.2+G14*0.2+I14*0.3</f>
        <v>75.8</v>
      </c>
    </row>
    <row r="15" spans="1:11" ht="16.2">
      <c r="A15" s="25" t="s">
        <v>36</v>
      </c>
      <c r="B15" s="26" t="s">
        <v>37</v>
      </c>
      <c r="C15" s="53">
        <v>94</v>
      </c>
      <c r="D15" s="54">
        <f>C15*0.01</f>
        <v>0.94</v>
      </c>
      <c r="E15" s="53">
        <v>92</v>
      </c>
      <c r="F15" s="54">
        <f>E15*0.01</f>
        <v>0.92</v>
      </c>
      <c r="G15" s="53">
        <v>94</v>
      </c>
      <c r="H15" s="45">
        <f>G15*0.01</f>
        <v>0.94</v>
      </c>
      <c r="I15" s="55">
        <v>84.7</v>
      </c>
      <c r="J15" s="45">
        <f t="shared" si="5"/>
        <v>0.84699999999999998</v>
      </c>
      <c r="K15" s="46">
        <f t="shared" si="6"/>
        <v>90.81</v>
      </c>
    </row>
    <row r="16" spans="1:11" ht="16.2">
      <c r="A16" s="25" t="s">
        <v>38</v>
      </c>
      <c r="B16" s="26" t="s">
        <v>39</v>
      </c>
      <c r="C16" s="53">
        <v>90</v>
      </c>
      <c r="D16" s="54">
        <f>C16*0.01</f>
        <v>0.9</v>
      </c>
      <c r="E16" s="53">
        <v>90</v>
      </c>
      <c r="F16" s="54">
        <f>E16*0.01</f>
        <v>0.9</v>
      </c>
      <c r="G16" s="53">
        <v>94</v>
      </c>
      <c r="H16" s="45">
        <f>G16*0.01</f>
        <v>0.94</v>
      </c>
      <c r="I16" s="55">
        <v>90</v>
      </c>
      <c r="J16" s="45">
        <f t="shared" si="5"/>
        <v>0.9</v>
      </c>
      <c r="K16" s="46">
        <f t="shared" si="6"/>
        <v>90.8</v>
      </c>
    </row>
    <row r="17" spans="1:11" ht="16.2">
      <c r="A17" s="25" t="s">
        <v>40</v>
      </c>
      <c r="B17" s="26" t="s">
        <v>41</v>
      </c>
      <c r="C17" s="53">
        <v>80</v>
      </c>
      <c r="D17" s="54">
        <f>C17*0.01</f>
        <v>0.8</v>
      </c>
      <c r="E17" s="53">
        <v>70</v>
      </c>
      <c r="F17" s="54">
        <f>E17*0.01</f>
        <v>0.7</v>
      </c>
      <c r="G17" s="53">
        <v>70</v>
      </c>
      <c r="H17" s="45">
        <f>G17*0.01</f>
        <v>0.7</v>
      </c>
      <c r="I17" s="55">
        <v>83.3</v>
      </c>
      <c r="J17" s="45">
        <f t="shared" si="5"/>
        <v>0.83299999999999996</v>
      </c>
      <c r="K17" s="46">
        <f t="shared" si="6"/>
        <v>76.989999999999995</v>
      </c>
    </row>
    <row r="18" spans="1:11" ht="16.2">
      <c r="A18" s="25" t="s">
        <v>42</v>
      </c>
      <c r="B18" s="26" t="s">
        <v>43</v>
      </c>
      <c r="C18" s="53">
        <v>90</v>
      </c>
      <c r="D18" s="54">
        <f t="shared" ref="D18:D29" si="7">C18*0.01</f>
        <v>0.9</v>
      </c>
      <c r="E18" s="53">
        <v>90</v>
      </c>
      <c r="F18" s="54">
        <f t="shared" ref="F18:F33" si="8">E18*0.01</f>
        <v>0.9</v>
      </c>
      <c r="G18" s="53">
        <v>90</v>
      </c>
      <c r="H18" s="45">
        <f>G18*0.01</f>
        <v>0.9</v>
      </c>
      <c r="I18" s="55">
        <v>93</v>
      </c>
      <c r="J18" s="45">
        <f t="shared" si="5"/>
        <v>0.93</v>
      </c>
      <c r="K18" s="46">
        <f t="shared" si="6"/>
        <v>90.9</v>
      </c>
    </row>
    <row r="19" spans="1:11" ht="16.2">
      <c r="A19" s="25" t="s">
        <v>44</v>
      </c>
      <c r="B19" s="26" t="s">
        <v>45</v>
      </c>
      <c r="C19" s="53">
        <v>86</v>
      </c>
      <c r="D19" s="54">
        <f t="shared" si="7"/>
        <v>0.86</v>
      </c>
      <c r="E19" s="53">
        <v>84</v>
      </c>
      <c r="F19" s="54">
        <f t="shared" si="8"/>
        <v>0.84</v>
      </c>
      <c r="G19" s="53">
        <v>88</v>
      </c>
      <c r="H19" s="45">
        <f t="shared" ref="H19:H36" si="9">G19*0.01</f>
        <v>0.88</v>
      </c>
      <c r="I19" s="55">
        <v>80</v>
      </c>
      <c r="J19" s="45">
        <f t="shared" si="5"/>
        <v>0.8</v>
      </c>
      <c r="K19" s="46">
        <f t="shared" si="6"/>
        <v>84.2</v>
      </c>
    </row>
    <row r="20" spans="1:11" ht="16.2">
      <c r="A20" s="25" t="s">
        <v>46</v>
      </c>
      <c r="B20" s="26" t="s">
        <v>47</v>
      </c>
      <c r="C20" s="53">
        <v>80</v>
      </c>
      <c r="D20" s="54">
        <f t="shared" si="7"/>
        <v>0.8</v>
      </c>
      <c r="E20" s="53">
        <v>76</v>
      </c>
      <c r="F20" s="54">
        <f t="shared" si="8"/>
        <v>0.76</v>
      </c>
      <c r="G20" s="53">
        <v>80</v>
      </c>
      <c r="H20" s="45">
        <f t="shared" si="9"/>
        <v>0.8</v>
      </c>
      <c r="I20" s="55">
        <v>82</v>
      </c>
      <c r="J20" s="45">
        <f t="shared" ref="J20:J35" si="10">I20*0.01</f>
        <v>0.82</v>
      </c>
      <c r="K20" s="46">
        <f t="shared" si="6"/>
        <v>79.8</v>
      </c>
    </row>
    <row r="21" spans="1:11" ht="16.2">
      <c r="A21" s="25" t="s">
        <v>48</v>
      </c>
      <c r="B21" s="26" t="s">
        <v>49</v>
      </c>
      <c r="C21" s="53">
        <v>78</v>
      </c>
      <c r="D21" s="54">
        <f t="shared" si="7"/>
        <v>0.78</v>
      </c>
      <c r="E21" s="53">
        <v>76</v>
      </c>
      <c r="F21" s="54">
        <f t="shared" si="8"/>
        <v>0.76</v>
      </c>
      <c r="G21" s="53">
        <v>80</v>
      </c>
      <c r="H21" s="45">
        <f t="shared" si="9"/>
        <v>0.8</v>
      </c>
      <c r="I21" s="55">
        <v>84</v>
      </c>
      <c r="J21" s="45">
        <f t="shared" si="10"/>
        <v>0.84</v>
      </c>
      <c r="K21" s="46">
        <f t="shared" si="6"/>
        <v>79.8</v>
      </c>
    </row>
    <row r="22" spans="1:11" ht="16.2">
      <c r="A22" s="25" t="s">
        <v>50</v>
      </c>
      <c r="B22" s="26" t="s">
        <v>51</v>
      </c>
      <c r="C22" s="53">
        <v>80</v>
      </c>
      <c r="D22" s="54">
        <f t="shared" si="7"/>
        <v>0.8</v>
      </c>
      <c r="E22" s="53">
        <v>70</v>
      </c>
      <c r="F22" s="54">
        <f t="shared" si="8"/>
        <v>0.7</v>
      </c>
      <c r="G22" s="53">
        <v>80</v>
      </c>
      <c r="H22" s="45">
        <f t="shared" si="9"/>
        <v>0.8</v>
      </c>
      <c r="I22" s="55">
        <v>83.3</v>
      </c>
      <c r="J22" s="45">
        <f t="shared" si="10"/>
        <v>0.83299999999999996</v>
      </c>
      <c r="K22" s="46">
        <f t="shared" si="6"/>
        <v>78.989999999999995</v>
      </c>
    </row>
    <row r="23" spans="1:11" ht="16.2">
      <c r="A23" s="25" t="s">
        <v>52</v>
      </c>
      <c r="B23" s="26" t="s">
        <v>53</v>
      </c>
      <c r="C23" s="53">
        <v>70</v>
      </c>
      <c r="D23" s="54">
        <f t="shared" si="7"/>
        <v>0.7</v>
      </c>
      <c r="E23" s="53">
        <v>70</v>
      </c>
      <c r="F23" s="54">
        <f t="shared" si="8"/>
        <v>0.7</v>
      </c>
      <c r="G23" s="53">
        <v>68</v>
      </c>
      <c r="H23" s="45">
        <f t="shared" si="9"/>
        <v>0.68</v>
      </c>
      <c r="I23" s="55">
        <v>74</v>
      </c>
      <c r="J23" s="45">
        <f t="shared" si="10"/>
        <v>0.74</v>
      </c>
      <c r="K23" s="46">
        <f t="shared" si="6"/>
        <v>70.8</v>
      </c>
    </row>
    <row r="24" spans="1:11" ht="16.2">
      <c r="A24" s="25" t="s">
        <v>54</v>
      </c>
      <c r="B24" s="26" t="s">
        <v>55</v>
      </c>
      <c r="C24" s="53">
        <v>90</v>
      </c>
      <c r="D24" s="54">
        <f t="shared" si="7"/>
        <v>0.9</v>
      </c>
      <c r="E24" s="53">
        <v>88</v>
      </c>
      <c r="F24" s="54">
        <f t="shared" si="8"/>
        <v>0.88</v>
      </c>
      <c r="G24" s="53">
        <v>93</v>
      </c>
      <c r="H24" s="45">
        <f t="shared" si="9"/>
        <v>0.93</v>
      </c>
      <c r="I24" s="55">
        <v>90.7</v>
      </c>
      <c r="J24" s="45">
        <f t="shared" si="10"/>
        <v>0.90700000000000003</v>
      </c>
      <c r="K24" s="46">
        <f t="shared" si="6"/>
        <v>90.41</v>
      </c>
    </row>
    <row r="25" spans="1:11" ht="16.2">
      <c r="A25" s="25" t="s">
        <v>56</v>
      </c>
      <c r="B25" s="26" t="s">
        <v>57</v>
      </c>
      <c r="C25" s="53">
        <v>70</v>
      </c>
      <c r="D25" s="54">
        <f t="shared" si="7"/>
        <v>0.7</v>
      </c>
      <c r="E25" s="53">
        <v>70</v>
      </c>
      <c r="F25" s="54">
        <f t="shared" si="8"/>
        <v>0.7</v>
      </c>
      <c r="G25" s="53">
        <v>64</v>
      </c>
      <c r="H25" s="45">
        <f t="shared" si="9"/>
        <v>0.64</v>
      </c>
      <c r="I25" s="55">
        <v>60</v>
      </c>
      <c r="J25" s="45">
        <f t="shared" si="10"/>
        <v>0.6</v>
      </c>
      <c r="K25" s="46">
        <f t="shared" si="6"/>
        <v>65.8</v>
      </c>
    </row>
    <row r="26" spans="1:11" ht="16.2">
      <c r="A26" s="25" t="s">
        <v>58</v>
      </c>
      <c r="B26" s="26" t="s">
        <v>59</v>
      </c>
      <c r="C26" s="53">
        <v>90</v>
      </c>
      <c r="D26" s="54">
        <f t="shared" si="7"/>
        <v>0.9</v>
      </c>
      <c r="E26" s="53">
        <v>88</v>
      </c>
      <c r="F26" s="54">
        <f t="shared" si="8"/>
        <v>0.88</v>
      </c>
      <c r="G26" s="53">
        <v>92</v>
      </c>
      <c r="H26" s="45">
        <f t="shared" si="9"/>
        <v>0.92</v>
      </c>
      <c r="I26" s="55">
        <v>81</v>
      </c>
      <c r="J26" s="45">
        <f t="shared" si="10"/>
        <v>0.81</v>
      </c>
      <c r="K26" s="46">
        <f t="shared" si="6"/>
        <v>87.3</v>
      </c>
    </row>
    <row r="27" spans="1:11" ht="16.2">
      <c r="A27" s="25" t="s">
        <v>60</v>
      </c>
      <c r="B27" s="26" t="s">
        <v>61</v>
      </c>
      <c r="C27" s="53">
        <v>80</v>
      </c>
      <c r="D27" s="54">
        <f t="shared" si="7"/>
        <v>0.8</v>
      </c>
      <c r="E27" s="53">
        <v>80</v>
      </c>
      <c r="F27" s="54">
        <f t="shared" si="8"/>
        <v>0.8</v>
      </c>
      <c r="G27" s="53">
        <v>78</v>
      </c>
      <c r="H27" s="45">
        <f t="shared" si="9"/>
        <v>0.78</v>
      </c>
      <c r="I27" s="55">
        <v>72</v>
      </c>
      <c r="J27" s="45">
        <f t="shared" si="10"/>
        <v>0.72</v>
      </c>
      <c r="K27" s="46">
        <f t="shared" si="6"/>
        <v>77.2</v>
      </c>
    </row>
    <row r="28" spans="1:11" ht="16.2">
      <c r="A28" s="25" t="s">
        <v>62</v>
      </c>
      <c r="B28" s="26" t="s">
        <v>63</v>
      </c>
      <c r="C28" s="53">
        <v>70</v>
      </c>
      <c r="D28" s="54">
        <f t="shared" si="7"/>
        <v>0.7</v>
      </c>
      <c r="E28" s="53">
        <v>70</v>
      </c>
      <c r="F28" s="54">
        <f t="shared" si="8"/>
        <v>0.7</v>
      </c>
      <c r="G28" s="53">
        <v>76</v>
      </c>
      <c r="H28" s="45">
        <f t="shared" si="9"/>
        <v>0.76</v>
      </c>
      <c r="I28" s="55">
        <v>80</v>
      </c>
      <c r="J28" s="45">
        <f t="shared" si="10"/>
        <v>0.8</v>
      </c>
      <c r="K28" s="46">
        <f t="shared" si="6"/>
        <v>74.2</v>
      </c>
    </row>
    <row r="29" spans="1:11" ht="16.2">
      <c r="A29" s="25" t="s">
        <v>64</v>
      </c>
      <c r="B29" s="26" t="s">
        <v>65</v>
      </c>
      <c r="C29" s="53">
        <v>96</v>
      </c>
      <c r="D29" s="54">
        <f t="shared" si="7"/>
        <v>0.96</v>
      </c>
      <c r="E29" s="53">
        <v>94</v>
      </c>
      <c r="F29" s="54">
        <f t="shared" si="8"/>
        <v>0.94</v>
      </c>
      <c r="G29" s="53">
        <v>98</v>
      </c>
      <c r="H29" s="45">
        <f t="shared" si="9"/>
        <v>0.98</v>
      </c>
      <c r="I29" s="55">
        <v>94.7</v>
      </c>
      <c r="J29" s="45">
        <f t="shared" si="10"/>
        <v>0.94699999999999995</v>
      </c>
      <c r="K29" s="46">
        <f t="shared" si="6"/>
        <v>95.61</v>
      </c>
    </row>
    <row r="30" spans="1:11" ht="16.2">
      <c r="A30" s="25" t="s">
        <v>66</v>
      </c>
      <c r="B30" s="26" t="s">
        <v>67</v>
      </c>
      <c r="C30" s="53">
        <v>67</v>
      </c>
      <c r="D30" s="54">
        <f t="shared" ref="D30:D44" si="11">C30*0.01</f>
        <v>0.67</v>
      </c>
      <c r="E30" s="53">
        <v>62</v>
      </c>
      <c r="F30" s="54">
        <f t="shared" si="8"/>
        <v>0.62</v>
      </c>
      <c r="G30" s="53">
        <v>62</v>
      </c>
      <c r="H30" s="45">
        <f t="shared" si="9"/>
        <v>0.62</v>
      </c>
      <c r="I30" s="55">
        <v>82</v>
      </c>
      <c r="J30" s="45">
        <f t="shared" si="10"/>
        <v>0.82</v>
      </c>
      <c r="K30" s="46">
        <f t="shared" si="6"/>
        <v>69.5</v>
      </c>
    </row>
    <row r="31" spans="1:11" ht="16.2">
      <c r="A31" s="25" t="s">
        <v>68</v>
      </c>
      <c r="B31" s="26" t="s">
        <v>69</v>
      </c>
      <c r="C31" s="53">
        <v>82</v>
      </c>
      <c r="D31" s="54">
        <f t="shared" si="11"/>
        <v>0.82</v>
      </c>
      <c r="E31" s="53">
        <v>80</v>
      </c>
      <c r="F31" s="54">
        <f t="shared" si="8"/>
        <v>0.8</v>
      </c>
      <c r="G31" s="53">
        <v>82</v>
      </c>
      <c r="H31" s="45">
        <f t="shared" si="9"/>
        <v>0.82</v>
      </c>
      <c r="I31" s="55">
        <v>67</v>
      </c>
      <c r="J31" s="45">
        <f t="shared" si="10"/>
        <v>0.67</v>
      </c>
      <c r="K31" s="46">
        <f t="shared" si="6"/>
        <v>77.099999999999994</v>
      </c>
    </row>
    <row r="32" spans="1:11" ht="16.2">
      <c r="A32" s="25" t="s">
        <v>70</v>
      </c>
      <c r="B32" s="26" t="s">
        <v>71</v>
      </c>
      <c r="C32" s="53">
        <v>80</v>
      </c>
      <c r="D32" s="54">
        <f t="shared" si="11"/>
        <v>0.8</v>
      </c>
      <c r="E32" s="53">
        <v>70</v>
      </c>
      <c r="F32" s="54">
        <f t="shared" si="8"/>
        <v>0.7</v>
      </c>
      <c r="G32" s="53">
        <v>68</v>
      </c>
      <c r="H32" s="45">
        <f t="shared" si="9"/>
        <v>0.68</v>
      </c>
      <c r="I32" s="55">
        <v>79.3</v>
      </c>
      <c r="J32" s="45">
        <f t="shared" si="10"/>
        <v>0.79300000000000004</v>
      </c>
      <c r="K32" s="46">
        <f t="shared" si="6"/>
        <v>75.39</v>
      </c>
    </row>
    <row r="33" spans="1:11" ht="16.2">
      <c r="A33" s="25" t="s">
        <v>72</v>
      </c>
      <c r="B33" s="26" t="s">
        <v>73</v>
      </c>
      <c r="C33" s="53">
        <v>82</v>
      </c>
      <c r="D33" s="54">
        <f t="shared" si="11"/>
        <v>0.82</v>
      </c>
      <c r="E33" s="53">
        <v>78</v>
      </c>
      <c r="F33" s="54">
        <f t="shared" si="8"/>
        <v>0.78</v>
      </c>
      <c r="G33" s="53">
        <v>70</v>
      </c>
      <c r="H33" s="45">
        <f t="shared" si="9"/>
        <v>0.7</v>
      </c>
      <c r="I33" s="55">
        <v>68</v>
      </c>
      <c r="J33" s="45">
        <f t="shared" si="10"/>
        <v>0.68</v>
      </c>
      <c r="K33" s="46">
        <f t="shared" si="6"/>
        <v>74.599999999999994</v>
      </c>
    </row>
    <row r="34" spans="1:11" ht="16.2">
      <c r="A34" s="25" t="s">
        <v>74</v>
      </c>
      <c r="B34" s="26" t="s">
        <v>75</v>
      </c>
      <c r="C34" s="53">
        <v>80</v>
      </c>
      <c r="D34" s="54">
        <f t="shared" si="11"/>
        <v>0.8</v>
      </c>
      <c r="E34" s="53">
        <v>78</v>
      </c>
      <c r="F34" s="54">
        <f t="shared" ref="F34:F44" si="12">E34*0.01</f>
        <v>0.78</v>
      </c>
      <c r="G34" s="53">
        <v>78</v>
      </c>
      <c r="H34" s="45">
        <f t="shared" si="9"/>
        <v>0.78</v>
      </c>
      <c r="I34" s="55">
        <v>73</v>
      </c>
      <c r="J34" s="45">
        <f t="shared" si="10"/>
        <v>0.73</v>
      </c>
      <c r="K34" s="46">
        <f t="shared" si="6"/>
        <v>77.099999999999994</v>
      </c>
    </row>
    <row r="35" spans="1:11" ht="16.2">
      <c r="A35" s="25" t="s">
        <v>76</v>
      </c>
      <c r="B35" s="26" t="s">
        <v>77</v>
      </c>
      <c r="C35" s="53">
        <v>90</v>
      </c>
      <c r="D35" s="54">
        <f t="shared" si="11"/>
        <v>0.9</v>
      </c>
      <c r="E35" s="53">
        <v>88</v>
      </c>
      <c r="F35" s="54">
        <f t="shared" si="12"/>
        <v>0.88</v>
      </c>
      <c r="G35" s="53">
        <v>90</v>
      </c>
      <c r="H35" s="45">
        <f t="shared" si="9"/>
        <v>0.9</v>
      </c>
      <c r="I35" s="55">
        <v>89.7</v>
      </c>
      <c r="J35" s="45">
        <f t="shared" si="10"/>
        <v>0.89700000000000002</v>
      </c>
      <c r="K35" s="46">
        <f t="shared" si="6"/>
        <v>89.51</v>
      </c>
    </row>
    <row r="36" spans="1:11" ht="16.2">
      <c r="A36" s="25" t="s">
        <v>78</v>
      </c>
      <c r="B36" s="26" t="s">
        <v>79</v>
      </c>
      <c r="C36" s="53">
        <v>66</v>
      </c>
      <c r="D36" s="54">
        <f t="shared" si="11"/>
        <v>0.66</v>
      </c>
      <c r="E36" s="53">
        <v>62</v>
      </c>
      <c r="F36" s="54">
        <f t="shared" si="12"/>
        <v>0.62</v>
      </c>
      <c r="G36" s="53">
        <v>62</v>
      </c>
      <c r="H36" s="45">
        <f t="shared" si="9"/>
        <v>0.62</v>
      </c>
      <c r="I36" s="55">
        <v>75</v>
      </c>
      <c r="J36" s="45">
        <f t="shared" ref="J36:J44" si="13">I36*0.01</f>
        <v>0.75</v>
      </c>
      <c r="K36" s="46">
        <f t="shared" si="6"/>
        <v>67.099999999999994</v>
      </c>
    </row>
    <row r="37" spans="1:11" ht="16.2">
      <c r="A37" s="25" t="s">
        <v>80</v>
      </c>
      <c r="B37" s="26" t="s">
        <v>81</v>
      </c>
      <c r="C37" s="53">
        <v>78</v>
      </c>
      <c r="D37" s="54">
        <f t="shared" si="11"/>
        <v>0.78</v>
      </c>
      <c r="E37" s="53">
        <v>76</v>
      </c>
      <c r="F37" s="54">
        <f t="shared" si="12"/>
        <v>0.76</v>
      </c>
      <c r="G37" s="53">
        <v>76</v>
      </c>
      <c r="H37" s="45">
        <f t="shared" ref="H37:H44" si="14">G37*0.01</f>
        <v>0.76</v>
      </c>
      <c r="I37" s="55">
        <v>73</v>
      </c>
      <c r="J37" s="45">
        <f t="shared" si="13"/>
        <v>0.73</v>
      </c>
      <c r="K37" s="46">
        <f t="shared" si="6"/>
        <v>75.7</v>
      </c>
    </row>
    <row r="38" spans="1:11" ht="16.2">
      <c r="A38" s="25" t="s">
        <v>82</v>
      </c>
      <c r="B38" s="26" t="s">
        <v>83</v>
      </c>
      <c r="C38" s="53">
        <v>88</v>
      </c>
      <c r="D38" s="54">
        <f t="shared" si="11"/>
        <v>0.88</v>
      </c>
      <c r="E38" s="53">
        <v>86</v>
      </c>
      <c r="F38" s="54">
        <f t="shared" si="12"/>
        <v>0.86</v>
      </c>
      <c r="G38" s="53">
        <v>84</v>
      </c>
      <c r="H38" s="45">
        <f t="shared" si="14"/>
        <v>0.84</v>
      </c>
      <c r="I38" s="55">
        <v>87</v>
      </c>
      <c r="J38" s="45">
        <f t="shared" si="13"/>
        <v>0.87</v>
      </c>
      <c r="K38" s="46">
        <f t="shared" ref="K38:K44" si="15">C38*0.3+E38*0.2+G38*0.2+I38*0.3</f>
        <v>86.5</v>
      </c>
    </row>
    <row r="39" spans="1:11" ht="16.2">
      <c r="A39" s="25" t="s">
        <v>84</v>
      </c>
      <c r="B39" s="26" t="s">
        <v>85</v>
      </c>
      <c r="C39" s="53">
        <v>78</v>
      </c>
      <c r="D39" s="54">
        <f t="shared" si="11"/>
        <v>0.78</v>
      </c>
      <c r="E39" s="53">
        <v>76</v>
      </c>
      <c r="F39" s="54">
        <f t="shared" si="12"/>
        <v>0.76</v>
      </c>
      <c r="G39" s="53">
        <v>82</v>
      </c>
      <c r="H39" s="45">
        <f t="shared" si="14"/>
        <v>0.82</v>
      </c>
      <c r="I39" s="55">
        <v>88.3</v>
      </c>
      <c r="J39" s="45">
        <f t="shared" si="13"/>
        <v>0.88300000000000001</v>
      </c>
      <c r="K39" s="46">
        <f t="shared" si="15"/>
        <v>81.489999999999995</v>
      </c>
    </row>
    <row r="40" spans="1:11" ht="16.2">
      <c r="A40" s="25" t="s">
        <v>86</v>
      </c>
      <c r="B40" s="26" t="s">
        <v>87</v>
      </c>
      <c r="C40" s="53">
        <v>94</v>
      </c>
      <c r="D40" s="54">
        <f t="shared" si="11"/>
        <v>0.94</v>
      </c>
      <c r="E40" s="53">
        <v>92</v>
      </c>
      <c r="F40" s="54">
        <f t="shared" si="12"/>
        <v>0.92</v>
      </c>
      <c r="G40" s="53">
        <v>96</v>
      </c>
      <c r="H40" s="45">
        <f t="shared" si="14"/>
        <v>0.96</v>
      </c>
      <c r="I40" s="55">
        <v>92</v>
      </c>
      <c r="J40" s="45">
        <f t="shared" si="13"/>
        <v>0.92</v>
      </c>
      <c r="K40" s="46">
        <f t="shared" si="15"/>
        <v>93.4</v>
      </c>
    </row>
    <row r="41" spans="1:11" ht="16.2">
      <c r="A41" s="25" t="s">
        <v>88</v>
      </c>
      <c r="B41" s="26" t="s">
        <v>89</v>
      </c>
      <c r="C41" s="53">
        <v>78</v>
      </c>
      <c r="D41" s="54">
        <f t="shared" si="11"/>
        <v>0.78</v>
      </c>
      <c r="E41" s="53">
        <v>76</v>
      </c>
      <c r="F41" s="54">
        <f t="shared" si="12"/>
        <v>0.76</v>
      </c>
      <c r="G41" s="53">
        <v>74</v>
      </c>
      <c r="H41" s="45">
        <f t="shared" si="14"/>
        <v>0.74</v>
      </c>
      <c r="I41" s="55">
        <v>79.3</v>
      </c>
      <c r="J41" s="45">
        <f t="shared" si="13"/>
        <v>0.79300000000000004</v>
      </c>
      <c r="K41" s="46">
        <f t="shared" si="15"/>
        <v>77.19</v>
      </c>
    </row>
    <row r="42" spans="1:11" ht="16.2">
      <c r="A42" s="25" t="s">
        <v>90</v>
      </c>
      <c r="B42" s="26" t="s">
        <v>91</v>
      </c>
      <c r="C42" s="53">
        <v>92</v>
      </c>
      <c r="D42" s="54">
        <f t="shared" si="11"/>
        <v>0.92</v>
      </c>
      <c r="E42" s="53">
        <v>90</v>
      </c>
      <c r="F42" s="54">
        <f t="shared" si="12"/>
        <v>0.9</v>
      </c>
      <c r="G42" s="53">
        <v>88</v>
      </c>
      <c r="H42" s="45">
        <f t="shared" si="14"/>
        <v>0.88</v>
      </c>
      <c r="I42" s="55">
        <v>92</v>
      </c>
      <c r="J42" s="45">
        <f t="shared" si="13"/>
        <v>0.92</v>
      </c>
      <c r="K42" s="46">
        <f t="shared" si="15"/>
        <v>90.8</v>
      </c>
    </row>
    <row r="43" spans="1:11" ht="16.2">
      <c r="A43" s="25" t="s">
        <v>92</v>
      </c>
      <c r="B43" s="26" t="s">
        <v>93</v>
      </c>
      <c r="C43" s="53">
        <v>80</v>
      </c>
      <c r="D43" s="54">
        <f t="shared" si="11"/>
        <v>0.8</v>
      </c>
      <c r="E43" s="53">
        <v>70</v>
      </c>
      <c r="F43" s="54">
        <f t="shared" si="12"/>
        <v>0.7</v>
      </c>
      <c r="G43" s="53">
        <v>80</v>
      </c>
      <c r="H43" s="45">
        <f t="shared" si="14"/>
        <v>0.8</v>
      </c>
      <c r="I43" s="55">
        <v>50</v>
      </c>
      <c r="J43" s="45">
        <f t="shared" si="13"/>
        <v>0.5</v>
      </c>
      <c r="K43" s="46">
        <f t="shared" si="15"/>
        <v>69</v>
      </c>
    </row>
    <row r="44" spans="1:11" ht="16.2">
      <c r="A44" s="25" t="s">
        <v>94</v>
      </c>
      <c r="B44" s="26" t="s">
        <v>95</v>
      </c>
      <c r="C44" s="53">
        <v>78</v>
      </c>
      <c r="D44" s="54">
        <f t="shared" si="11"/>
        <v>0.78</v>
      </c>
      <c r="E44" s="53">
        <v>76</v>
      </c>
      <c r="F44" s="54">
        <f t="shared" si="12"/>
        <v>0.76</v>
      </c>
      <c r="G44" s="53">
        <v>80</v>
      </c>
      <c r="H44" s="45">
        <f t="shared" si="14"/>
        <v>0.8</v>
      </c>
      <c r="I44" s="55">
        <v>90</v>
      </c>
      <c r="J44" s="45">
        <f t="shared" si="13"/>
        <v>0.9</v>
      </c>
      <c r="K44" s="46">
        <f t="shared" si="15"/>
        <v>81.599999999999994</v>
      </c>
    </row>
    <row r="45" spans="1:11" ht="16.2">
      <c r="A45" s="25" t="s">
        <v>96</v>
      </c>
      <c r="B45" s="26" t="s">
        <v>97</v>
      </c>
      <c r="C45" s="53">
        <v>50</v>
      </c>
      <c r="D45" s="54">
        <f>C45*0.01</f>
        <v>0.5</v>
      </c>
      <c r="E45" s="53">
        <v>50</v>
      </c>
      <c r="F45" s="54">
        <f t="shared" ref="F45:F53" si="16">E45*0.01</f>
        <v>0.5</v>
      </c>
      <c r="G45" s="53">
        <v>50</v>
      </c>
      <c r="H45" s="45">
        <f t="shared" ref="H45:H53" si="17">G45*0.01</f>
        <v>0.5</v>
      </c>
      <c r="I45" s="55">
        <v>60</v>
      </c>
      <c r="J45" s="45">
        <f t="shared" ref="J45:J53" si="18">I45*0.01</f>
        <v>0.6</v>
      </c>
      <c r="K45" s="46">
        <f t="shared" ref="K45:K54" si="19">C45*0.3+E45*0.2+G45*0.2+I45*0.3</f>
        <v>53</v>
      </c>
    </row>
    <row r="46" spans="1:11" ht="16.2">
      <c r="A46" s="25" t="s">
        <v>98</v>
      </c>
      <c r="B46" s="26" t="s">
        <v>99</v>
      </c>
      <c r="C46" s="53">
        <v>86</v>
      </c>
      <c r="D46" s="54">
        <f t="shared" ref="D46:D53" si="20">C46*0.01</f>
        <v>0.86</v>
      </c>
      <c r="E46" s="53">
        <v>82</v>
      </c>
      <c r="F46" s="54">
        <f t="shared" si="16"/>
        <v>0.82</v>
      </c>
      <c r="G46" s="53">
        <v>80</v>
      </c>
      <c r="H46" s="45">
        <f t="shared" si="17"/>
        <v>0.8</v>
      </c>
      <c r="I46" s="55">
        <v>81</v>
      </c>
      <c r="J46" s="45">
        <f t="shared" si="18"/>
        <v>0.81</v>
      </c>
      <c r="K46" s="46">
        <f t="shared" si="19"/>
        <v>82.5</v>
      </c>
    </row>
    <row r="47" spans="1:11" ht="16.2">
      <c r="A47" s="25" t="s">
        <v>100</v>
      </c>
      <c r="B47" s="26" t="s">
        <v>101</v>
      </c>
      <c r="C47" s="53">
        <v>64</v>
      </c>
      <c r="D47" s="54">
        <f t="shared" si="20"/>
        <v>0.64</v>
      </c>
      <c r="E47" s="53">
        <v>62</v>
      </c>
      <c r="F47" s="54">
        <f t="shared" si="16"/>
        <v>0.62</v>
      </c>
      <c r="G47" s="53">
        <v>68</v>
      </c>
      <c r="H47" s="45">
        <f t="shared" si="17"/>
        <v>0.68</v>
      </c>
      <c r="I47" s="55">
        <v>67.3</v>
      </c>
      <c r="J47" s="45">
        <f t="shared" si="18"/>
        <v>0.67300000000000004</v>
      </c>
      <c r="K47" s="46">
        <f t="shared" si="19"/>
        <v>65.39</v>
      </c>
    </row>
    <row r="48" spans="1:11" ht="16.2">
      <c r="A48" s="25" t="s">
        <v>102</v>
      </c>
      <c r="B48" s="26" t="s">
        <v>103</v>
      </c>
      <c r="C48" s="53">
        <v>80</v>
      </c>
      <c r="D48" s="54">
        <f t="shared" si="20"/>
        <v>0.8</v>
      </c>
      <c r="E48" s="53">
        <v>78</v>
      </c>
      <c r="F48" s="54">
        <f t="shared" si="16"/>
        <v>0.78</v>
      </c>
      <c r="G48" s="53">
        <v>78</v>
      </c>
      <c r="H48" s="45">
        <f t="shared" si="17"/>
        <v>0.78</v>
      </c>
      <c r="I48" s="55">
        <v>70</v>
      </c>
      <c r="J48" s="45">
        <f t="shared" si="18"/>
        <v>0.7</v>
      </c>
      <c r="K48" s="46">
        <f t="shared" si="19"/>
        <v>76.2</v>
      </c>
    </row>
    <row r="49" spans="1:11" ht="16.2">
      <c r="A49" s="25" t="s">
        <v>104</v>
      </c>
      <c r="B49" s="26" t="s">
        <v>105</v>
      </c>
      <c r="C49" s="53">
        <v>80</v>
      </c>
      <c r="D49" s="54">
        <f t="shared" si="20"/>
        <v>0.8</v>
      </c>
      <c r="E49" s="53">
        <v>70</v>
      </c>
      <c r="F49" s="54">
        <f t="shared" si="16"/>
        <v>0.7</v>
      </c>
      <c r="G49" s="53">
        <v>76</v>
      </c>
      <c r="H49" s="45">
        <f t="shared" si="17"/>
        <v>0.76</v>
      </c>
      <c r="I49" s="55">
        <v>76.7</v>
      </c>
      <c r="J49" s="45">
        <f t="shared" si="18"/>
        <v>0.76700000000000002</v>
      </c>
      <c r="K49" s="46">
        <f t="shared" si="19"/>
        <v>76.209999999999994</v>
      </c>
    </row>
    <row r="50" spans="1:11" ht="16.2">
      <c r="A50" s="25" t="s">
        <v>106</v>
      </c>
      <c r="B50" s="26" t="s">
        <v>107</v>
      </c>
      <c r="C50" s="53">
        <v>60</v>
      </c>
      <c r="D50" s="54">
        <f t="shared" si="20"/>
        <v>0.6</v>
      </c>
      <c r="E50" s="53">
        <v>60</v>
      </c>
      <c r="F50" s="54">
        <f t="shared" si="16"/>
        <v>0.6</v>
      </c>
      <c r="G50" s="53">
        <v>50</v>
      </c>
      <c r="H50" s="45">
        <f t="shared" si="17"/>
        <v>0.5</v>
      </c>
      <c r="I50" s="55">
        <v>60</v>
      </c>
      <c r="J50" s="45">
        <f t="shared" si="18"/>
        <v>0.6</v>
      </c>
      <c r="K50" s="46">
        <f t="shared" si="19"/>
        <v>58</v>
      </c>
    </row>
    <row r="51" spans="1:11" ht="16.2">
      <c r="A51" s="25" t="s">
        <v>108</v>
      </c>
      <c r="B51" s="26" t="s">
        <v>109</v>
      </c>
      <c r="C51" s="53">
        <v>78</v>
      </c>
      <c r="D51" s="54">
        <f t="shared" si="20"/>
        <v>0.78</v>
      </c>
      <c r="E51" s="53">
        <v>76</v>
      </c>
      <c r="F51" s="54">
        <f t="shared" si="16"/>
        <v>0.76</v>
      </c>
      <c r="G51" s="53">
        <v>78</v>
      </c>
      <c r="H51" s="45">
        <f t="shared" si="17"/>
        <v>0.78</v>
      </c>
      <c r="I51" s="55">
        <v>77</v>
      </c>
      <c r="J51" s="45">
        <f t="shared" si="18"/>
        <v>0.77</v>
      </c>
      <c r="K51" s="46">
        <f t="shared" si="19"/>
        <v>77.3</v>
      </c>
    </row>
    <row r="52" spans="1:11" ht="16.2">
      <c r="A52" s="25" t="s">
        <v>110</v>
      </c>
      <c r="B52" s="26" t="s">
        <v>111</v>
      </c>
      <c r="C52" s="53">
        <v>76</v>
      </c>
      <c r="D52" s="54">
        <f t="shared" si="20"/>
        <v>0.76</v>
      </c>
      <c r="E52" s="53">
        <v>74</v>
      </c>
      <c r="F52" s="54">
        <f t="shared" si="16"/>
        <v>0.74</v>
      </c>
      <c r="G52" s="53">
        <v>60</v>
      </c>
      <c r="H52" s="45">
        <f t="shared" si="17"/>
        <v>0.6</v>
      </c>
      <c r="I52" s="55">
        <v>60</v>
      </c>
      <c r="J52" s="45">
        <f t="shared" si="18"/>
        <v>0.6</v>
      </c>
      <c r="K52" s="46">
        <f t="shared" si="19"/>
        <v>67.599999999999994</v>
      </c>
    </row>
    <row r="53" spans="1:11" ht="16.2">
      <c r="A53" s="25" t="s">
        <v>112</v>
      </c>
      <c r="B53" s="26" t="s">
        <v>113</v>
      </c>
      <c r="C53" s="53">
        <v>92</v>
      </c>
      <c r="D53" s="54">
        <f t="shared" si="20"/>
        <v>0.92</v>
      </c>
      <c r="E53" s="53">
        <v>92</v>
      </c>
      <c r="F53" s="54">
        <f t="shared" si="16"/>
        <v>0.92</v>
      </c>
      <c r="G53" s="53">
        <v>94</v>
      </c>
      <c r="H53" s="45">
        <f t="shared" si="17"/>
        <v>0.94</v>
      </c>
      <c r="I53" s="55">
        <v>90</v>
      </c>
      <c r="J53" s="45">
        <f t="shared" si="18"/>
        <v>0.9</v>
      </c>
      <c r="K53" s="46">
        <f t="shared" si="19"/>
        <v>91.8</v>
      </c>
    </row>
    <row r="54" spans="1:11">
      <c r="A54" s="76" t="s">
        <v>114</v>
      </c>
      <c r="B54" s="77"/>
      <c r="C54" s="56">
        <f t="shared" ref="C54:J54" si="21">AVERAGE(C6:C53)</f>
        <v>79.5208333333333</v>
      </c>
      <c r="D54" s="57">
        <f t="shared" si="21"/>
        <v>0.79520833333333296</v>
      </c>
      <c r="E54" s="56">
        <f t="shared" si="21"/>
        <v>76.3125</v>
      </c>
      <c r="F54" s="54">
        <f t="shared" si="21"/>
        <v>0.76312500000000005</v>
      </c>
      <c r="G54" s="56">
        <f t="shared" si="21"/>
        <v>77.6041666666667</v>
      </c>
      <c r="H54" s="45">
        <f t="shared" si="21"/>
        <v>0.77604166666666696</v>
      </c>
      <c r="I54" s="58">
        <f t="shared" si="21"/>
        <v>78.125</v>
      </c>
      <c r="J54" s="45">
        <f t="shared" si="21"/>
        <v>0.78125</v>
      </c>
      <c r="K54" s="46">
        <f t="shared" si="19"/>
        <v>78.077083333333306</v>
      </c>
    </row>
    <row r="55" spans="1:11">
      <c r="A55" s="76" t="s">
        <v>115</v>
      </c>
      <c r="B55" s="77"/>
      <c r="C55" s="59"/>
      <c r="D55" s="54">
        <f>D54</f>
        <v>0.79520833333333296</v>
      </c>
      <c r="E55" s="59"/>
      <c r="F55" s="54">
        <f>F54</f>
        <v>0.76312500000000005</v>
      </c>
      <c r="G55" s="59"/>
      <c r="H55" s="60">
        <f>H54</f>
        <v>0.77604166666666696</v>
      </c>
      <c r="I55" s="59"/>
      <c r="J55" s="59">
        <f>J54</f>
        <v>0.78125</v>
      </c>
      <c r="K55" s="61">
        <f>K54/100</f>
        <v>0.78077083333333297</v>
      </c>
    </row>
  </sheetData>
  <mergeCells count="17">
    <mergeCell ref="A55:B55"/>
    <mergeCell ref="A4:A5"/>
    <mergeCell ref="B4:B5"/>
    <mergeCell ref="K3:K4"/>
    <mergeCell ref="C4:D4"/>
    <mergeCell ref="E4:F4"/>
    <mergeCell ref="G4:H4"/>
    <mergeCell ref="I4:J4"/>
    <mergeCell ref="A54:B54"/>
    <mergeCell ref="A1:K1"/>
    <mergeCell ref="A2:B2"/>
    <mergeCell ref="C2:J2"/>
    <mergeCell ref="A3:B3"/>
    <mergeCell ref="C3:D3"/>
    <mergeCell ref="E3:F3"/>
    <mergeCell ref="G3:H3"/>
    <mergeCell ref="I3:J3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O56"/>
  <sheetViews>
    <sheetView workbookViewId="0">
      <selection activeCell="E60" sqref="E60"/>
    </sheetView>
  </sheetViews>
  <sheetFormatPr defaultColWidth="8.796875" defaultRowHeight="15.6"/>
  <cols>
    <col min="1" max="1" width="12.09765625" customWidth="1"/>
    <col min="2" max="2" width="13.8984375" customWidth="1"/>
    <col min="3" max="4" width="11.09765625" customWidth="1"/>
    <col min="5" max="5" width="11.5" style="2" customWidth="1"/>
    <col min="6" max="6" width="12.5" style="2" customWidth="1"/>
    <col min="7" max="7" width="12.69921875" style="2" customWidth="1"/>
    <col min="8" max="8" width="11.5" style="2" customWidth="1"/>
    <col min="9" max="9" width="12.796875" style="2" customWidth="1"/>
    <col min="10" max="11" width="11.69921875" style="40" customWidth="1"/>
    <col min="12" max="12" width="12.09765625" style="40" customWidth="1"/>
    <col min="13" max="13" width="11.796875" style="40" customWidth="1"/>
    <col min="14" max="14" width="14.8984375" style="2" customWidth="1"/>
    <col min="15" max="15" width="15.5" style="17" customWidth="1"/>
  </cols>
  <sheetData>
    <row r="1" spans="1:14">
      <c r="A1" s="66" t="s">
        <v>116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16.2">
      <c r="A2" s="71" t="s">
        <v>1</v>
      </c>
      <c r="B2" s="72"/>
      <c r="C2" s="82" t="s">
        <v>117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20" t="s">
        <v>3</v>
      </c>
    </row>
    <row r="3" spans="1:14" ht="16.2">
      <c r="A3" s="71" t="s">
        <v>4</v>
      </c>
      <c r="B3" s="72"/>
      <c r="C3" s="73">
        <v>1</v>
      </c>
      <c r="D3" s="73"/>
      <c r="E3" s="73"/>
      <c r="F3" s="73">
        <v>2</v>
      </c>
      <c r="G3" s="73"/>
      <c r="H3" s="73"/>
      <c r="I3" s="82">
        <v>3</v>
      </c>
      <c r="J3" s="82"/>
      <c r="K3" s="82"/>
      <c r="L3" s="82">
        <v>4</v>
      </c>
      <c r="M3" s="82"/>
      <c r="N3" s="79" t="s">
        <v>6</v>
      </c>
    </row>
    <row r="4" spans="1:14">
      <c r="A4" s="71" t="s">
        <v>7</v>
      </c>
      <c r="B4" s="78"/>
      <c r="C4" s="80" t="s">
        <v>118</v>
      </c>
      <c r="D4" s="80"/>
      <c r="E4" s="80"/>
      <c r="F4" s="82" t="s">
        <v>119</v>
      </c>
      <c r="G4" s="82"/>
      <c r="H4" s="82"/>
      <c r="I4" s="82" t="s">
        <v>120</v>
      </c>
      <c r="J4" s="82"/>
      <c r="K4" s="82"/>
      <c r="L4" s="85" t="s">
        <v>121</v>
      </c>
      <c r="M4" s="86"/>
      <c r="N4" s="68"/>
    </row>
    <row r="5" spans="1:14" ht="47.4">
      <c r="A5" s="72"/>
      <c r="B5" s="72"/>
      <c r="C5" s="21" t="s">
        <v>122</v>
      </c>
      <c r="D5" s="21" t="s">
        <v>123</v>
      </c>
      <c r="E5" s="41" t="s">
        <v>13</v>
      </c>
      <c r="F5" s="21" t="s">
        <v>124</v>
      </c>
      <c r="G5" s="21" t="s">
        <v>125</v>
      </c>
      <c r="H5" s="41" t="s">
        <v>13</v>
      </c>
      <c r="I5" s="21" t="s">
        <v>126</v>
      </c>
      <c r="J5" s="21" t="s">
        <v>127</v>
      </c>
      <c r="K5" s="41" t="s">
        <v>13</v>
      </c>
      <c r="L5" s="21" t="s">
        <v>128</v>
      </c>
      <c r="M5" s="41" t="s">
        <v>13</v>
      </c>
      <c r="N5" s="20" t="s">
        <v>17</v>
      </c>
    </row>
    <row r="6" spans="1:14">
      <c r="A6" s="25" t="s">
        <v>18</v>
      </c>
      <c r="B6" s="26" t="s">
        <v>19</v>
      </c>
      <c r="C6" s="19">
        <v>80</v>
      </c>
      <c r="D6" s="42">
        <v>80</v>
      </c>
      <c r="E6" s="43">
        <f t="shared" ref="E6:E13" si="0">(C6+D6)/2*0.01</f>
        <v>0.8</v>
      </c>
      <c r="F6" s="42">
        <v>80</v>
      </c>
      <c r="G6" s="42">
        <v>100</v>
      </c>
      <c r="H6" s="43">
        <f t="shared" ref="H6:H13" si="1">(F6+G6)/2*0.01</f>
        <v>0.9</v>
      </c>
      <c r="I6" s="44">
        <v>70</v>
      </c>
      <c r="J6" s="42">
        <v>70</v>
      </c>
      <c r="K6" s="43">
        <f>(I6+J6)/2*0.01</f>
        <v>0.7</v>
      </c>
      <c r="L6" s="22">
        <v>70</v>
      </c>
      <c r="M6" s="45">
        <f t="shared" ref="M6:M13" si="2">L6*0.01</f>
        <v>0.7</v>
      </c>
      <c r="N6" s="46">
        <f>(C6+D6+F6+G6+I6+J6+L6)/7</f>
        <v>78.571428571428598</v>
      </c>
    </row>
    <row r="7" spans="1:14">
      <c r="A7" s="25" t="s">
        <v>20</v>
      </c>
      <c r="B7" s="26" t="s">
        <v>21</v>
      </c>
      <c r="C7" s="19">
        <v>90</v>
      </c>
      <c r="D7" s="42">
        <v>90</v>
      </c>
      <c r="E7" s="43">
        <f t="shared" si="0"/>
        <v>0.9</v>
      </c>
      <c r="F7" s="42">
        <v>80</v>
      </c>
      <c r="G7" s="42">
        <v>100</v>
      </c>
      <c r="H7" s="43">
        <f t="shared" si="1"/>
        <v>0.9</v>
      </c>
      <c r="I7" s="44">
        <v>60</v>
      </c>
      <c r="J7" s="42">
        <v>90</v>
      </c>
      <c r="K7" s="43">
        <f t="shared" ref="K7:K13" si="3">(I7+J7)/2*0.01</f>
        <v>0.75</v>
      </c>
      <c r="L7" s="22">
        <v>70</v>
      </c>
      <c r="M7" s="45">
        <f t="shared" si="2"/>
        <v>0.7</v>
      </c>
      <c r="N7" s="46">
        <f t="shared" ref="N7:N13" si="4">(C7+D7+F7+G7+I7+J7+L7)/7</f>
        <v>82.857142857142904</v>
      </c>
    </row>
    <row r="8" spans="1:14">
      <c r="A8" s="25" t="s">
        <v>22</v>
      </c>
      <c r="B8" s="26" t="s">
        <v>23</v>
      </c>
      <c r="C8" s="19">
        <v>100</v>
      </c>
      <c r="D8" s="42">
        <v>90</v>
      </c>
      <c r="E8" s="43">
        <f t="shared" si="0"/>
        <v>0.95</v>
      </c>
      <c r="F8" s="42">
        <v>100</v>
      </c>
      <c r="G8" s="42">
        <v>100</v>
      </c>
      <c r="H8" s="43">
        <f t="shared" si="1"/>
        <v>1</v>
      </c>
      <c r="I8" s="44">
        <v>70</v>
      </c>
      <c r="J8" s="42">
        <v>80</v>
      </c>
      <c r="K8" s="43">
        <f t="shared" si="3"/>
        <v>0.75</v>
      </c>
      <c r="L8" s="22">
        <v>70</v>
      </c>
      <c r="M8" s="45">
        <f t="shared" si="2"/>
        <v>0.7</v>
      </c>
      <c r="N8" s="46">
        <f t="shared" si="4"/>
        <v>87.142857142857096</v>
      </c>
    </row>
    <row r="9" spans="1:14">
      <c r="A9" s="25" t="s">
        <v>24</v>
      </c>
      <c r="B9" s="26" t="s">
        <v>25</v>
      </c>
      <c r="C9" s="19">
        <v>100</v>
      </c>
      <c r="D9" s="42">
        <v>90</v>
      </c>
      <c r="E9" s="43">
        <f t="shared" si="0"/>
        <v>0.95</v>
      </c>
      <c r="F9" s="42">
        <v>70</v>
      </c>
      <c r="G9" s="42">
        <v>100</v>
      </c>
      <c r="H9" s="43">
        <f t="shared" si="1"/>
        <v>0.85</v>
      </c>
      <c r="I9" s="44">
        <v>80</v>
      </c>
      <c r="J9" s="42">
        <v>90</v>
      </c>
      <c r="K9" s="43">
        <f t="shared" si="3"/>
        <v>0.85</v>
      </c>
      <c r="L9" s="22">
        <v>70</v>
      </c>
      <c r="M9" s="45">
        <f t="shared" si="2"/>
        <v>0.7</v>
      </c>
      <c r="N9" s="46">
        <f t="shared" si="4"/>
        <v>85.714285714285694</v>
      </c>
    </row>
    <row r="10" spans="1:14">
      <c r="A10" s="25" t="s">
        <v>26</v>
      </c>
      <c r="B10" s="26" t="s">
        <v>27</v>
      </c>
      <c r="C10" s="19">
        <v>100</v>
      </c>
      <c r="D10" s="42">
        <v>60</v>
      </c>
      <c r="E10" s="43">
        <f t="shared" si="0"/>
        <v>0.8</v>
      </c>
      <c r="F10" s="42">
        <v>70</v>
      </c>
      <c r="G10" s="42">
        <v>80</v>
      </c>
      <c r="H10" s="43">
        <f t="shared" si="1"/>
        <v>0.75</v>
      </c>
      <c r="I10" s="44">
        <v>95</v>
      </c>
      <c r="J10" s="42">
        <v>90</v>
      </c>
      <c r="K10" s="43">
        <f t="shared" si="3"/>
        <v>0.92500000000000004</v>
      </c>
      <c r="L10" s="22">
        <v>60</v>
      </c>
      <c r="M10" s="45">
        <f t="shared" si="2"/>
        <v>0.6</v>
      </c>
      <c r="N10" s="46">
        <f t="shared" si="4"/>
        <v>79.285714285714306</v>
      </c>
    </row>
    <row r="11" spans="1:14">
      <c r="A11" s="25" t="s">
        <v>28</v>
      </c>
      <c r="B11" s="26" t="s">
        <v>29</v>
      </c>
      <c r="C11" s="19">
        <v>80</v>
      </c>
      <c r="D11" s="42">
        <v>100</v>
      </c>
      <c r="E11" s="43">
        <f t="shared" si="0"/>
        <v>0.9</v>
      </c>
      <c r="F11" s="42">
        <v>100</v>
      </c>
      <c r="G11" s="42">
        <v>100</v>
      </c>
      <c r="H11" s="43">
        <f t="shared" si="1"/>
        <v>1</v>
      </c>
      <c r="I11" s="44">
        <v>80</v>
      </c>
      <c r="J11" s="42">
        <v>80</v>
      </c>
      <c r="K11" s="43">
        <f t="shared" si="3"/>
        <v>0.8</v>
      </c>
      <c r="L11" s="22">
        <v>80</v>
      </c>
      <c r="M11" s="45">
        <f t="shared" si="2"/>
        <v>0.8</v>
      </c>
      <c r="N11" s="46">
        <f t="shared" si="4"/>
        <v>88.571428571428598</v>
      </c>
    </row>
    <row r="12" spans="1:14">
      <c r="A12" s="25" t="s">
        <v>30</v>
      </c>
      <c r="B12" s="26" t="s">
        <v>31</v>
      </c>
      <c r="C12" s="19">
        <v>100</v>
      </c>
      <c r="D12" s="42">
        <v>90</v>
      </c>
      <c r="E12" s="43">
        <f t="shared" si="0"/>
        <v>0.95</v>
      </c>
      <c r="F12" s="42">
        <v>80</v>
      </c>
      <c r="G12" s="42">
        <v>100</v>
      </c>
      <c r="H12" s="43">
        <f t="shared" si="1"/>
        <v>0.9</v>
      </c>
      <c r="I12" s="44">
        <v>80</v>
      </c>
      <c r="J12" s="42">
        <v>70</v>
      </c>
      <c r="K12" s="43">
        <f t="shared" si="3"/>
        <v>0.75</v>
      </c>
      <c r="L12" s="22">
        <v>70</v>
      </c>
      <c r="M12" s="45">
        <f t="shared" si="2"/>
        <v>0.7</v>
      </c>
      <c r="N12" s="46">
        <f t="shared" si="4"/>
        <v>84.285714285714306</v>
      </c>
    </row>
    <row r="13" spans="1:14">
      <c r="A13" s="25" t="s">
        <v>32</v>
      </c>
      <c r="B13" s="26" t="s">
        <v>33</v>
      </c>
      <c r="C13" s="19">
        <v>100</v>
      </c>
      <c r="D13" s="42">
        <v>80</v>
      </c>
      <c r="E13" s="43">
        <f t="shared" si="0"/>
        <v>0.9</v>
      </c>
      <c r="F13" s="42">
        <v>95</v>
      </c>
      <c r="G13" s="42">
        <v>90</v>
      </c>
      <c r="H13" s="43">
        <f t="shared" si="1"/>
        <v>0.92500000000000004</v>
      </c>
      <c r="I13" s="44">
        <v>80</v>
      </c>
      <c r="J13" s="42">
        <v>60</v>
      </c>
      <c r="K13" s="43">
        <f t="shared" si="3"/>
        <v>0.7</v>
      </c>
      <c r="L13" s="22">
        <v>70</v>
      </c>
      <c r="M13" s="45">
        <f t="shared" si="2"/>
        <v>0.7</v>
      </c>
      <c r="N13" s="46">
        <f t="shared" si="4"/>
        <v>82.142857142857096</v>
      </c>
    </row>
    <row r="14" spans="1:14">
      <c r="A14" s="25" t="s">
        <v>34</v>
      </c>
      <c r="B14" s="26" t="s">
        <v>35</v>
      </c>
      <c r="C14" s="19">
        <v>100</v>
      </c>
      <c r="D14" s="42">
        <v>80</v>
      </c>
      <c r="E14" s="43">
        <f t="shared" ref="E14:E22" si="5">(C14+D14)/2*0.01</f>
        <v>0.9</v>
      </c>
      <c r="F14" s="42">
        <v>90</v>
      </c>
      <c r="G14" s="42">
        <v>80</v>
      </c>
      <c r="H14" s="43">
        <f t="shared" ref="H14:H21" si="6">(F14+G14)/2*0.01</f>
        <v>0.85</v>
      </c>
      <c r="I14" s="44">
        <v>70</v>
      </c>
      <c r="J14" s="42">
        <v>80</v>
      </c>
      <c r="K14" s="43">
        <f t="shared" ref="K14:K19" si="7">(I14+J14)/2*0.01</f>
        <v>0.75</v>
      </c>
      <c r="L14" s="22">
        <v>70</v>
      </c>
      <c r="M14" s="45">
        <f t="shared" ref="M14:M23" si="8">L14*0.01</f>
        <v>0.7</v>
      </c>
      <c r="N14" s="46">
        <f t="shared" ref="N14:N20" si="9">(C14+D14+F14+G14+I14+J14+L14)/7</f>
        <v>81.428571428571402</v>
      </c>
    </row>
    <row r="15" spans="1:14">
      <c r="A15" s="25" t="s">
        <v>36</v>
      </c>
      <c r="B15" s="26" t="s">
        <v>37</v>
      </c>
      <c r="C15" s="19">
        <v>100</v>
      </c>
      <c r="D15" s="42">
        <v>100</v>
      </c>
      <c r="E15" s="43">
        <f t="shared" si="5"/>
        <v>1</v>
      </c>
      <c r="F15" s="42">
        <v>80</v>
      </c>
      <c r="G15" s="42">
        <v>100</v>
      </c>
      <c r="H15" s="43">
        <f t="shared" si="6"/>
        <v>0.9</v>
      </c>
      <c r="I15" s="44">
        <v>80</v>
      </c>
      <c r="J15" s="42">
        <v>80</v>
      </c>
      <c r="K15" s="43">
        <f t="shared" si="7"/>
        <v>0.8</v>
      </c>
      <c r="L15" s="22">
        <v>95</v>
      </c>
      <c r="M15" s="45">
        <f t="shared" si="8"/>
        <v>0.95</v>
      </c>
      <c r="N15" s="46">
        <f t="shared" si="9"/>
        <v>90.714285714285694</v>
      </c>
    </row>
    <row r="16" spans="1:14">
      <c r="A16" s="25" t="s">
        <v>38</v>
      </c>
      <c r="B16" s="26" t="s">
        <v>39</v>
      </c>
      <c r="C16" s="19">
        <v>100</v>
      </c>
      <c r="D16" s="42">
        <v>80</v>
      </c>
      <c r="E16" s="43">
        <f t="shared" si="5"/>
        <v>0.9</v>
      </c>
      <c r="F16" s="42">
        <v>90</v>
      </c>
      <c r="G16" s="42">
        <v>95</v>
      </c>
      <c r="H16" s="43">
        <f t="shared" si="6"/>
        <v>0.92500000000000004</v>
      </c>
      <c r="I16" s="44">
        <v>80</v>
      </c>
      <c r="J16" s="42">
        <v>80</v>
      </c>
      <c r="K16" s="43">
        <f t="shared" si="7"/>
        <v>0.8</v>
      </c>
      <c r="L16" s="22">
        <v>70</v>
      </c>
      <c r="M16" s="45">
        <f t="shared" si="8"/>
        <v>0.7</v>
      </c>
      <c r="N16" s="46">
        <f t="shared" si="9"/>
        <v>85</v>
      </c>
    </row>
    <row r="17" spans="1:14">
      <c r="A17" s="25" t="s">
        <v>40</v>
      </c>
      <c r="B17" s="26" t="s">
        <v>41</v>
      </c>
      <c r="C17" s="19">
        <v>100</v>
      </c>
      <c r="D17" s="42">
        <v>90</v>
      </c>
      <c r="E17" s="43">
        <f t="shared" si="5"/>
        <v>0.95</v>
      </c>
      <c r="F17" s="42">
        <v>70</v>
      </c>
      <c r="G17" s="42">
        <v>100</v>
      </c>
      <c r="H17" s="43">
        <f t="shared" si="6"/>
        <v>0.85</v>
      </c>
      <c r="I17" s="44">
        <v>80</v>
      </c>
      <c r="J17" s="42">
        <v>70</v>
      </c>
      <c r="K17" s="43">
        <f t="shared" si="7"/>
        <v>0.75</v>
      </c>
      <c r="L17" s="22">
        <v>70</v>
      </c>
      <c r="M17" s="45">
        <f t="shared" si="8"/>
        <v>0.7</v>
      </c>
      <c r="N17" s="46">
        <f t="shared" si="9"/>
        <v>82.857142857142904</v>
      </c>
    </row>
    <row r="18" spans="1:14">
      <c r="A18" s="25" t="s">
        <v>42</v>
      </c>
      <c r="B18" s="26" t="s">
        <v>43</v>
      </c>
      <c r="C18" s="19">
        <v>100</v>
      </c>
      <c r="D18" s="42">
        <v>100</v>
      </c>
      <c r="E18" s="43">
        <f t="shared" si="5"/>
        <v>1</v>
      </c>
      <c r="F18" s="42">
        <v>80</v>
      </c>
      <c r="G18" s="42">
        <v>100</v>
      </c>
      <c r="H18" s="43">
        <f t="shared" si="6"/>
        <v>0.9</v>
      </c>
      <c r="I18" s="44">
        <v>70</v>
      </c>
      <c r="J18" s="42">
        <v>80</v>
      </c>
      <c r="K18" s="43">
        <f t="shared" si="7"/>
        <v>0.75</v>
      </c>
      <c r="L18" s="22">
        <v>95</v>
      </c>
      <c r="M18" s="45">
        <f t="shared" si="8"/>
        <v>0.95</v>
      </c>
      <c r="N18" s="46">
        <f t="shared" si="9"/>
        <v>89.285714285714306</v>
      </c>
    </row>
    <row r="19" spans="1:14">
      <c r="A19" s="25" t="s">
        <v>44</v>
      </c>
      <c r="B19" s="26" t="s">
        <v>45</v>
      </c>
      <c r="C19" s="19">
        <v>100</v>
      </c>
      <c r="D19" s="42">
        <v>90</v>
      </c>
      <c r="E19" s="43">
        <f t="shared" si="5"/>
        <v>0.95</v>
      </c>
      <c r="F19" s="42">
        <v>90</v>
      </c>
      <c r="G19" s="42">
        <v>95</v>
      </c>
      <c r="H19" s="43">
        <f t="shared" si="6"/>
        <v>0.92500000000000004</v>
      </c>
      <c r="I19" s="44">
        <v>90</v>
      </c>
      <c r="J19" s="42">
        <v>80</v>
      </c>
      <c r="K19" s="43">
        <f t="shared" si="7"/>
        <v>0.85</v>
      </c>
      <c r="L19" s="22">
        <v>70</v>
      </c>
      <c r="M19" s="45">
        <f t="shared" si="8"/>
        <v>0.7</v>
      </c>
      <c r="N19" s="46">
        <f t="shared" si="9"/>
        <v>87.857142857142904</v>
      </c>
    </row>
    <row r="20" spans="1:14">
      <c r="A20" s="25" t="s">
        <v>46</v>
      </c>
      <c r="B20" s="26" t="s">
        <v>47</v>
      </c>
      <c r="C20" s="19">
        <v>100</v>
      </c>
      <c r="D20" s="42">
        <v>80</v>
      </c>
      <c r="E20" s="43">
        <f t="shared" si="5"/>
        <v>0.9</v>
      </c>
      <c r="F20" s="42">
        <v>70</v>
      </c>
      <c r="G20" s="42">
        <v>100</v>
      </c>
      <c r="H20" s="43">
        <f t="shared" si="6"/>
        <v>0.85</v>
      </c>
      <c r="I20" s="44">
        <v>80</v>
      </c>
      <c r="J20" s="42">
        <v>70</v>
      </c>
      <c r="K20" s="43">
        <f t="shared" ref="K20:K32" si="10">(I20+J20)/2*0.01</f>
        <v>0.75</v>
      </c>
      <c r="L20" s="22">
        <v>70</v>
      </c>
      <c r="M20" s="45">
        <f t="shared" si="8"/>
        <v>0.7</v>
      </c>
      <c r="N20" s="46">
        <f t="shared" si="9"/>
        <v>81.428571428571402</v>
      </c>
    </row>
    <row r="21" spans="1:14">
      <c r="A21" s="25" t="s">
        <v>48</v>
      </c>
      <c r="B21" s="26" t="s">
        <v>49</v>
      </c>
      <c r="C21" s="19">
        <v>100</v>
      </c>
      <c r="D21" s="42">
        <v>80</v>
      </c>
      <c r="E21" s="43">
        <f t="shared" si="5"/>
        <v>0.9</v>
      </c>
      <c r="F21" s="42">
        <v>100</v>
      </c>
      <c r="G21" s="42">
        <v>100</v>
      </c>
      <c r="H21" s="43">
        <f t="shared" si="6"/>
        <v>1</v>
      </c>
      <c r="I21" s="44">
        <v>90</v>
      </c>
      <c r="J21" s="42">
        <v>80</v>
      </c>
      <c r="K21" s="43">
        <f t="shared" si="10"/>
        <v>0.85</v>
      </c>
      <c r="L21" s="22">
        <v>70</v>
      </c>
      <c r="M21" s="45">
        <f t="shared" si="8"/>
        <v>0.7</v>
      </c>
      <c r="N21" s="46">
        <f t="shared" ref="N21:N34" si="11">(C21+D21+F21+G21+I21+J21+L21)/7</f>
        <v>88.571428571428598</v>
      </c>
    </row>
    <row r="22" spans="1:14">
      <c r="A22" s="25" t="s">
        <v>50</v>
      </c>
      <c r="B22" s="26" t="s">
        <v>51</v>
      </c>
      <c r="C22" s="19">
        <v>0</v>
      </c>
      <c r="D22" s="42">
        <v>0</v>
      </c>
      <c r="E22" s="43">
        <f t="shared" si="5"/>
        <v>0</v>
      </c>
      <c r="F22" s="42">
        <v>0</v>
      </c>
      <c r="G22" s="42">
        <v>0</v>
      </c>
      <c r="H22" s="43">
        <f t="shared" ref="H22:H34" si="12">(F22+G22)/2*0.01</f>
        <v>0</v>
      </c>
      <c r="I22" s="44">
        <v>0</v>
      </c>
      <c r="J22" s="42">
        <v>0</v>
      </c>
      <c r="K22" s="43">
        <f t="shared" si="10"/>
        <v>0</v>
      </c>
      <c r="L22" s="22">
        <v>0</v>
      </c>
      <c r="M22" s="45">
        <f t="shared" si="8"/>
        <v>0</v>
      </c>
      <c r="N22" s="46">
        <f t="shared" si="11"/>
        <v>0</v>
      </c>
    </row>
    <row r="23" spans="1:14">
      <c r="A23" s="25" t="s">
        <v>52</v>
      </c>
      <c r="B23" s="26" t="s">
        <v>53</v>
      </c>
      <c r="C23" s="19">
        <v>100</v>
      </c>
      <c r="D23" s="42">
        <v>95</v>
      </c>
      <c r="E23" s="43">
        <f t="shared" ref="E23:E33" si="13">(C23+D23)/2*0.01</f>
        <v>0.97499999999999998</v>
      </c>
      <c r="F23" s="42">
        <v>80</v>
      </c>
      <c r="G23" s="42">
        <v>100</v>
      </c>
      <c r="H23" s="43">
        <f t="shared" si="12"/>
        <v>0.9</v>
      </c>
      <c r="I23" s="44">
        <v>90</v>
      </c>
      <c r="J23" s="42">
        <v>80</v>
      </c>
      <c r="K23" s="43">
        <f t="shared" si="10"/>
        <v>0.85</v>
      </c>
      <c r="L23" s="22">
        <v>70</v>
      </c>
      <c r="M23" s="45">
        <f t="shared" si="8"/>
        <v>0.7</v>
      </c>
      <c r="N23" s="46">
        <f t="shared" si="11"/>
        <v>87.857142857142904</v>
      </c>
    </row>
    <row r="24" spans="1:14">
      <c r="A24" s="25" t="s">
        <v>54</v>
      </c>
      <c r="B24" s="26" t="s">
        <v>55</v>
      </c>
      <c r="C24" s="19">
        <v>100</v>
      </c>
      <c r="D24" s="42">
        <v>90</v>
      </c>
      <c r="E24" s="43">
        <f t="shared" si="13"/>
        <v>0.95</v>
      </c>
      <c r="F24" s="42">
        <v>80</v>
      </c>
      <c r="G24" s="42">
        <v>100</v>
      </c>
      <c r="H24" s="43">
        <f t="shared" si="12"/>
        <v>0.9</v>
      </c>
      <c r="I24" s="44">
        <v>70</v>
      </c>
      <c r="J24" s="42">
        <v>0</v>
      </c>
      <c r="K24" s="43">
        <f t="shared" si="10"/>
        <v>0.35</v>
      </c>
      <c r="L24" s="22">
        <v>60</v>
      </c>
      <c r="M24" s="45">
        <f t="shared" ref="M24:M41" si="14">L24*0.01</f>
        <v>0.6</v>
      </c>
      <c r="N24" s="46">
        <f t="shared" si="11"/>
        <v>71.428571428571402</v>
      </c>
    </row>
    <row r="25" spans="1:14">
      <c r="A25" s="25" t="s">
        <v>56</v>
      </c>
      <c r="B25" s="26" t="s">
        <v>57</v>
      </c>
      <c r="C25" s="19">
        <v>100</v>
      </c>
      <c r="D25" s="42">
        <v>80</v>
      </c>
      <c r="E25" s="43">
        <f t="shared" si="13"/>
        <v>0.9</v>
      </c>
      <c r="F25" s="42">
        <v>70</v>
      </c>
      <c r="G25" s="42">
        <v>90</v>
      </c>
      <c r="H25" s="43">
        <f t="shared" si="12"/>
        <v>0.8</v>
      </c>
      <c r="I25" s="44">
        <v>50</v>
      </c>
      <c r="J25" s="42">
        <v>80</v>
      </c>
      <c r="K25" s="43">
        <f t="shared" si="10"/>
        <v>0.65</v>
      </c>
      <c r="L25" s="22">
        <v>50</v>
      </c>
      <c r="M25" s="45">
        <f t="shared" si="14"/>
        <v>0.5</v>
      </c>
      <c r="N25" s="46">
        <f t="shared" si="11"/>
        <v>74.285714285714306</v>
      </c>
    </row>
    <row r="26" spans="1:14">
      <c r="A26" s="25" t="s">
        <v>58</v>
      </c>
      <c r="B26" s="26" t="s">
        <v>59</v>
      </c>
      <c r="C26" s="19">
        <v>80</v>
      </c>
      <c r="D26" s="42">
        <v>90</v>
      </c>
      <c r="E26" s="43">
        <f t="shared" si="13"/>
        <v>0.85</v>
      </c>
      <c r="F26" s="42">
        <v>80</v>
      </c>
      <c r="G26" s="42">
        <v>100</v>
      </c>
      <c r="H26" s="43">
        <f t="shared" si="12"/>
        <v>0.9</v>
      </c>
      <c r="I26" s="44">
        <v>60</v>
      </c>
      <c r="J26" s="42">
        <v>90</v>
      </c>
      <c r="K26" s="43">
        <f t="shared" si="10"/>
        <v>0.75</v>
      </c>
      <c r="L26" s="22">
        <v>60</v>
      </c>
      <c r="M26" s="45">
        <f t="shared" si="14"/>
        <v>0.6</v>
      </c>
      <c r="N26" s="46">
        <f t="shared" si="11"/>
        <v>80</v>
      </c>
    </row>
    <row r="27" spans="1:14">
      <c r="A27" s="25" t="s">
        <v>60</v>
      </c>
      <c r="B27" s="26" t="s">
        <v>61</v>
      </c>
      <c r="C27" s="19">
        <v>80</v>
      </c>
      <c r="D27" s="42">
        <v>90</v>
      </c>
      <c r="E27" s="43">
        <f t="shared" si="13"/>
        <v>0.85</v>
      </c>
      <c r="F27" s="42">
        <v>100</v>
      </c>
      <c r="G27" s="42">
        <v>90</v>
      </c>
      <c r="H27" s="43">
        <f t="shared" si="12"/>
        <v>0.95</v>
      </c>
      <c r="I27" s="44">
        <v>70</v>
      </c>
      <c r="J27" s="42">
        <v>70</v>
      </c>
      <c r="K27" s="43">
        <f t="shared" si="10"/>
        <v>0.7</v>
      </c>
      <c r="L27" s="22">
        <v>70</v>
      </c>
      <c r="M27" s="45">
        <f t="shared" si="14"/>
        <v>0.7</v>
      </c>
      <c r="N27" s="46">
        <f t="shared" si="11"/>
        <v>81.428571428571402</v>
      </c>
    </row>
    <row r="28" spans="1:14">
      <c r="A28" s="25" t="s">
        <v>62</v>
      </c>
      <c r="B28" s="26" t="s">
        <v>63</v>
      </c>
      <c r="C28" s="19">
        <v>100</v>
      </c>
      <c r="D28" s="42">
        <v>100</v>
      </c>
      <c r="E28" s="43">
        <f t="shared" si="13"/>
        <v>1</v>
      </c>
      <c r="F28" s="42">
        <v>95</v>
      </c>
      <c r="G28" s="42">
        <v>100</v>
      </c>
      <c r="H28" s="43">
        <f t="shared" si="12"/>
        <v>0.97499999999999998</v>
      </c>
      <c r="I28" s="44">
        <v>70</v>
      </c>
      <c r="J28" s="42">
        <v>80</v>
      </c>
      <c r="K28" s="43">
        <f t="shared" si="10"/>
        <v>0.75</v>
      </c>
      <c r="L28" s="22">
        <v>80</v>
      </c>
      <c r="M28" s="45">
        <f t="shared" si="14"/>
        <v>0.8</v>
      </c>
      <c r="N28" s="46">
        <f t="shared" si="11"/>
        <v>89.285714285714306</v>
      </c>
    </row>
    <row r="29" spans="1:14">
      <c r="A29" s="25" t="s">
        <v>64</v>
      </c>
      <c r="B29" s="26" t="s">
        <v>65</v>
      </c>
      <c r="C29" s="19">
        <v>100</v>
      </c>
      <c r="D29" s="42">
        <v>80</v>
      </c>
      <c r="E29" s="43">
        <f t="shared" si="13"/>
        <v>0.9</v>
      </c>
      <c r="F29" s="42">
        <v>70</v>
      </c>
      <c r="G29" s="42">
        <v>100</v>
      </c>
      <c r="H29" s="43">
        <f t="shared" si="12"/>
        <v>0.85</v>
      </c>
      <c r="I29" s="44">
        <v>70</v>
      </c>
      <c r="J29" s="42">
        <v>70</v>
      </c>
      <c r="K29" s="43">
        <f t="shared" si="10"/>
        <v>0.7</v>
      </c>
      <c r="L29" s="22">
        <v>95</v>
      </c>
      <c r="M29" s="45">
        <f t="shared" si="14"/>
        <v>0.95</v>
      </c>
      <c r="N29" s="46">
        <f t="shared" si="11"/>
        <v>83.571428571428598</v>
      </c>
    </row>
    <row r="30" spans="1:14">
      <c r="A30" s="25" t="s">
        <v>66</v>
      </c>
      <c r="B30" s="26" t="s">
        <v>67</v>
      </c>
      <c r="C30" s="47">
        <v>100</v>
      </c>
      <c r="D30" s="42">
        <v>100</v>
      </c>
      <c r="E30" s="43">
        <f t="shared" si="13"/>
        <v>1</v>
      </c>
      <c r="F30" s="42">
        <v>100</v>
      </c>
      <c r="G30" s="42">
        <v>100</v>
      </c>
      <c r="H30" s="43">
        <f t="shared" si="12"/>
        <v>1</v>
      </c>
      <c r="I30" s="44">
        <v>95</v>
      </c>
      <c r="J30" s="42">
        <v>80</v>
      </c>
      <c r="K30" s="43">
        <f t="shared" si="10"/>
        <v>0.875</v>
      </c>
      <c r="L30" s="22">
        <v>80</v>
      </c>
      <c r="M30" s="45">
        <f t="shared" si="14"/>
        <v>0.8</v>
      </c>
      <c r="N30" s="46">
        <f t="shared" si="11"/>
        <v>93.571428571428598</v>
      </c>
    </row>
    <row r="31" spans="1:14">
      <c r="A31" s="25" t="s">
        <v>68</v>
      </c>
      <c r="B31" s="26" t="s">
        <v>69</v>
      </c>
      <c r="C31" s="47">
        <v>100</v>
      </c>
      <c r="D31" s="42">
        <v>80</v>
      </c>
      <c r="E31" s="43">
        <f t="shared" si="13"/>
        <v>0.9</v>
      </c>
      <c r="F31" s="42">
        <v>70</v>
      </c>
      <c r="G31" s="42">
        <v>100</v>
      </c>
      <c r="H31" s="43">
        <f t="shared" si="12"/>
        <v>0.85</v>
      </c>
      <c r="I31" s="44">
        <v>80</v>
      </c>
      <c r="J31" s="42">
        <v>80</v>
      </c>
      <c r="K31" s="43">
        <f t="shared" si="10"/>
        <v>0.8</v>
      </c>
      <c r="L31" s="22">
        <v>70</v>
      </c>
      <c r="M31" s="45">
        <f t="shared" si="14"/>
        <v>0.7</v>
      </c>
      <c r="N31" s="46">
        <f t="shared" si="11"/>
        <v>82.857142857142904</v>
      </c>
    </row>
    <row r="32" spans="1:14">
      <c r="A32" s="25" t="s">
        <v>70</v>
      </c>
      <c r="B32" s="26" t="s">
        <v>71</v>
      </c>
      <c r="C32" s="47">
        <v>80</v>
      </c>
      <c r="D32" s="42">
        <v>80</v>
      </c>
      <c r="E32" s="43">
        <f t="shared" si="13"/>
        <v>0.8</v>
      </c>
      <c r="F32" s="42">
        <v>80</v>
      </c>
      <c r="G32" s="42">
        <v>80</v>
      </c>
      <c r="H32" s="43">
        <f t="shared" si="12"/>
        <v>0.8</v>
      </c>
      <c r="I32" s="44">
        <v>60</v>
      </c>
      <c r="J32" s="42">
        <v>80</v>
      </c>
      <c r="K32" s="43">
        <f t="shared" si="10"/>
        <v>0.7</v>
      </c>
      <c r="L32" s="22">
        <v>60</v>
      </c>
      <c r="M32" s="45">
        <f t="shared" si="14"/>
        <v>0.6</v>
      </c>
      <c r="N32" s="46">
        <f t="shared" si="11"/>
        <v>74.285714285714306</v>
      </c>
    </row>
    <row r="33" spans="1:14">
      <c r="A33" s="25" t="s">
        <v>72</v>
      </c>
      <c r="B33" s="26" t="s">
        <v>73</v>
      </c>
      <c r="C33" s="47">
        <v>80</v>
      </c>
      <c r="D33" s="42">
        <v>70</v>
      </c>
      <c r="E33" s="43">
        <f t="shared" si="13"/>
        <v>0.75</v>
      </c>
      <c r="F33" s="42">
        <v>80</v>
      </c>
      <c r="G33" s="42">
        <v>100</v>
      </c>
      <c r="H33" s="43">
        <f t="shared" si="12"/>
        <v>0.9</v>
      </c>
      <c r="I33" s="44">
        <v>80</v>
      </c>
      <c r="J33" s="42">
        <v>80</v>
      </c>
      <c r="K33" s="43">
        <f t="shared" ref="K33:K44" si="15">(I33+J33)/2*0.01</f>
        <v>0.8</v>
      </c>
      <c r="L33" s="22">
        <v>70</v>
      </c>
      <c r="M33" s="45">
        <f t="shared" si="14"/>
        <v>0.7</v>
      </c>
      <c r="N33" s="46">
        <f t="shared" si="11"/>
        <v>80</v>
      </c>
    </row>
    <row r="34" spans="1:14">
      <c r="A34" s="25" t="s">
        <v>74</v>
      </c>
      <c r="B34" s="26" t="s">
        <v>75</v>
      </c>
      <c r="C34" s="47">
        <v>100</v>
      </c>
      <c r="D34" s="42">
        <v>80</v>
      </c>
      <c r="E34" s="43">
        <f t="shared" ref="E34:E44" si="16">(C34+D34)/2*0.01</f>
        <v>0.9</v>
      </c>
      <c r="F34" s="42">
        <v>80</v>
      </c>
      <c r="G34" s="42">
        <v>80</v>
      </c>
      <c r="H34" s="43">
        <f t="shared" si="12"/>
        <v>0.8</v>
      </c>
      <c r="I34" s="44">
        <v>80</v>
      </c>
      <c r="J34" s="42">
        <v>80</v>
      </c>
      <c r="K34" s="43">
        <f t="shared" si="15"/>
        <v>0.8</v>
      </c>
      <c r="L34" s="22">
        <v>60</v>
      </c>
      <c r="M34" s="45">
        <f t="shared" si="14"/>
        <v>0.6</v>
      </c>
      <c r="N34" s="46">
        <f t="shared" si="11"/>
        <v>80</v>
      </c>
    </row>
    <row r="35" spans="1:14">
      <c r="A35" s="25" t="s">
        <v>76</v>
      </c>
      <c r="B35" s="26" t="s">
        <v>77</v>
      </c>
      <c r="C35" s="47">
        <v>90</v>
      </c>
      <c r="D35" s="42">
        <v>80</v>
      </c>
      <c r="E35" s="43">
        <f t="shared" si="16"/>
        <v>0.85</v>
      </c>
      <c r="F35" s="42">
        <v>80</v>
      </c>
      <c r="G35" s="42">
        <v>100</v>
      </c>
      <c r="H35" s="43">
        <f t="shared" ref="H35:H42" si="17">(F35+G35)/2*0.01</f>
        <v>0.9</v>
      </c>
      <c r="I35" s="44">
        <v>90</v>
      </c>
      <c r="J35" s="42">
        <v>80</v>
      </c>
      <c r="K35" s="43">
        <f t="shared" si="15"/>
        <v>0.85</v>
      </c>
      <c r="L35" s="22">
        <v>70</v>
      </c>
      <c r="M35" s="45">
        <f t="shared" si="14"/>
        <v>0.7</v>
      </c>
      <c r="N35" s="46">
        <f t="shared" ref="N35:N44" si="18">(C35+D35+F35+G35+I35+J35+L35)/7</f>
        <v>84.285714285714306</v>
      </c>
    </row>
    <row r="36" spans="1:14">
      <c r="A36" s="25" t="s">
        <v>78</v>
      </c>
      <c r="B36" s="26" t="s">
        <v>79</v>
      </c>
      <c r="C36" s="47">
        <v>100</v>
      </c>
      <c r="D36" s="42">
        <v>60</v>
      </c>
      <c r="E36" s="43">
        <f t="shared" si="16"/>
        <v>0.8</v>
      </c>
      <c r="F36" s="42">
        <v>90</v>
      </c>
      <c r="G36" s="42">
        <v>90</v>
      </c>
      <c r="H36" s="43">
        <f t="shared" si="17"/>
        <v>0.9</v>
      </c>
      <c r="I36" s="44">
        <v>80</v>
      </c>
      <c r="J36" s="42">
        <v>80</v>
      </c>
      <c r="K36" s="43">
        <f t="shared" si="15"/>
        <v>0.8</v>
      </c>
      <c r="L36" s="22">
        <v>70</v>
      </c>
      <c r="M36" s="45">
        <f t="shared" si="14"/>
        <v>0.7</v>
      </c>
      <c r="N36" s="46">
        <f t="shared" si="18"/>
        <v>81.428571428571402</v>
      </c>
    </row>
    <row r="37" spans="1:14">
      <c r="A37" s="25" t="s">
        <v>80</v>
      </c>
      <c r="B37" s="26" t="s">
        <v>81</v>
      </c>
      <c r="C37" s="47">
        <v>100</v>
      </c>
      <c r="D37" s="42">
        <v>100</v>
      </c>
      <c r="E37" s="43">
        <f t="shared" si="16"/>
        <v>1</v>
      </c>
      <c r="F37" s="42">
        <v>70</v>
      </c>
      <c r="G37" s="42">
        <v>100</v>
      </c>
      <c r="H37" s="43">
        <f t="shared" si="17"/>
        <v>0.85</v>
      </c>
      <c r="I37" s="44">
        <v>80</v>
      </c>
      <c r="J37" s="42">
        <v>80</v>
      </c>
      <c r="K37" s="43">
        <f t="shared" si="15"/>
        <v>0.8</v>
      </c>
      <c r="L37" s="22">
        <v>70</v>
      </c>
      <c r="M37" s="45">
        <f t="shared" si="14"/>
        <v>0.7</v>
      </c>
      <c r="N37" s="46">
        <f t="shared" si="18"/>
        <v>85.714285714285694</v>
      </c>
    </row>
    <row r="38" spans="1:14">
      <c r="A38" s="25" t="s">
        <v>82</v>
      </c>
      <c r="B38" s="26" t="s">
        <v>83</v>
      </c>
      <c r="C38" s="47">
        <v>100</v>
      </c>
      <c r="D38" s="42">
        <v>100</v>
      </c>
      <c r="E38" s="43">
        <f t="shared" si="16"/>
        <v>1</v>
      </c>
      <c r="F38" s="42">
        <v>80</v>
      </c>
      <c r="G38" s="42">
        <v>60</v>
      </c>
      <c r="H38" s="43">
        <f t="shared" si="17"/>
        <v>0.7</v>
      </c>
      <c r="I38" s="44">
        <v>80</v>
      </c>
      <c r="J38" s="42">
        <v>60</v>
      </c>
      <c r="K38" s="43">
        <f t="shared" si="15"/>
        <v>0.7</v>
      </c>
      <c r="L38" s="22">
        <v>70</v>
      </c>
      <c r="M38" s="45">
        <f t="shared" si="14"/>
        <v>0.7</v>
      </c>
      <c r="N38" s="46">
        <f t="shared" si="18"/>
        <v>78.571428571428598</v>
      </c>
    </row>
    <row r="39" spans="1:14">
      <c r="A39" s="25" t="s">
        <v>84</v>
      </c>
      <c r="B39" s="26" t="s">
        <v>85</v>
      </c>
      <c r="C39" s="47">
        <v>80</v>
      </c>
      <c r="D39" s="42">
        <v>80</v>
      </c>
      <c r="E39" s="43">
        <f t="shared" si="16"/>
        <v>0.8</v>
      </c>
      <c r="F39" s="42">
        <v>90</v>
      </c>
      <c r="G39" s="42">
        <v>90</v>
      </c>
      <c r="H39" s="43">
        <f t="shared" si="17"/>
        <v>0.9</v>
      </c>
      <c r="I39" s="44">
        <v>70</v>
      </c>
      <c r="J39" s="42">
        <v>70</v>
      </c>
      <c r="K39" s="43">
        <f t="shared" si="15"/>
        <v>0.7</v>
      </c>
      <c r="L39" s="22">
        <v>70</v>
      </c>
      <c r="M39" s="45">
        <f t="shared" si="14"/>
        <v>0.7</v>
      </c>
      <c r="N39" s="46">
        <f t="shared" si="18"/>
        <v>78.571428571428598</v>
      </c>
    </row>
    <row r="40" spans="1:14">
      <c r="A40" s="25" t="s">
        <v>86</v>
      </c>
      <c r="B40" s="26" t="s">
        <v>87</v>
      </c>
      <c r="C40" s="47">
        <v>100</v>
      </c>
      <c r="D40" s="42">
        <v>90</v>
      </c>
      <c r="E40" s="43">
        <f t="shared" si="16"/>
        <v>0.95</v>
      </c>
      <c r="F40" s="42">
        <v>70</v>
      </c>
      <c r="G40" s="42">
        <v>90</v>
      </c>
      <c r="H40" s="43">
        <f t="shared" si="17"/>
        <v>0.8</v>
      </c>
      <c r="I40" s="44">
        <v>70</v>
      </c>
      <c r="J40" s="42">
        <v>80</v>
      </c>
      <c r="K40" s="43">
        <f t="shared" si="15"/>
        <v>0.75</v>
      </c>
      <c r="L40" s="22">
        <v>70</v>
      </c>
      <c r="M40" s="45">
        <f t="shared" si="14"/>
        <v>0.7</v>
      </c>
      <c r="N40" s="46">
        <f t="shared" si="18"/>
        <v>81.428571428571402</v>
      </c>
    </row>
    <row r="41" spans="1:14">
      <c r="A41" s="25" t="s">
        <v>88</v>
      </c>
      <c r="B41" s="26" t="s">
        <v>89</v>
      </c>
      <c r="C41" s="47">
        <v>90</v>
      </c>
      <c r="D41" s="42">
        <v>80</v>
      </c>
      <c r="E41" s="43">
        <f t="shared" si="16"/>
        <v>0.85</v>
      </c>
      <c r="F41" s="42">
        <v>80</v>
      </c>
      <c r="G41" s="42">
        <v>100</v>
      </c>
      <c r="H41" s="43">
        <f t="shared" si="17"/>
        <v>0.9</v>
      </c>
      <c r="I41" s="44">
        <v>70</v>
      </c>
      <c r="J41" s="42">
        <v>80</v>
      </c>
      <c r="K41" s="43">
        <f t="shared" si="15"/>
        <v>0.75</v>
      </c>
      <c r="L41" s="22">
        <v>60</v>
      </c>
      <c r="M41" s="45">
        <f t="shared" si="14"/>
        <v>0.6</v>
      </c>
      <c r="N41" s="46">
        <f t="shared" si="18"/>
        <v>80</v>
      </c>
    </row>
    <row r="42" spans="1:14">
      <c r="A42" s="25" t="s">
        <v>90</v>
      </c>
      <c r="B42" s="26" t="s">
        <v>91</v>
      </c>
      <c r="C42" s="47">
        <v>90</v>
      </c>
      <c r="D42" s="42">
        <v>80</v>
      </c>
      <c r="E42" s="43">
        <f t="shared" si="16"/>
        <v>0.85</v>
      </c>
      <c r="F42" s="42">
        <v>80</v>
      </c>
      <c r="G42" s="42">
        <v>90</v>
      </c>
      <c r="H42" s="43">
        <f t="shared" si="17"/>
        <v>0.85</v>
      </c>
      <c r="I42" s="44">
        <v>70</v>
      </c>
      <c r="J42" s="42">
        <v>80</v>
      </c>
      <c r="K42" s="43">
        <f t="shared" si="15"/>
        <v>0.75</v>
      </c>
      <c r="L42" s="22">
        <v>70</v>
      </c>
      <c r="M42" s="45">
        <f>L42*0.01</f>
        <v>0.7</v>
      </c>
      <c r="N42" s="46">
        <f t="shared" si="18"/>
        <v>80</v>
      </c>
    </row>
    <row r="43" spans="1:14">
      <c r="A43" s="25" t="s">
        <v>92</v>
      </c>
      <c r="B43" s="26" t="s">
        <v>93</v>
      </c>
      <c r="C43" s="47">
        <v>80</v>
      </c>
      <c r="D43" s="42">
        <v>95</v>
      </c>
      <c r="E43" s="43">
        <f t="shared" si="16"/>
        <v>0.875</v>
      </c>
      <c r="F43" s="42">
        <v>95</v>
      </c>
      <c r="G43" s="42">
        <v>100</v>
      </c>
      <c r="H43" s="43">
        <f>(F43+G43)/2*0.01</f>
        <v>0.97499999999999998</v>
      </c>
      <c r="I43" s="44">
        <v>80</v>
      </c>
      <c r="J43" s="42">
        <v>80</v>
      </c>
      <c r="K43" s="43">
        <f t="shared" si="15"/>
        <v>0.8</v>
      </c>
      <c r="L43" s="22">
        <v>70</v>
      </c>
      <c r="M43" s="45">
        <f>L43*0.01</f>
        <v>0.7</v>
      </c>
      <c r="N43" s="46">
        <f t="shared" si="18"/>
        <v>85.714285714285694</v>
      </c>
    </row>
    <row r="44" spans="1:14">
      <c r="A44" s="25" t="s">
        <v>94</v>
      </c>
      <c r="B44" s="26" t="s">
        <v>95</v>
      </c>
      <c r="C44" s="47">
        <v>100</v>
      </c>
      <c r="D44" s="42">
        <v>90</v>
      </c>
      <c r="E44" s="43">
        <f t="shared" si="16"/>
        <v>0.95</v>
      </c>
      <c r="F44" s="42">
        <v>80</v>
      </c>
      <c r="G44" s="42">
        <v>90</v>
      </c>
      <c r="H44" s="43">
        <f>(F44+G44)/2*0.01</f>
        <v>0.85</v>
      </c>
      <c r="I44" s="44">
        <v>80</v>
      </c>
      <c r="J44" s="42">
        <v>80</v>
      </c>
      <c r="K44" s="43">
        <f t="shared" si="15"/>
        <v>0.8</v>
      </c>
      <c r="L44" s="22">
        <v>70</v>
      </c>
      <c r="M44" s="45">
        <f>L44*0.01</f>
        <v>0.7</v>
      </c>
      <c r="N44" s="46">
        <f t="shared" si="18"/>
        <v>84.285714285714306</v>
      </c>
    </row>
    <row r="45" spans="1:14">
      <c r="A45" s="25" t="s">
        <v>96</v>
      </c>
      <c r="B45" s="26" t="s">
        <v>97</v>
      </c>
      <c r="C45" s="47">
        <v>100</v>
      </c>
      <c r="D45" s="42">
        <v>80</v>
      </c>
      <c r="E45" s="43">
        <f t="shared" ref="E45:E53" si="19">(C45+D45)/2*0.01</f>
        <v>0.9</v>
      </c>
      <c r="F45" s="42">
        <v>90</v>
      </c>
      <c r="G45" s="42">
        <v>90</v>
      </c>
      <c r="H45" s="43">
        <f t="shared" ref="H45:H53" si="20">(F45+G45)/2*0.01</f>
        <v>0.9</v>
      </c>
      <c r="I45" s="44">
        <v>90</v>
      </c>
      <c r="J45" s="42">
        <v>80</v>
      </c>
      <c r="K45" s="43">
        <f t="shared" ref="K45:K53" si="21">(I45+J45)/2*0.01</f>
        <v>0.85</v>
      </c>
      <c r="L45" s="22">
        <v>80</v>
      </c>
      <c r="M45" s="45">
        <f t="shared" ref="M45:M53" si="22">L45*0.01</f>
        <v>0.8</v>
      </c>
      <c r="N45" s="46">
        <f>(C45+D45+F45+G45+I45+J45+L45)/7</f>
        <v>87.142857142857096</v>
      </c>
    </row>
    <row r="46" spans="1:14">
      <c r="A46" s="25" t="s">
        <v>98</v>
      </c>
      <c r="B46" s="26" t="s">
        <v>99</v>
      </c>
      <c r="C46" s="47">
        <v>100</v>
      </c>
      <c r="D46" s="42">
        <v>95</v>
      </c>
      <c r="E46" s="43">
        <f t="shared" si="19"/>
        <v>0.97499999999999998</v>
      </c>
      <c r="F46" s="42">
        <v>80</v>
      </c>
      <c r="G46" s="42">
        <v>100</v>
      </c>
      <c r="H46" s="43">
        <f t="shared" si="20"/>
        <v>0.9</v>
      </c>
      <c r="I46" s="44">
        <v>70</v>
      </c>
      <c r="J46" s="42">
        <v>80</v>
      </c>
      <c r="K46" s="43">
        <f t="shared" si="21"/>
        <v>0.75</v>
      </c>
      <c r="L46" s="22">
        <v>70</v>
      </c>
      <c r="M46" s="45">
        <f t="shared" si="22"/>
        <v>0.7</v>
      </c>
      <c r="N46" s="46">
        <f>(C46+D46+F46+G46+I46+J46+L46)/7</f>
        <v>85</v>
      </c>
    </row>
    <row r="47" spans="1:14">
      <c r="A47" s="25" t="s">
        <v>100</v>
      </c>
      <c r="B47" s="26" t="s">
        <v>101</v>
      </c>
      <c r="C47" s="47">
        <v>80</v>
      </c>
      <c r="D47" s="42">
        <v>90</v>
      </c>
      <c r="E47" s="43">
        <f t="shared" si="19"/>
        <v>0.85</v>
      </c>
      <c r="F47" s="42">
        <v>70</v>
      </c>
      <c r="G47" s="42">
        <v>90</v>
      </c>
      <c r="H47" s="43">
        <f t="shared" si="20"/>
        <v>0.8</v>
      </c>
      <c r="I47" s="44">
        <v>70</v>
      </c>
      <c r="J47" s="42">
        <v>70</v>
      </c>
      <c r="K47" s="43">
        <f t="shared" si="21"/>
        <v>0.7</v>
      </c>
      <c r="L47" s="22">
        <v>60</v>
      </c>
      <c r="M47" s="45">
        <f t="shared" si="22"/>
        <v>0.6</v>
      </c>
      <c r="N47" s="46">
        <f>(C47+D47+F47+G47+I47+J47+L47)/7</f>
        <v>75.714285714285694</v>
      </c>
    </row>
    <row r="48" spans="1:14">
      <c r="A48" s="25" t="s">
        <v>102</v>
      </c>
      <c r="B48" s="26" t="s">
        <v>103</v>
      </c>
      <c r="C48" s="47">
        <v>100</v>
      </c>
      <c r="D48" s="42">
        <v>60</v>
      </c>
      <c r="E48" s="43">
        <f t="shared" si="19"/>
        <v>0.8</v>
      </c>
      <c r="F48" s="42">
        <v>100</v>
      </c>
      <c r="G48" s="42">
        <v>100</v>
      </c>
      <c r="H48" s="43">
        <f t="shared" si="20"/>
        <v>1</v>
      </c>
      <c r="I48" s="44">
        <v>80</v>
      </c>
      <c r="J48" s="42">
        <v>70</v>
      </c>
      <c r="K48" s="43">
        <f t="shared" si="21"/>
        <v>0.75</v>
      </c>
      <c r="L48" s="22">
        <v>0</v>
      </c>
      <c r="M48" s="45">
        <f t="shared" si="22"/>
        <v>0</v>
      </c>
      <c r="N48" s="46">
        <f t="shared" ref="N48:N53" si="23">(C48+D48+F48+G48+I48+J48+L48)/7</f>
        <v>72.857142857142904</v>
      </c>
    </row>
    <row r="49" spans="1:14">
      <c r="A49" s="25" t="s">
        <v>104</v>
      </c>
      <c r="B49" s="26" t="s">
        <v>105</v>
      </c>
      <c r="C49" s="47">
        <v>100</v>
      </c>
      <c r="D49" s="42">
        <v>80</v>
      </c>
      <c r="E49" s="43">
        <f t="shared" si="19"/>
        <v>0.9</v>
      </c>
      <c r="F49" s="42">
        <v>100</v>
      </c>
      <c r="G49" s="42">
        <v>100</v>
      </c>
      <c r="H49" s="43">
        <f t="shared" si="20"/>
        <v>1</v>
      </c>
      <c r="I49" s="44">
        <v>70</v>
      </c>
      <c r="J49" s="42">
        <v>60</v>
      </c>
      <c r="K49" s="43">
        <f t="shared" si="21"/>
        <v>0.65</v>
      </c>
      <c r="L49" s="22">
        <v>70</v>
      </c>
      <c r="M49" s="45">
        <f t="shared" si="22"/>
        <v>0.7</v>
      </c>
      <c r="N49" s="46">
        <f t="shared" si="23"/>
        <v>82.857142857142904</v>
      </c>
    </row>
    <row r="50" spans="1:14">
      <c r="A50" s="25" t="s">
        <v>106</v>
      </c>
      <c r="B50" s="26" t="s">
        <v>107</v>
      </c>
      <c r="C50" s="47">
        <v>100</v>
      </c>
      <c r="D50" s="42">
        <v>80</v>
      </c>
      <c r="E50" s="43">
        <f t="shared" si="19"/>
        <v>0.9</v>
      </c>
      <c r="F50" s="42">
        <v>100</v>
      </c>
      <c r="G50" s="42">
        <v>90</v>
      </c>
      <c r="H50" s="43">
        <f t="shared" si="20"/>
        <v>0.95</v>
      </c>
      <c r="I50" s="44">
        <v>70</v>
      </c>
      <c r="J50" s="42">
        <v>90</v>
      </c>
      <c r="K50" s="43">
        <f t="shared" si="21"/>
        <v>0.8</v>
      </c>
      <c r="L50" s="22">
        <v>70</v>
      </c>
      <c r="M50" s="45">
        <f t="shared" si="22"/>
        <v>0.7</v>
      </c>
      <c r="N50" s="46">
        <f t="shared" si="23"/>
        <v>85.714285714285694</v>
      </c>
    </row>
    <row r="51" spans="1:14">
      <c r="A51" s="25" t="s">
        <v>108</v>
      </c>
      <c r="B51" s="26" t="s">
        <v>109</v>
      </c>
      <c r="C51" s="47">
        <v>80</v>
      </c>
      <c r="D51" s="42">
        <v>90</v>
      </c>
      <c r="E51" s="43">
        <f t="shared" si="19"/>
        <v>0.85</v>
      </c>
      <c r="F51" s="42">
        <v>80</v>
      </c>
      <c r="G51" s="42">
        <v>70</v>
      </c>
      <c r="H51" s="43">
        <f t="shared" si="20"/>
        <v>0.75</v>
      </c>
      <c r="I51" s="44">
        <v>0</v>
      </c>
      <c r="J51" s="42">
        <v>70</v>
      </c>
      <c r="K51" s="43">
        <f t="shared" si="21"/>
        <v>0.35</v>
      </c>
      <c r="L51" s="22">
        <v>80</v>
      </c>
      <c r="M51" s="45">
        <f t="shared" si="22"/>
        <v>0.8</v>
      </c>
      <c r="N51" s="46">
        <f t="shared" si="23"/>
        <v>67.142857142857096</v>
      </c>
    </row>
    <row r="52" spans="1:14">
      <c r="A52" s="25" t="s">
        <v>110</v>
      </c>
      <c r="B52" s="26" t="s">
        <v>111</v>
      </c>
      <c r="C52" s="47">
        <v>80</v>
      </c>
      <c r="D52" s="42">
        <v>80</v>
      </c>
      <c r="E52" s="43">
        <f t="shared" si="19"/>
        <v>0.8</v>
      </c>
      <c r="F52" s="42">
        <v>100</v>
      </c>
      <c r="G52" s="42">
        <v>80</v>
      </c>
      <c r="H52" s="43">
        <f t="shared" si="20"/>
        <v>0.9</v>
      </c>
      <c r="I52" s="44">
        <v>80</v>
      </c>
      <c r="J52" s="42">
        <v>70</v>
      </c>
      <c r="K52" s="43">
        <f t="shared" si="21"/>
        <v>0.75</v>
      </c>
      <c r="L52" s="22">
        <v>70</v>
      </c>
      <c r="M52" s="45">
        <f t="shared" si="22"/>
        <v>0.7</v>
      </c>
      <c r="N52" s="46">
        <f t="shared" si="23"/>
        <v>80</v>
      </c>
    </row>
    <row r="53" spans="1:14">
      <c r="A53" s="25" t="s">
        <v>112</v>
      </c>
      <c r="B53" s="26" t="s">
        <v>113</v>
      </c>
      <c r="C53" s="47">
        <v>100</v>
      </c>
      <c r="D53" s="42">
        <v>95</v>
      </c>
      <c r="E53" s="43">
        <f t="shared" si="19"/>
        <v>0.97499999999999998</v>
      </c>
      <c r="F53" s="42">
        <v>70</v>
      </c>
      <c r="G53" s="42">
        <v>100</v>
      </c>
      <c r="H53" s="43">
        <f t="shared" si="20"/>
        <v>0.85</v>
      </c>
      <c r="I53" s="44">
        <v>90</v>
      </c>
      <c r="J53" s="42">
        <v>80</v>
      </c>
      <c r="K53" s="43">
        <f t="shared" si="21"/>
        <v>0.85</v>
      </c>
      <c r="L53" s="22">
        <v>70</v>
      </c>
      <c r="M53" s="45">
        <f t="shared" si="22"/>
        <v>0.7</v>
      </c>
      <c r="N53" s="46">
        <f t="shared" si="23"/>
        <v>86.428571428571402</v>
      </c>
    </row>
    <row r="54" spans="1:14">
      <c r="A54" s="76" t="s">
        <v>114</v>
      </c>
      <c r="B54" s="84"/>
      <c r="C54" s="32">
        <f>AVERAGE(C6:C53)</f>
        <v>92.5</v>
      </c>
      <c r="D54" s="32">
        <f>AVERAGE(D6:D53)</f>
        <v>83.75</v>
      </c>
      <c r="E54" s="34">
        <f>AVERAGE(E6:E53)</f>
        <v>0.88124999999999998</v>
      </c>
      <c r="F54" s="32">
        <f t="shared" ref="F54:N54" si="24">AVERAGE(F6:F53)</f>
        <v>81.9791666666667</v>
      </c>
      <c r="G54" s="32">
        <f t="shared" si="24"/>
        <v>91.875</v>
      </c>
      <c r="H54" s="34">
        <f t="shared" si="24"/>
        <v>0.86927083333333299</v>
      </c>
      <c r="I54" s="32">
        <f t="shared" si="24"/>
        <v>73.3333333333333</v>
      </c>
      <c r="J54" s="32">
        <f t="shared" si="24"/>
        <v>74.1666666666667</v>
      </c>
      <c r="K54" s="34">
        <f t="shared" si="24"/>
        <v>0.73750000000000004</v>
      </c>
      <c r="L54" s="32">
        <f t="shared" si="24"/>
        <v>67.8125</v>
      </c>
      <c r="M54" s="34">
        <f t="shared" si="24"/>
        <v>0.67812499999999998</v>
      </c>
      <c r="N54" s="32">
        <f t="shared" si="24"/>
        <v>80.773809523809504</v>
      </c>
    </row>
    <row r="55" spans="1:14">
      <c r="A55" s="76" t="s">
        <v>115</v>
      </c>
      <c r="B55" s="84"/>
      <c r="C55" s="34"/>
      <c r="D55" s="34"/>
      <c r="E55" s="34">
        <f>E54</f>
        <v>0.88124999999999998</v>
      </c>
      <c r="F55" s="34"/>
      <c r="G55" s="34"/>
      <c r="H55" s="34">
        <f>H54</f>
        <v>0.86927083333333299</v>
      </c>
      <c r="I55" s="34"/>
      <c r="J55" s="34"/>
      <c r="K55" s="34">
        <f>K54</f>
        <v>0.73750000000000004</v>
      </c>
      <c r="L55" s="34"/>
      <c r="M55" s="34">
        <f>M54</f>
        <v>0.67812499999999998</v>
      </c>
      <c r="N55" s="38">
        <f>N54/100</f>
        <v>0.80773809523809503</v>
      </c>
    </row>
    <row r="56" spans="1:14">
      <c r="C56" s="48"/>
      <c r="D56" s="40"/>
      <c r="J56" s="16"/>
      <c r="K56" s="2"/>
      <c r="L56" s="2"/>
      <c r="M56" s="2"/>
      <c r="N56" s="17"/>
    </row>
  </sheetData>
  <mergeCells count="17">
    <mergeCell ref="A55:B55"/>
    <mergeCell ref="A4:A5"/>
    <mergeCell ref="B4:B5"/>
    <mergeCell ref="N3:N4"/>
    <mergeCell ref="C4:E4"/>
    <mergeCell ref="F4:H4"/>
    <mergeCell ref="I4:K4"/>
    <mergeCell ref="L4:M4"/>
    <mergeCell ref="A54:B54"/>
    <mergeCell ref="A1:N1"/>
    <mergeCell ref="A2:B2"/>
    <mergeCell ref="C2:M2"/>
    <mergeCell ref="A3:B3"/>
    <mergeCell ref="C3:E3"/>
    <mergeCell ref="F3:H3"/>
    <mergeCell ref="I3:K3"/>
    <mergeCell ref="L3:M3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S56"/>
  <sheetViews>
    <sheetView topLeftCell="AB46" zoomScale="145" zoomScaleNormal="145" workbookViewId="0">
      <selection activeCell="AF11" sqref="AF11"/>
    </sheetView>
  </sheetViews>
  <sheetFormatPr defaultColWidth="8.796875" defaultRowHeight="15.6"/>
  <cols>
    <col min="1" max="1" width="11.69921875" customWidth="1"/>
    <col min="2" max="2" width="9.5" customWidth="1"/>
    <col min="3" max="3" width="8.296875" customWidth="1"/>
    <col min="4" max="5" width="5.09765625" style="16" customWidth="1"/>
    <col min="6" max="6" width="4.5" style="16" customWidth="1"/>
    <col min="7" max="7" width="4.69921875" style="16" customWidth="1"/>
    <col min="8" max="8" width="6.296875" style="2" customWidth="1"/>
    <col min="9" max="9" width="5.09765625" customWidth="1"/>
    <col min="10" max="10" width="6.8984375" customWidth="1"/>
    <col min="11" max="11" width="5.09765625" customWidth="1"/>
    <col min="12" max="12" width="8.69921875" customWidth="1"/>
    <col min="13" max="13" width="6.8984375" customWidth="1"/>
    <col min="14" max="14" width="8.69921875" customWidth="1"/>
    <col min="15" max="15" width="7" customWidth="1"/>
    <col min="16" max="16" width="6.796875" customWidth="1"/>
    <col min="17" max="17" width="10.59765625" customWidth="1"/>
    <col min="18" max="18" width="9.796875" customWidth="1"/>
    <col min="19" max="19" width="10.19921875" customWidth="1"/>
    <col min="20" max="20" width="12" customWidth="1"/>
    <col min="21" max="21" width="12.796875" customWidth="1"/>
    <col min="22" max="22" width="9" customWidth="1"/>
    <col min="23" max="23" width="7.5" customWidth="1"/>
    <col min="24" max="24" width="11.5" customWidth="1"/>
    <col min="25" max="25" width="10" customWidth="1"/>
    <col min="26" max="26" width="7.19921875" customWidth="1"/>
    <col min="27" max="27" width="7.3984375" customWidth="1"/>
    <col min="28" max="28" width="11.59765625" customWidth="1"/>
    <col min="29" max="29" width="10.19921875" customWidth="1"/>
    <col min="30" max="30" width="11.3984375" customWidth="1"/>
    <col min="31" max="31" width="12.09765625" customWidth="1"/>
    <col min="32" max="32" width="10.19921875" customWidth="1"/>
    <col min="33" max="33" width="10.8984375" customWidth="1"/>
    <col min="34" max="34" width="9.8984375" customWidth="1"/>
    <col min="35" max="35" width="10.296875" customWidth="1"/>
    <col min="36" max="36" width="8.19921875" customWidth="1"/>
    <col min="37" max="37" width="6.8984375" customWidth="1"/>
    <col min="38" max="38" width="7.59765625" customWidth="1"/>
    <col min="39" max="39" width="14.8984375" customWidth="1"/>
    <col min="40" max="40" width="9.19921875" customWidth="1"/>
    <col min="41" max="42" width="9.3984375" customWidth="1"/>
    <col min="43" max="44" width="9.69921875" customWidth="1"/>
    <col min="45" max="45" width="16" style="17" customWidth="1"/>
  </cols>
  <sheetData>
    <row r="1" spans="1:40">
      <c r="A1" s="87" t="s">
        <v>129</v>
      </c>
      <c r="B1" s="87"/>
      <c r="C1" s="87"/>
      <c r="D1" s="87"/>
      <c r="E1" s="87"/>
      <c r="F1" s="87"/>
      <c r="G1" s="87"/>
      <c r="H1" s="87"/>
      <c r="I1" s="88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</row>
    <row r="2" spans="1:40">
      <c r="A2" s="71" t="s">
        <v>130</v>
      </c>
      <c r="B2" s="71"/>
      <c r="C2" s="82" t="s">
        <v>131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20" t="s">
        <v>132</v>
      </c>
    </row>
    <row r="3" spans="1:40">
      <c r="A3" s="71" t="s">
        <v>4</v>
      </c>
      <c r="B3" s="71"/>
      <c r="C3" s="90">
        <v>1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79">
        <v>2</v>
      </c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>
        <v>4</v>
      </c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 t="s">
        <v>6</v>
      </c>
    </row>
    <row r="4" spans="1:40">
      <c r="A4" s="71" t="s">
        <v>7</v>
      </c>
      <c r="B4" s="93"/>
      <c r="C4" s="91" t="s">
        <v>196</v>
      </c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92" t="s">
        <v>197</v>
      </c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92" t="s">
        <v>198</v>
      </c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</row>
    <row r="5" spans="1:40" ht="46.95" customHeight="1">
      <c r="A5" s="71"/>
      <c r="B5" s="71"/>
      <c r="C5" s="22" t="s">
        <v>133</v>
      </c>
      <c r="D5" s="22" t="s">
        <v>134</v>
      </c>
      <c r="E5" s="22" t="s">
        <v>135</v>
      </c>
      <c r="F5" s="22" t="s">
        <v>136</v>
      </c>
      <c r="G5" s="22" t="s">
        <v>137</v>
      </c>
      <c r="H5" s="22" t="s">
        <v>138</v>
      </c>
      <c r="I5" s="22" t="s">
        <v>139</v>
      </c>
      <c r="J5" s="22" t="s">
        <v>140</v>
      </c>
      <c r="K5" s="22" t="s">
        <v>141</v>
      </c>
      <c r="L5" s="22" t="s">
        <v>142</v>
      </c>
      <c r="M5" s="22" t="s">
        <v>143</v>
      </c>
      <c r="N5" s="22" t="s">
        <v>144</v>
      </c>
      <c r="O5" s="23" t="s">
        <v>13</v>
      </c>
      <c r="P5" s="23" t="s">
        <v>145</v>
      </c>
      <c r="Q5" s="23" t="s">
        <v>146</v>
      </c>
      <c r="R5" s="23" t="s">
        <v>147</v>
      </c>
      <c r="S5" s="23" t="s">
        <v>148</v>
      </c>
      <c r="T5" s="23" t="s">
        <v>149</v>
      </c>
      <c r="U5" s="23" t="s">
        <v>150</v>
      </c>
      <c r="V5" s="23" t="s">
        <v>151</v>
      </c>
      <c r="W5" s="23" t="s">
        <v>152</v>
      </c>
      <c r="X5" s="23" t="s">
        <v>153</v>
      </c>
      <c r="Y5" s="23" t="s">
        <v>154</v>
      </c>
      <c r="Z5" s="22" t="s">
        <v>155</v>
      </c>
      <c r="AA5" s="23" t="s">
        <v>13</v>
      </c>
      <c r="AB5" s="23" t="s">
        <v>156</v>
      </c>
      <c r="AC5" s="23" t="s">
        <v>157</v>
      </c>
      <c r="AD5" s="23" t="s">
        <v>158</v>
      </c>
      <c r="AE5" s="23" t="s">
        <v>159</v>
      </c>
      <c r="AF5" s="23" t="s">
        <v>160</v>
      </c>
      <c r="AG5" s="23" t="s">
        <v>161</v>
      </c>
      <c r="AH5" s="23" t="s">
        <v>162</v>
      </c>
      <c r="AI5" s="23" t="s">
        <v>163</v>
      </c>
      <c r="AJ5" s="23" t="s">
        <v>164</v>
      </c>
      <c r="AK5" s="24" t="s">
        <v>155</v>
      </c>
      <c r="AL5" s="23" t="s">
        <v>13</v>
      </c>
      <c r="AM5" s="20" t="s">
        <v>17</v>
      </c>
    </row>
    <row r="6" spans="1:40">
      <c r="A6" s="25" t="s">
        <v>18</v>
      </c>
      <c r="B6" s="26" t="s">
        <v>19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9</v>
      </c>
      <c r="J6" s="22">
        <v>0</v>
      </c>
      <c r="K6" s="22">
        <v>0</v>
      </c>
      <c r="L6" s="22">
        <v>0</v>
      </c>
      <c r="M6" s="22">
        <f t="shared" ref="M6:M13" si="0">SUM(I6:L6)</f>
        <v>9</v>
      </c>
      <c r="N6" s="22">
        <f t="shared" ref="N6:N13" si="1">M6+55</f>
        <v>64</v>
      </c>
      <c r="O6" s="27">
        <f>N6/100</f>
        <v>0.64</v>
      </c>
      <c r="P6" s="28">
        <v>80</v>
      </c>
      <c r="Q6" s="28">
        <v>80</v>
      </c>
      <c r="R6" s="28">
        <v>100</v>
      </c>
      <c r="S6" s="28">
        <v>80</v>
      </c>
      <c r="T6" s="28">
        <v>80</v>
      </c>
      <c r="U6" s="28">
        <v>80</v>
      </c>
      <c r="V6" s="28">
        <v>0</v>
      </c>
      <c r="W6" s="28">
        <v>100</v>
      </c>
      <c r="X6" s="28">
        <v>100</v>
      </c>
      <c r="Y6" s="28">
        <v>0</v>
      </c>
      <c r="Z6" s="22">
        <f t="shared" ref="Z6:Z13" si="2">AVERAGE(P6:Y6)</f>
        <v>70</v>
      </c>
      <c r="AA6" s="27">
        <f>Z6*0.01</f>
        <v>0.7</v>
      </c>
      <c r="AB6" s="28">
        <v>80</v>
      </c>
      <c r="AC6" s="28">
        <v>60</v>
      </c>
      <c r="AD6" s="28">
        <v>90</v>
      </c>
      <c r="AE6" s="28">
        <v>90</v>
      </c>
      <c r="AF6" s="28">
        <v>80</v>
      </c>
      <c r="AG6" s="28">
        <v>100</v>
      </c>
      <c r="AH6" s="28">
        <v>80</v>
      </c>
      <c r="AI6" s="28">
        <v>80</v>
      </c>
      <c r="AJ6" s="28">
        <v>0</v>
      </c>
      <c r="AK6" s="29">
        <f t="shared" ref="AK6:AK13" si="3">AVERAGE(AB6:AJ6)</f>
        <v>73.3333333333333</v>
      </c>
      <c r="AL6" s="30">
        <f>AK6*0.01</f>
        <v>0.73333333333333295</v>
      </c>
      <c r="AM6" s="31">
        <f t="shared" ref="AM6:AM13" si="4">N6*0.2+Z6*0.3+AK6*0.5</f>
        <v>70.466666666666697</v>
      </c>
      <c r="AN6" s="17"/>
    </row>
    <row r="7" spans="1:40">
      <c r="A7" s="25" t="s">
        <v>20</v>
      </c>
      <c r="B7" s="26" t="s">
        <v>21</v>
      </c>
      <c r="C7" s="22">
        <v>-10</v>
      </c>
      <c r="D7" s="22">
        <v>8</v>
      </c>
      <c r="E7" s="22">
        <v>10</v>
      </c>
      <c r="F7" s="22">
        <v>9</v>
      </c>
      <c r="G7" s="22">
        <v>9</v>
      </c>
      <c r="H7" s="22">
        <v>8</v>
      </c>
      <c r="I7" s="22">
        <v>9</v>
      </c>
      <c r="J7" s="22">
        <v>9</v>
      </c>
      <c r="K7" s="22">
        <v>8</v>
      </c>
      <c r="L7" s="22">
        <v>0</v>
      </c>
      <c r="M7" s="22">
        <f t="shared" si="0"/>
        <v>26</v>
      </c>
      <c r="N7" s="22">
        <f t="shared" si="1"/>
        <v>81</v>
      </c>
      <c r="O7" s="27">
        <f t="shared" ref="O7:O13" si="5">N7/100</f>
        <v>0.81</v>
      </c>
      <c r="P7" s="28">
        <v>100</v>
      </c>
      <c r="Q7" s="28">
        <v>100</v>
      </c>
      <c r="R7" s="28">
        <v>100</v>
      </c>
      <c r="S7" s="28">
        <v>90</v>
      </c>
      <c r="T7" s="28">
        <v>100</v>
      </c>
      <c r="U7" s="28">
        <v>100</v>
      </c>
      <c r="V7" s="28">
        <v>100</v>
      </c>
      <c r="W7" s="28">
        <v>100</v>
      </c>
      <c r="X7" s="28">
        <v>100</v>
      </c>
      <c r="Y7" s="28">
        <v>100</v>
      </c>
      <c r="Z7" s="22">
        <f t="shared" si="2"/>
        <v>99</v>
      </c>
      <c r="AA7" s="27">
        <f t="shared" ref="AA7:AA13" si="6">Z7*0.01</f>
        <v>0.99</v>
      </c>
      <c r="AB7" s="28">
        <v>80</v>
      </c>
      <c r="AC7" s="28">
        <v>70</v>
      </c>
      <c r="AD7" s="28">
        <v>70</v>
      </c>
      <c r="AE7" s="28">
        <v>90</v>
      </c>
      <c r="AF7" s="28">
        <v>80</v>
      </c>
      <c r="AG7" s="28">
        <v>70</v>
      </c>
      <c r="AH7" s="28">
        <v>70</v>
      </c>
      <c r="AI7" s="28">
        <v>80</v>
      </c>
      <c r="AJ7" s="28">
        <v>0</v>
      </c>
      <c r="AK7" s="29">
        <f t="shared" si="3"/>
        <v>67.7777777777778</v>
      </c>
      <c r="AL7" s="30">
        <f t="shared" ref="AL7:AL13" si="7">AK7*0.01</f>
        <v>0.67777777777777803</v>
      </c>
      <c r="AM7" s="31">
        <f t="shared" si="4"/>
        <v>79.788888888888906</v>
      </c>
      <c r="AN7" s="17"/>
    </row>
    <row r="8" spans="1:40">
      <c r="A8" s="25" t="s">
        <v>22</v>
      </c>
      <c r="B8" s="26" t="s">
        <v>23</v>
      </c>
      <c r="C8" s="22">
        <v>8</v>
      </c>
      <c r="D8" s="22">
        <v>8</v>
      </c>
      <c r="E8" s="22">
        <v>9</v>
      </c>
      <c r="F8" s="22">
        <v>9</v>
      </c>
      <c r="G8" s="22">
        <v>9</v>
      </c>
      <c r="H8" s="22">
        <v>0</v>
      </c>
      <c r="I8" s="22">
        <v>9</v>
      </c>
      <c r="J8" s="22">
        <v>9</v>
      </c>
      <c r="K8" s="22">
        <v>8</v>
      </c>
      <c r="L8" s="22">
        <v>8</v>
      </c>
      <c r="M8" s="22">
        <f t="shared" si="0"/>
        <v>34</v>
      </c>
      <c r="N8" s="22">
        <f t="shared" si="1"/>
        <v>89</v>
      </c>
      <c r="O8" s="27">
        <f t="shared" si="5"/>
        <v>0.89</v>
      </c>
      <c r="P8" s="28">
        <v>100</v>
      </c>
      <c r="Q8" s="28">
        <v>100</v>
      </c>
      <c r="R8" s="28">
        <v>100</v>
      </c>
      <c r="S8" s="28">
        <v>80</v>
      </c>
      <c r="T8" s="28">
        <v>100</v>
      </c>
      <c r="U8" s="28">
        <v>100</v>
      </c>
      <c r="V8" s="28">
        <v>80</v>
      </c>
      <c r="W8" s="28">
        <v>100</v>
      </c>
      <c r="X8" s="28">
        <v>100</v>
      </c>
      <c r="Y8" s="28">
        <v>100</v>
      </c>
      <c r="Z8" s="22">
        <f t="shared" si="2"/>
        <v>96</v>
      </c>
      <c r="AA8" s="27">
        <f t="shared" si="6"/>
        <v>0.96</v>
      </c>
      <c r="AB8" s="28">
        <v>80</v>
      </c>
      <c r="AC8" s="28">
        <v>70</v>
      </c>
      <c r="AD8" s="28">
        <v>70</v>
      </c>
      <c r="AE8" s="28">
        <v>90</v>
      </c>
      <c r="AF8" s="28">
        <v>100</v>
      </c>
      <c r="AG8" s="28">
        <v>80</v>
      </c>
      <c r="AH8" s="28">
        <v>80</v>
      </c>
      <c r="AI8" s="28">
        <v>80</v>
      </c>
      <c r="AJ8" s="28">
        <v>80</v>
      </c>
      <c r="AK8" s="29">
        <f t="shared" si="3"/>
        <v>81.1111111111111</v>
      </c>
      <c r="AL8" s="30">
        <f t="shared" si="7"/>
        <v>0.81111111111111101</v>
      </c>
      <c r="AM8" s="31">
        <f t="shared" si="4"/>
        <v>87.155555555555594</v>
      </c>
      <c r="AN8" s="17"/>
    </row>
    <row r="9" spans="1:40">
      <c r="A9" s="25" t="s">
        <v>24</v>
      </c>
      <c r="B9" s="26" t="s">
        <v>25</v>
      </c>
      <c r="C9" s="22">
        <v>8</v>
      </c>
      <c r="D9" s="22">
        <v>0</v>
      </c>
      <c r="E9" s="22">
        <v>10</v>
      </c>
      <c r="F9" s="22">
        <v>9</v>
      </c>
      <c r="G9" s="22">
        <v>9</v>
      </c>
      <c r="H9" s="22">
        <v>8</v>
      </c>
      <c r="I9" s="22">
        <v>9</v>
      </c>
      <c r="J9" s="22">
        <v>9</v>
      </c>
      <c r="K9" s="22">
        <v>8</v>
      </c>
      <c r="L9" s="22">
        <v>8</v>
      </c>
      <c r="M9" s="22">
        <f t="shared" si="0"/>
        <v>34</v>
      </c>
      <c r="N9" s="22">
        <f t="shared" si="1"/>
        <v>89</v>
      </c>
      <c r="O9" s="27">
        <f t="shared" si="5"/>
        <v>0.89</v>
      </c>
      <c r="P9" s="28">
        <v>100</v>
      </c>
      <c r="Q9" s="28">
        <v>100</v>
      </c>
      <c r="R9" s="28">
        <v>100</v>
      </c>
      <c r="S9" s="28">
        <v>100</v>
      </c>
      <c r="T9" s="28">
        <v>100</v>
      </c>
      <c r="U9" s="28">
        <v>100</v>
      </c>
      <c r="V9" s="28">
        <v>100</v>
      </c>
      <c r="W9" s="28">
        <v>100</v>
      </c>
      <c r="X9" s="28">
        <v>100</v>
      </c>
      <c r="Y9" s="28">
        <v>100</v>
      </c>
      <c r="Z9" s="22">
        <f t="shared" si="2"/>
        <v>100</v>
      </c>
      <c r="AA9" s="27">
        <f t="shared" si="6"/>
        <v>1</v>
      </c>
      <c r="AB9" s="28">
        <v>80</v>
      </c>
      <c r="AC9" s="28">
        <v>100</v>
      </c>
      <c r="AD9" s="28">
        <v>80</v>
      </c>
      <c r="AE9" s="28">
        <v>90</v>
      </c>
      <c r="AF9" s="28">
        <v>100</v>
      </c>
      <c r="AG9" s="28">
        <v>90</v>
      </c>
      <c r="AH9" s="28">
        <v>90</v>
      </c>
      <c r="AI9" s="28">
        <v>90</v>
      </c>
      <c r="AJ9" s="28">
        <v>80</v>
      </c>
      <c r="AK9" s="29">
        <f t="shared" si="3"/>
        <v>88.8888888888889</v>
      </c>
      <c r="AL9" s="30">
        <f t="shared" si="7"/>
        <v>0.88888888888888895</v>
      </c>
      <c r="AM9" s="31">
        <f t="shared" si="4"/>
        <v>92.244444444444397</v>
      </c>
      <c r="AN9" s="17"/>
    </row>
    <row r="10" spans="1:40">
      <c r="A10" s="25" t="s">
        <v>26</v>
      </c>
      <c r="B10" s="26" t="s">
        <v>27</v>
      </c>
      <c r="C10" s="22">
        <v>8</v>
      </c>
      <c r="D10" s="22">
        <v>8</v>
      </c>
      <c r="E10" s="22">
        <v>9</v>
      </c>
      <c r="F10" s="22">
        <v>9</v>
      </c>
      <c r="G10" s="22">
        <v>9</v>
      </c>
      <c r="H10" s="22">
        <v>8</v>
      </c>
      <c r="I10" s="22">
        <v>9</v>
      </c>
      <c r="J10" s="22">
        <v>9</v>
      </c>
      <c r="K10" s="22">
        <v>0</v>
      </c>
      <c r="L10" s="22">
        <v>8</v>
      </c>
      <c r="M10" s="22">
        <f t="shared" si="0"/>
        <v>26</v>
      </c>
      <c r="N10" s="22">
        <f t="shared" si="1"/>
        <v>81</v>
      </c>
      <c r="O10" s="27">
        <f t="shared" si="5"/>
        <v>0.81</v>
      </c>
      <c r="P10" s="28">
        <v>80</v>
      </c>
      <c r="Q10" s="28">
        <v>80</v>
      </c>
      <c r="R10" s="28">
        <v>100</v>
      </c>
      <c r="S10" s="28">
        <v>90</v>
      </c>
      <c r="T10" s="28">
        <v>100</v>
      </c>
      <c r="U10" s="28">
        <v>100</v>
      </c>
      <c r="V10" s="28">
        <v>100</v>
      </c>
      <c r="W10" s="28">
        <v>0</v>
      </c>
      <c r="X10" s="28">
        <v>100</v>
      </c>
      <c r="Y10" s="28">
        <v>100</v>
      </c>
      <c r="Z10" s="22">
        <f t="shared" si="2"/>
        <v>85</v>
      </c>
      <c r="AA10" s="27">
        <f t="shared" si="6"/>
        <v>0.85</v>
      </c>
      <c r="AB10" s="28">
        <v>80</v>
      </c>
      <c r="AC10" s="28">
        <v>100</v>
      </c>
      <c r="AD10" s="28">
        <v>80</v>
      </c>
      <c r="AE10" s="28">
        <v>90</v>
      </c>
      <c r="AF10" s="28">
        <v>100</v>
      </c>
      <c r="AG10" s="28">
        <v>100</v>
      </c>
      <c r="AH10" s="28">
        <v>90</v>
      </c>
      <c r="AI10" s="28">
        <v>90</v>
      </c>
      <c r="AJ10" s="28">
        <v>80</v>
      </c>
      <c r="AK10" s="29">
        <f t="shared" si="3"/>
        <v>90</v>
      </c>
      <c r="AL10" s="30">
        <f t="shared" si="7"/>
        <v>0.9</v>
      </c>
      <c r="AM10" s="31">
        <f t="shared" si="4"/>
        <v>86.7</v>
      </c>
      <c r="AN10" s="17"/>
    </row>
    <row r="11" spans="1:40">
      <c r="A11" s="25" t="s">
        <v>28</v>
      </c>
      <c r="B11" s="26" t="s">
        <v>29</v>
      </c>
      <c r="C11" s="22">
        <v>8</v>
      </c>
      <c r="D11" s="22">
        <v>8</v>
      </c>
      <c r="E11" s="22">
        <v>9</v>
      </c>
      <c r="F11" s="22">
        <v>9</v>
      </c>
      <c r="G11" s="22">
        <v>9</v>
      </c>
      <c r="H11" s="22">
        <v>10</v>
      </c>
      <c r="I11" s="22">
        <v>9</v>
      </c>
      <c r="J11" s="22">
        <v>9</v>
      </c>
      <c r="K11" s="22">
        <v>8</v>
      </c>
      <c r="L11" s="22">
        <v>8</v>
      </c>
      <c r="M11" s="22">
        <f t="shared" si="0"/>
        <v>34</v>
      </c>
      <c r="N11" s="22">
        <f t="shared" si="1"/>
        <v>89</v>
      </c>
      <c r="O11" s="27">
        <f t="shared" si="5"/>
        <v>0.89</v>
      </c>
      <c r="P11" s="28">
        <v>100</v>
      </c>
      <c r="Q11" s="28">
        <v>100</v>
      </c>
      <c r="R11" s="28">
        <v>100</v>
      </c>
      <c r="S11" s="28">
        <v>90</v>
      </c>
      <c r="T11" s="28">
        <v>100</v>
      </c>
      <c r="U11" s="28">
        <v>100</v>
      </c>
      <c r="V11" s="28">
        <v>100</v>
      </c>
      <c r="W11" s="28">
        <v>100</v>
      </c>
      <c r="X11" s="28">
        <v>100</v>
      </c>
      <c r="Y11" s="28">
        <v>100</v>
      </c>
      <c r="Z11" s="22">
        <f t="shared" si="2"/>
        <v>99</v>
      </c>
      <c r="AA11" s="27">
        <f t="shared" si="6"/>
        <v>0.99</v>
      </c>
      <c r="AB11" s="28">
        <v>80</v>
      </c>
      <c r="AC11" s="28">
        <v>80</v>
      </c>
      <c r="AD11" s="28">
        <v>70</v>
      </c>
      <c r="AE11" s="28">
        <v>90</v>
      </c>
      <c r="AF11" s="28">
        <v>100</v>
      </c>
      <c r="AG11" s="28">
        <v>90</v>
      </c>
      <c r="AH11" s="28">
        <v>80</v>
      </c>
      <c r="AI11" s="28">
        <v>80</v>
      </c>
      <c r="AJ11" s="28">
        <v>80</v>
      </c>
      <c r="AK11" s="29">
        <f t="shared" si="3"/>
        <v>83.3333333333333</v>
      </c>
      <c r="AL11" s="30">
        <f t="shared" si="7"/>
        <v>0.83333333333333304</v>
      </c>
      <c r="AM11" s="31">
        <f t="shared" si="4"/>
        <v>89.1666666666667</v>
      </c>
      <c r="AN11" s="17"/>
    </row>
    <row r="12" spans="1:40">
      <c r="A12" s="25" t="s">
        <v>30</v>
      </c>
      <c r="B12" s="26" t="s">
        <v>31</v>
      </c>
      <c r="C12" s="22">
        <v>8</v>
      </c>
      <c r="D12" s="22">
        <v>8</v>
      </c>
      <c r="E12" s="22">
        <v>9</v>
      </c>
      <c r="F12" s="22">
        <v>0</v>
      </c>
      <c r="G12" s="22">
        <v>9</v>
      </c>
      <c r="H12" s="22">
        <v>8</v>
      </c>
      <c r="I12" s="22">
        <v>9</v>
      </c>
      <c r="J12" s="22">
        <v>9</v>
      </c>
      <c r="K12" s="22">
        <v>8</v>
      </c>
      <c r="L12" s="22">
        <v>0</v>
      </c>
      <c r="M12" s="22">
        <f t="shared" si="0"/>
        <v>26</v>
      </c>
      <c r="N12" s="22">
        <f t="shared" si="1"/>
        <v>81</v>
      </c>
      <c r="O12" s="27">
        <f t="shared" si="5"/>
        <v>0.81</v>
      </c>
      <c r="P12" s="28">
        <v>100</v>
      </c>
      <c r="Q12" s="28">
        <v>80</v>
      </c>
      <c r="R12" s="28">
        <v>100</v>
      </c>
      <c r="S12" s="28">
        <v>80</v>
      </c>
      <c r="T12" s="28">
        <v>100</v>
      </c>
      <c r="U12" s="28">
        <v>100</v>
      </c>
      <c r="V12" s="28">
        <v>0</v>
      </c>
      <c r="W12" s="28">
        <v>100</v>
      </c>
      <c r="X12" s="28">
        <v>100</v>
      </c>
      <c r="Y12" s="28">
        <v>100</v>
      </c>
      <c r="Z12" s="22">
        <f t="shared" si="2"/>
        <v>86</v>
      </c>
      <c r="AA12" s="27">
        <f t="shared" si="6"/>
        <v>0.86</v>
      </c>
      <c r="AB12" s="28">
        <v>70</v>
      </c>
      <c r="AC12" s="28">
        <v>50</v>
      </c>
      <c r="AD12" s="28">
        <v>60</v>
      </c>
      <c r="AE12" s="28">
        <v>90</v>
      </c>
      <c r="AF12" s="28">
        <v>90</v>
      </c>
      <c r="AG12" s="28">
        <v>90</v>
      </c>
      <c r="AH12" s="28">
        <v>80</v>
      </c>
      <c r="AI12" s="28">
        <v>90</v>
      </c>
      <c r="AJ12" s="28">
        <v>80</v>
      </c>
      <c r="AK12" s="29">
        <f t="shared" si="3"/>
        <v>77.7777777777778</v>
      </c>
      <c r="AL12" s="30">
        <f t="shared" si="7"/>
        <v>0.77777777777777801</v>
      </c>
      <c r="AM12" s="31">
        <f t="shared" si="4"/>
        <v>80.8888888888889</v>
      </c>
      <c r="AN12" s="17"/>
    </row>
    <row r="13" spans="1:40">
      <c r="A13" s="25" t="s">
        <v>32</v>
      </c>
      <c r="B13" s="26" t="s">
        <v>33</v>
      </c>
      <c r="C13" s="22">
        <v>8</v>
      </c>
      <c r="D13" s="22">
        <v>8</v>
      </c>
      <c r="E13" s="22">
        <v>10</v>
      </c>
      <c r="F13" s="22">
        <v>9</v>
      </c>
      <c r="G13" s="22">
        <v>9</v>
      </c>
      <c r="H13" s="22">
        <v>8</v>
      </c>
      <c r="I13" s="22">
        <v>9</v>
      </c>
      <c r="J13" s="22">
        <v>9</v>
      </c>
      <c r="K13" s="22">
        <v>8</v>
      </c>
      <c r="L13" s="22">
        <v>8</v>
      </c>
      <c r="M13" s="22">
        <f t="shared" si="0"/>
        <v>34</v>
      </c>
      <c r="N13" s="22">
        <f t="shared" si="1"/>
        <v>89</v>
      </c>
      <c r="O13" s="27">
        <f t="shared" si="5"/>
        <v>0.89</v>
      </c>
      <c r="P13" s="28">
        <v>100</v>
      </c>
      <c r="Q13" s="28">
        <v>80</v>
      </c>
      <c r="R13" s="28">
        <v>100</v>
      </c>
      <c r="S13" s="28">
        <v>80</v>
      </c>
      <c r="T13" s="28">
        <v>100</v>
      </c>
      <c r="U13" s="28">
        <v>100</v>
      </c>
      <c r="V13" s="28">
        <v>90</v>
      </c>
      <c r="W13" s="28">
        <v>100</v>
      </c>
      <c r="X13" s="28">
        <v>100</v>
      </c>
      <c r="Y13" s="28">
        <v>90</v>
      </c>
      <c r="Z13" s="22">
        <f t="shared" si="2"/>
        <v>94</v>
      </c>
      <c r="AA13" s="27">
        <f t="shared" si="6"/>
        <v>0.94</v>
      </c>
      <c r="AB13" s="28">
        <v>80</v>
      </c>
      <c r="AC13" s="28">
        <v>60</v>
      </c>
      <c r="AD13" s="28">
        <v>60</v>
      </c>
      <c r="AE13" s="28">
        <v>90</v>
      </c>
      <c r="AF13" s="28">
        <v>100</v>
      </c>
      <c r="AG13" s="28">
        <v>90</v>
      </c>
      <c r="AH13" s="28">
        <v>80</v>
      </c>
      <c r="AI13" s="28">
        <v>90</v>
      </c>
      <c r="AJ13" s="28">
        <v>80</v>
      </c>
      <c r="AK13" s="29">
        <f t="shared" si="3"/>
        <v>81.1111111111111</v>
      </c>
      <c r="AL13" s="30">
        <f t="shared" si="7"/>
        <v>0.81111111111111101</v>
      </c>
      <c r="AM13" s="31">
        <f t="shared" si="4"/>
        <v>86.5555555555556</v>
      </c>
      <c r="AN13" s="17"/>
    </row>
    <row r="14" spans="1:40">
      <c r="A14" s="25" t="s">
        <v>34</v>
      </c>
      <c r="B14" s="26" t="s">
        <v>35</v>
      </c>
      <c r="C14" s="22">
        <v>8</v>
      </c>
      <c r="D14" s="22">
        <v>8</v>
      </c>
      <c r="E14" s="22">
        <v>10</v>
      </c>
      <c r="F14" s="22">
        <v>9</v>
      </c>
      <c r="G14" s="22">
        <v>9</v>
      </c>
      <c r="H14" s="22">
        <v>8</v>
      </c>
      <c r="I14" s="22">
        <v>9</v>
      </c>
      <c r="J14" s="22">
        <v>9</v>
      </c>
      <c r="K14" s="22">
        <v>8</v>
      </c>
      <c r="L14" s="22">
        <v>8</v>
      </c>
      <c r="M14" s="22">
        <f t="shared" ref="M14:M44" si="8">SUM(I14:L14)</f>
        <v>34</v>
      </c>
      <c r="N14" s="22">
        <f t="shared" ref="N14:N44" si="9">M14+55</f>
        <v>89</v>
      </c>
      <c r="O14" s="27">
        <f>N14/100</f>
        <v>0.89</v>
      </c>
      <c r="P14" s="28">
        <v>100</v>
      </c>
      <c r="Q14" s="28">
        <v>100</v>
      </c>
      <c r="R14" s="28">
        <v>100</v>
      </c>
      <c r="S14" s="28">
        <v>80</v>
      </c>
      <c r="T14" s="28">
        <v>100</v>
      </c>
      <c r="U14" s="28">
        <v>100</v>
      </c>
      <c r="V14" s="28">
        <v>90</v>
      </c>
      <c r="W14" s="28">
        <v>100</v>
      </c>
      <c r="X14" s="28">
        <v>100</v>
      </c>
      <c r="Y14" s="28">
        <v>100</v>
      </c>
      <c r="Z14" s="22">
        <f t="shared" ref="Z14:Z44" si="10">AVERAGE(P14:Y14)</f>
        <v>97</v>
      </c>
      <c r="AA14" s="27">
        <f t="shared" ref="AA14:AA23" si="11">Z14*0.01</f>
        <v>0.97</v>
      </c>
      <c r="AB14" s="28">
        <v>80</v>
      </c>
      <c r="AC14" s="28">
        <v>70</v>
      </c>
      <c r="AD14" s="28">
        <v>60</v>
      </c>
      <c r="AE14" s="28">
        <v>90</v>
      </c>
      <c r="AF14" s="28">
        <v>100</v>
      </c>
      <c r="AG14" s="28">
        <v>70</v>
      </c>
      <c r="AH14" s="28">
        <v>80</v>
      </c>
      <c r="AI14" s="28">
        <v>90</v>
      </c>
      <c r="AJ14" s="28">
        <v>70</v>
      </c>
      <c r="AK14" s="29">
        <f t="shared" ref="AK14:AK44" si="12">AVERAGE(AB14:AJ14)</f>
        <v>78.8888888888889</v>
      </c>
      <c r="AL14" s="30">
        <f>AK14*0.01</f>
        <v>0.78888888888888897</v>
      </c>
      <c r="AM14" s="31">
        <f t="shared" ref="AM14:AM37" si="13">N14*0.2+Z14*0.3+AK14*0.5</f>
        <v>86.344444444444406</v>
      </c>
      <c r="AN14" s="17"/>
    </row>
    <row r="15" spans="1:40">
      <c r="A15" s="25" t="s">
        <v>36</v>
      </c>
      <c r="B15" s="26" t="s">
        <v>37</v>
      </c>
      <c r="C15" s="22">
        <v>8</v>
      </c>
      <c r="D15" s="22">
        <v>8</v>
      </c>
      <c r="E15" s="22">
        <v>9</v>
      </c>
      <c r="F15" s="22">
        <v>9</v>
      </c>
      <c r="G15" s="22">
        <v>9</v>
      </c>
      <c r="H15" s="22">
        <v>8</v>
      </c>
      <c r="I15" s="22">
        <v>9</v>
      </c>
      <c r="J15" s="22">
        <v>9</v>
      </c>
      <c r="K15" s="22">
        <v>8</v>
      </c>
      <c r="L15" s="22">
        <v>0</v>
      </c>
      <c r="M15" s="22">
        <f t="shared" si="8"/>
        <v>26</v>
      </c>
      <c r="N15" s="22">
        <f t="shared" si="9"/>
        <v>81</v>
      </c>
      <c r="O15" s="27">
        <f t="shared" ref="O15:O24" si="14">N15/100</f>
        <v>0.81</v>
      </c>
      <c r="P15" s="28">
        <v>100</v>
      </c>
      <c r="Q15" s="28">
        <v>80</v>
      </c>
      <c r="R15" s="28">
        <v>100</v>
      </c>
      <c r="S15" s="28">
        <v>100</v>
      </c>
      <c r="T15" s="28">
        <v>100</v>
      </c>
      <c r="U15" s="28">
        <v>100</v>
      </c>
      <c r="V15" s="28">
        <v>80</v>
      </c>
      <c r="W15" s="28">
        <v>80</v>
      </c>
      <c r="X15" s="28">
        <v>100</v>
      </c>
      <c r="Y15" s="28">
        <v>100</v>
      </c>
      <c r="Z15" s="22">
        <f t="shared" si="10"/>
        <v>94</v>
      </c>
      <c r="AA15" s="27">
        <f t="shared" si="11"/>
        <v>0.94</v>
      </c>
      <c r="AB15" s="28">
        <v>60</v>
      </c>
      <c r="AC15" s="28">
        <v>50</v>
      </c>
      <c r="AD15" s="28">
        <v>70</v>
      </c>
      <c r="AE15" s="28">
        <v>90</v>
      </c>
      <c r="AF15" s="28">
        <v>100</v>
      </c>
      <c r="AG15" s="28">
        <v>100</v>
      </c>
      <c r="AH15" s="28">
        <v>80</v>
      </c>
      <c r="AI15" s="28">
        <v>80</v>
      </c>
      <c r="AJ15" s="28">
        <v>80</v>
      </c>
      <c r="AK15" s="29">
        <f t="shared" si="12"/>
        <v>78.8888888888889</v>
      </c>
      <c r="AL15" s="30">
        <f t="shared" ref="AL15:AL25" si="15">AK15*0.01</f>
        <v>0.78888888888888897</v>
      </c>
      <c r="AM15" s="31">
        <f t="shared" si="13"/>
        <v>83.844444444444406</v>
      </c>
      <c r="AN15" s="17"/>
    </row>
    <row r="16" spans="1:40">
      <c r="A16" s="25" t="s">
        <v>38</v>
      </c>
      <c r="B16" s="26" t="s">
        <v>39</v>
      </c>
      <c r="C16" s="22">
        <v>8</v>
      </c>
      <c r="D16" s="22">
        <v>8</v>
      </c>
      <c r="E16" s="22">
        <v>9</v>
      </c>
      <c r="F16" s="22">
        <v>9</v>
      </c>
      <c r="G16" s="22">
        <v>9</v>
      </c>
      <c r="H16" s="22">
        <v>8</v>
      </c>
      <c r="I16" s="22">
        <v>9</v>
      </c>
      <c r="J16" s="22">
        <v>9</v>
      </c>
      <c r="K16" s="22">
        <v>8</v>
      </c>
      <c r="L16" s="22">
        <v>8</v>
      </c>
      <c r="M16" s="22">
        <f t="shared" si="8"/>
        <v>34</v>
      </c>
      <c r="N16" s="22">
        <f t="shared" si="9"/>
        <v>89</v>
      </c>
      <c r="O16" s="27">
        <f t="shared" si="14"/>
        <v>0.89</v>
      </c>
      <c r="P16" s="28">
        <v>100</v>
      </c>
      <c r="Q16" s="28">
        <v>100</v>
      </c>
      <c r="R16" s="28">
        <v>100</v>
      </c>
      <c r="S16" s="28">
        <v>100</v>
      </c>
      <c r="T16" s="28">
        <v>100</v>
      </c>
      <c r="U16" s="28">
        <v>100</v>
      </c>
      <c r="V16" s="28">
        <v>100</v>
      </c>
      <c r="W16" s="28">
        <v>100</v>
      </c>
      <c r="X16" s="28">
        <v>100</v>
      </c>
      <c r="Y16" s="28">
        <v>100</v>
      </c>
      <c r="Z16" s="22">
        <f t="shared" si="10"/>
        <v>100</v>
      </c>
      <c r="AA16" s="27">
        <f t="shared" si="11"/>
        <v>1</v>
      </c>
      <c r="AB16" s="28">
        <v>80</v>
      </c>
      <c r="AC16" s="28">
        <v>70</v>
      </c>
      <c r="AD16" s="28">
        <v>60</v>
      </c>
      <c r="AE16" s="28">
        <v>100</v>
      </c>
      <c r="AF16" s="28">
        <v>100</v>
      </c>
      <c r="AG16" s="28">
        <v>100</v>
      </c>
      <c r="AH16" s="28">
        <v>90</v>
      </c>
      <c r="AI16" s="28">
        <v>90</v>
      </c>
      <c r="AJ16" s="28">
        <v>80</v>
      </c>
      <c r="AK16" s="29">
        <f t="shared" si="12"/>
        <v>85.5555555555556</v>
      </c>
      <c r="AL16" s="30">
        <f t="shared" si="15"/>
        <v>0.85555555555555596</v>
      </c>
      <c r="AM16" s="31">
        <f t="shared" si="13"/>
        <v>90.577777777777797</v>
      </c>
      <c r="AN16" s="17"/>
    </row>
    <row r="17" spans="1:40">
      <c r="A17" s="25" t="s">
        <v>40</v>
      </c>
      <c r="B17" s="26" t="s">
        <v>41</v>
      </c>
      <c r="C17" s="22">
        <v>8</v>
      </c>
      <c r="D17" s="22">
        <v>8</v>
      </c>
      <c r="E17" s="22">
        <v>10</v>
      </c>
      <c r="F17" s="22">
        <v>9</v>
      </c>
      <c r="G17" s="22">
        <v>9</v>
      </c>
      <c r="H17" s="22">
        <v>8</v>
      </c>
      <c r="I17" s="22">
        <v>9</v>
      </c>
      <c r="J17" s="22">
        <v>9</v>
      </c>
      <c r="K17" s="22">
        <v>8</v>
      </c>
      <c r="L17" s="22">
        <v>8</v>
      </c>
      <c r="M17" s="22">
        <f t="shared" si="8"/>
        <v>34</v>
      </c>
      <c r="N17" s="22">
        <f t="shared" si="9"/>
        <v>89</v>
      </c>
      <c r="O17" s="27">
        <f t="shared" si="14"/>
        <v>0.89</v>
      </c>
      <c r="P17" s="28">
        <v>100</v>
      </c>
      <c r="Q17" s="28">
        <v>80</v>
      </c>
      <c r="R17" s="28">
        <v>100</v>
      </c>
      <c r="S17" s="28">
        <v>80</v>
      </c>
      <c r="T17" s="28">
        <v>100</v>
      </c>
      <c r="U17" s="28">
        <v>100</v>
      </c>
      <c r="V17" s="28">
        <v>90</v>
      </c>
      <c r="W17" s="28">
        <v>80</v>
      </c>
      <c r="X17" s="28">
        <v>100</v>
      </c>
      <c r="Y17" s="28">
        <v>80</v>
      </c>
      <c r="Z17" s="22">
        <f t="shared" si="10"/>
        <v>91</v>
      </c>
      <c r="AA17" s="27">
        <f t="shared" si="11"/>
        <v>0.91</v>
      </c>
      <c r="AB17" s="28">
        <v>80</v>
      </c>
      <c r="AC17" s="28">
        <v>60</v>
      </c>
      <c r="AD17" s="28">
        <v>60</v>
      </c>
      <c r="AE17" s="28">
        <v>90</v>
      </c>
      <c r="AF17" s="28">
        <v>100</v>
      </c>
      <c r="AG17" s="28">
        <v>90</v>
      </c>
      <c r="AH17" s="28">
        <v>80</v>
      </c>
      <c r="AI17" s="28">
        <v>90</v>
      </c>
      <c r="AJ17" s="28">
        <v>70</v>
      </c>
      <c r="AK17" s="29">
        <f t="shared" si="12"/>
        <v>80</v>
      </c>
      <c r="AL17" s="30">
        <f t="shared" si="15"/>
        <v>0.8</v>
      </c>
      <c r="AM17" s="31">
        <f t="shared" si="13"/>
        <v>85.1</v>
      </c>
      <c r="AN17" s="17"/>
    </row>
    <row r="18" spans="1:40">
      <c r="A18" s="25" t="s">
        <v>42</v>
      </c>
      <c r="B18" s="26" t="s">
        <v>43</v>
      </c>
      <c r="C18" s="22">
        <v>8</v>
      </c>
      <c r="D18" s="22">
        <v>0</v>
      </c>
      <c r="E18" s="22">
        <v>9</v>
      </c>
      <c r="F18" s="22">
        <v>9</v>
      </c>
      <c r="G18" s="22">
        <v>0</v>
      </c>
      <c r="H18" s="22">
        <v>8</v>
      </c>
      <c r="I18" s="22">
        <v>9</v>
      </c>
      <c r="J18" s="22">
        <v>9</v>
      </c>
      <c r="K18" s="22">
        <v>8</v>
      </c>
      <c r="L18" s="22">
        <v>0</v>
      </c>
      <c r="M18" s="22">
        <f t="shared" si="8"/>
        <v>26</v>
      </c>
      <c r="N18" s="22">
        <f t="shared" si="9"/>
        <v>81</v>
      </c>
      <c r="O18" s="27">
        <f t="shared" si="14"/>
        <v>0.81</v>
      </c>
      <c r="P18" s="28">
        <v>100</v>
      </c>
      <c r="Q18" s="28">
        <v>100</v>
      </c>
      <c r="R18" s="28">
        <v>100</v>
      </c>
      <c r="S18" s="28">
        <v>80</v>
      </c>
      <c r="T18" s="28">
        <v>80</v>
      </c>
      <c r="U18" s="28">
        <v>80</v>
      </c>
      <c r="V18" s="28">
        <v>80</v>
      </c>
      <c r="W18" s="28">
        <v>100</v>
      </c>
      <c r="X18" s="28">
        <v>100</v>
      </c>
      <c r="Y18" s="28">
        <v>100</v>
      </c>
      <c r="Z18" s="22">
        <f t="shared" si="10"/>
        <v>92</v>
      </c>
      <c r="AA18" s="27">
        <f t="shared" si="11"/>
        <v>0.92</v>
      </c>
      <c r="AB18" s="28">
        <v>60</v>
      </c>
      <c r="AC18" s="28">
        <v>60</v>
      </c>
      <c r="AD18" s="28">
        <v>70</v>
      </c>
      <c r="AE18" s="28">
        <v>90</v>
      </c>
      <c r="AF18" s="28">
        <v>100</v>
      </c>
      <c r="AG18" s="28">
        <v>100</v>
      </c>
      <c r="AH18" s="28">
        <v>90</v>
      </c>
      <c r="AI18" s="28">
        <v>80</v>
      </c>
      <c r="AJ18" s="28">
        <v>80</v>
      </c>
      <c r="AK18" s="29">
        <f t="shared" si="12"/>
        <v>81.1111111111111</v>
      </c>
      <c r="AL18" s="30">
        <f t="shared" si="15"/>
        <v>0.81111111111111101</v>
      </c>
      <c r="AM18" s="31">
        <f t="shared" si="13"/>
        <v>84.355555555555597</v>
      </c>
      <c r="AN18" s="17"/>
    </row>
    <row r="19" spans="1:40">
      <c r="A19" s="25" t="s">
        <v>44</v>
      </c>
      <c r="B19" s="26" t="s">
        <v>45</v>
      </c>
      <c r="C19" s="22">
        <v>8</v>
      </c>
      <c r="D19" s="22">
        <v>8</v>
      </c>
      <c r="E19" s="22">
        <v>10</v>
      </c>
      <c r="F19" s="22">
        <v>9</v>
      </c>
      <c r="G19" s="22">
        <v>9</v>
      </c>
      <c r="H19" s="22">
        <v>8</v>
      </c>
      <c r="I19" s="22">
        <v>9</v>
      </c>
      <c r="J19" s="22">
        <v>9</v>
      </c>
      <c r="K19" s="22">
        <v>0</v>
      </c>
      <c r="L19" s="22">
        <v>8</v>
      </c>
      <c r="M19" s="22">
        <f t="shared" si="8"/>
        <v>26</v>
      </c>
      <c r="N19" s="22">
        <f t="shared" si="9"/>
        <v>81</v>
      </c>
      <c r="O19" s="27">
        <f t="shared" si="14"/>
        <v>0.81</v>
      </c>
      <c r="P19" s="28">
        <v>100</v>
      </c>
      <c r="Q19" s="28">
        <v>100</v>
      </c>
      <c r="R19" s="28">
        <v>100</v>
      </c>
      <c r="S19" s="28">
        <v>90</v>
      </c>
      <c r="T19" s="28">
        <v>100</v>
      </c>
      <c r="U19" s="28">
        <v>100</v>
      </c>
      <c r="V19" s="28">
        <v>100</v>
      </c>
      <c r="W19" s="28">
        <v>100</v>
      </c>
      <c r="X19" s="28">
        <v>100</v>
      </c>
      <c r="Y19" s="28">
        <v>100</v>
      </c>
      <c r="Z19" s="22">
        <f t="shared" si="10"/>
        <v>99</v>
      </c>
      <c r="AA19" s="27">
        <f t="shared" si="11"/>
        <v>0.99</v>
      </c>
      <c r="AB19" s="28">
        <v>80</v>
      </c>
      <c r="AC19" s="28">
        <v>70</v>
      </c>
      <c r="AD19" s="28">
        <v>60</v>
      </c>
      <c r="AE19" s="28">
        <v>90</v>
      </c>
      <c r="AF19" s="28">
        <v>100</v>
      </c>
      <c r="AG19" s="28">
        <v>100</v>
      </c>
      <c r="AH19" s="28">
        <v>90</v>
      </c>
      <c r="AI19" s="28">
        <v>90</v>
      </c>
      <c r="AJ19" s="28">
        <v>80</v>
      </c>
      <c r="AK19" s="29">
        <f t="shared" si="12"/>
        <v>84.4444444444444</v>
      </c>
      <c r="AL19" s="30">
        <f t="shared" si="15"/>
        <v>0.844444444444444</v>
      </c>
      <c r="AM19" s="31">
        <f t="shared" si="13"/>
        <v>88.122222222222206</v>
      </c>
      <c r="AN19" s="17"/>
    </row>
    <row r="20" spans="1:40">
      <c r="A20" s="25" t="s">
        <v>46</v>
      </c>
      <c r="B20" s="26" t="s">
        <v>47</v>
      </c>
      <c r="C20" s="22">
        <v>8</v>
      </c>
      <c r="D20" s="22">
        <v>8</v>
      </c>
      <c r="E20" s="22">
        <v>9</v>
      </c>
      <c r="F20" s="22">
        <v>9</v>
      </c>
      <c r="G20" s="22">
        <v>0</v>
      </c>
      <c r="H20" s="22">
        <v>8</v>
      </c>
      <c r="I20" s="22">
        <v>9</v>
      </c>
      <c r="J20" s="22">
        <v>9</v>
      </c>
      <c r="K20" s="22">
        <v>0</v>
      </c>
      <c r="L20" s="22">
        <v>8</v>
      </c>
      <c r="M20" s="22">
        <f t="shared" si="8"/>
        <v>26</v>
      </c>
      <c r="N20" s="22">
        <f t="shared" si="9"/>
        <v>81</v>
      </c>
      <c r="O20" s="27">
        <f t="shared" si="14"/>
        <v>0.81</v>
      </c>
      <c r="P20" s="28">
        <v>100</v>
      </c>
      <c r="Q20" s="28">
        <v>100</v>
      </c>
      <c r="R20" s="28">
        <v>100</v>
      </c>
      <c r="S20" s="28">
        <v>90</v>
      </c>
      <c r="T20" s="28">
        <v>90</v>
      </c>
      <c r="U20" s="28">
        <v>90</v>
      </c>
      <c r="V20" s="28">
        <v>90</v>
      </c>
      <c r="W20" s="28">
        <v>100</v>
      </c>
      <c r="X20" s="28">
        <v>100</v>
      </c>
      <c r="Y20" s="28">
        <v>80</v>
      </c>
      <c r="Z20" s="22">
        <f t="shared" si="10"/>
        <v>94</v>
      </c>
      <c r="AA20" s="27">
        <f t="shared" si="11"/>
        <v>0.94</v>
      </c>
      <c r="AB20" s="28">
        <v>80</v>
      </c>
      <c r="AC20" s="28">
        <v>100</v>
      </c>
      <c r="AD20" s="28">
        <v>80</v>
      </c>
      <c r="AE20" s="28">
        <v>90</v>
      </c>
      <c r="AF20" s="28">
        <v>80</v>
      </c>
      <c r="AG20" s="28">
        <v>100</v>
      </c>
      <c r="AH20" s="28">
        <v>80</v>
      </c>
      <c r="AI20" s="28">
        <v>90</v>
      </c>
      <c r="AJ20" s="28">
        <v>80</v>
      </c>
      <c r="AK20" s="29">
        <f t="shared" si="12"/>
        <v>86.6666666666667</v>
      </c>
      <c r="AL20" s="30">
        <f t="shared" si="15"/>
        <v>0.86666666666666703</v>
      </c>
      <c r="AM20" s="31">
        <f t="shared" si="13"/>
        <v>87.733333333333306</v>
      </c>
      <c r="AN20" s="17"/>
    </row>
    <row r="21" spans="1:40">
      <c r="A21" s="25" t="s">
        <v>48</v>
      </c>
      <c r="B21" s="26" t="s">
        <v>49</v>
      </c>
      <c r="C21" s="22">
        <v>8</v>
      </c>
      <c r="D21" s="22">
        <v>8</v>
      </c>
      <c r="E21" s="22">
        <v>9</v>
      </c>
      <c r="F21" s="22">
        <v>9</v>
      </c>
      <c r="G21" s="22">
        <v>0</v>
      </c>
      <c r="H21" s="22">
        <v>8</v>
      </c>
      <c r="I21" s="22">
        <v>9</v>
      </c>
      <c r="J21" s="22">
        <v>9</v>
      </c>
      <c r="K21" s="22">
        <v>8</v>
      </c>
      <c r="L21" s="22">
        <v>8</v>
      </c>
      <c r="M21" s="22">
        <f t="shared" si="8"/>
        <v>34</v>
      </c>
      <c r="N21" s="22">
        <f t="shared" si="9"/>
        <v>89</v>
      </c>
      <c r="O21" s="27">
        <f t="shared" si="14"/>
        <v>0.89</v>
      </c>
      <c r="P21" s="28">
        <v>100</v>
      </c>
      <c r="Q21" s="28">
        <v>100</v>
      </c>
      <c r="R21" s="28">
        <v>100</v>
      </c>
      <c r="S21" s="28">
        <v>90</v>
      </c>
      <c r="T21" s="28">
        <v>100</v>
      </c>
      <c r="U21" s="28">
        <v>100</v>
      </c>
      <c r="V21" s="28">
        <v>80</v>
      </c>
      <c r="W21" s="28">
        <v>100</v>
      </c>
      <c r="X21" s="28">
        <v>100</v>
      </c>
      <c r="Y21" s="28">
        <v>80</v>
      </c>
      <c r="Z21" s="22">
        <f t="shared" si="10"/>
        <v>95</v>
      </c>
      <c r="AA21" s="27">
        <f t="shared" si="11"/>
        <v>0.95</v>
      </c>
      <c r="AB21" s="28">
        <v>70</v>
      </c>
      <c r="AC21" s="28">
        <v>100</v>
      </c>
      <c r="AD21" s="28">
        <v>80</v>
      </c>
      <c r="AE21" s="28">
        <v>90</v>
      </c>
      <c r="AF21" s="28">
        <v>100</v>
      </c>
      <c r="AG21" s="28">
        <v>90</v>
      </c>
      <c r="AH21" s="28">
        <v>70</v>
      </c>
      <c r="AI21" s="28">
        <v>90</v>
      </c>
      <c r="AJ21" s="28">
        <v>80</v>
      </c>
      <c r="AK21" s="29">
        <f t="shared" si="12"/>
        <v>85.5555555555556</v>
      </c>
      <c r="AL21" s="30">
        <f t="shared" si="15"/>
        <v>0.85555555555555596</v>
      </c>
      <c r="AM21" s="31">
        <f t="shared" si="13"/>
        <v>89.077777777777797</v>
      </c>
      <c r="AN21" s="17"/>
    </row>
    <row r="22" spans="1:40">
      <c r="A22" s="25" t="s">
        <v>50</v>
      </c>
      <c r="B22" s="26" t="s">
        <v>51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f t="shared" si="8"/>
        <v>0</v>
      </c>
      <c r="N22" s="22">
        <f t="shared" si="9"/>
        <v>55</v>
      </c>
      <c r="O22" s="27">
        <f t="shared" si="14"/>
        <v>0.55000000000000004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2">
        <f t="shared" si="10"/>
        <v>0</v>
      </c>
      <c r="AA22" s="27">
        <f t="shared" si="11"/>
        <v>0</v>
      </c>
      <c r="AB22" s="28">
        <v>0</v>
      </c>
      <c r="AC22" s="28">
        <v>70</v>
      </c>
      <c r="AD22" s="28">
        <v>90</v>
      </c>
      <c r="AE22" s="28">
        <v>90</v>
      </c>
      <c r="AF22" s="28">
        <v>80</v>
      </c>
      <c r="AG22" s="28">
        <v>80</v>
      </c>
      <c r="AH22" s="28">
        <v>80</v>
      </c>
      <c r="AI22" s="28">
        <v>80</v>
      </c>
      <c r="AJ22" s="28">
        <v>0</v>
      </c>
      <c r="AK22" s="29">
        <f t="shared" si="12"/>
        <v>63.3333333333333</v>
      </c>
      <c r="AL22" s="30">
        <f t="shared" si="15"/>
        <v>0.63333333333333297</v>
      </c>
      <c r="AM22" s="31">
        <f t="shared" si="13"/>
        <v>42.6666666666667</v>
      </c>
      <c r="AN22" s="17"/>
    </row>
    <row r="23" spans="1:40">
      <c r="A23" s="25" t="s">
        <v>52</v>
      </c>
      <c r="B23" s="26" t="s">
        <v>53</v>
      </c>
      <c r="C23" s="22">
        <v>8</v>
      </c>
      <c r="D23" s="22">
        <v>8</v>
      </c>
      <c r="E23" s="22">
        <v>9</v>
      </c>
      <c r="F23" s="22">
        <v>9</v>
      </c>
      <c r="G23" s="22">
        <v>0</v>
      </c>
      <c r="H23" s="22">
        <v>8</v>
      </c>
      <c r="I23" s="22">
        <v>9</v>
      </c>
      <c r="J23" s="22">
        <v>9</v>
      </c>
      <c r="K23" s="22">
        <v>8</v>
      </c>
      <c r="L23" s="22">
        <v>8</v>
      </c>
      <c r="M23" s="22">
        <f t="shared" si="8"/>
        <v>34</v>
      </c>
      <c r="N23" s="22">
        <f t="shared" si="9"/>
        <v>89</v>
      </c>
      <c r="O23" s="27">
        <f t="shared" si="14"/>
        <v>0.89</v>
      </c>
      <c r="P23" s="28">
        <v>80</v>
      </c>
      <c r="Q23" s="28">
        <v>100</v>
      </c>
      <c r="R23" s="28">
        <v>60</v>
      </c>
      <c r="S23" s="28">
        <v>80</v>
      </c>
      <c r="T23" s="28">
        <v>100</v>
      </c>
      <c r="U23" s="28">
        <v>100</v>
      </c>
      <c r="V23" s="28">
        <v>100</v>
      </c>
      <c r="W23" s="28">
        <v>80</v>
      </c>
      <c r="X23" s="28">
        <v>100</v>
      </c>
      <c r="Y23" s="28">
        <v>100</v>
      </c>
      <c r="Z23" s="22">
        <f t="shared" si="10"/>
        <v>90</v>
      </c>
      <c r="AA23" s="27">
        <f t="shared" si="11"/>
        <v>0.9</v>
      </c>
      <c r="AB23" s="28">
        <v>50</v>
      </c>
      <c r="AC23" s="28">
        <v>100</v>
      </c>
      <c r="AD23" s="28">
        <v>50</v>
      </c>
      <c r="AE23" s="28">
        <v>90</v>
      </c>
      <c r="AF23" s="28">
        <v>90</v>
      </c>
      <c r="AG23" s="28">
        <v>80</v>
      </c>
      <c r="AH23" s="28">
        <v>70</v>
      </c>
      <c r="AI23" s="28">
        <v>80</v>
      </c>
      <c r="AJ23" s="28">
        <v>70</v>
      </c>
      <c r="AK23" s="29">
        <f t="shared" si="12"/>
        <v>75.5555555555556</v>
      </c>
      <c r="AL23" s="30">
        <f t="shared" si="15"/>
        <v>0.75555555555555598</v>
      </c>
      <c r="AM23" s="31">
        <f t="shared" si="13"/>
        <v>82.577777777777797</v>
      </c>
      <c r="AN23" s="17"/>
    </row>
    <row r="24" spans="1:40">
      <c r="A24" s="25" t="s">
        <v>54</v>
      </c>
      <c r="B24" s="26" t="s">
        <v>55</v>
      </c>
      <c r="C24" s="22">
        <v>8</v>
      </c>
      <c r="D24" s="22">
        <v>8</v>
      </c>
      <c r="E24" s="22">
        <v>9</v>
      </c>
      <c r="F24" s="22">
        <v>0</v>
      </c>
      <c r="G24" s="22">
        <v>0</v>
      </c>
      <c r="H24" s="22">
        <v>0</v>
      </c>
      <c r="I24" s="22">
        <v>0</v>
      </c>
      <c r="J24" s="22">
        <v>9</v>
      </c>
      <c r="K24" s="22">
        <v>8</v>
      </c>
      <c r="L24" s="22">
        <v>0</v>
      </c>
      <c r="M24" s="22">
        <f t="shared" si="8"/>
        <v>17</v>
      </c>
      <c r="N24" s="22">
        <f t="shared" si="9"/>
        <v>72</v>
      </c>
      <c r="O24" s="27">
        <f t="shared" si="14"/>
        <v>0.72</v>
      </c>
      <c r="P24" s="28">
        <v>100</v>
      </c>
      <c r="Q24" s="28">
        <v>80</v>
      </c>
      <c r="R24" s="28">
        <v>100</v>
      </c>
      <c r="S24" s="28">
        <v>80</v>
      </c>
      <c r="T24" s="28">
        <v>100</v>
      </c>
      <c r="U24" s="28">
        <v>100</v>
      </c>
      <c r="V24" s="28">
        <v>80</v>
      </c>
      <c r="W24" s="28">
        <v>100</v>
      </c>
      <c r="X24" s="28">
        <v>100</v>
      </c>
      <c r="Y24" s="28">
        <v>100</v>
      </c>
      <c r="Z24" s="22">
        <f t="shared" si="10"/>
        <v>94</v>
      </c>
      <c r="AA24" s="27">
        <f t="shared" ref="AA24:AA33" si="16">Z24*0.01</f>
        <v>0.94</v>
      </c>
      <c r="AB24" s="28">
        <v>50</v>
      </c>
      <c r="AC24" s="28">
        <v>60</v>
      </c>
      <c r="AD24" s="28">
        <v>90</v>
      </c>
      <c r="AE24" s="28">
        <v>90</v>
      </c>
      <c r="AF24" s="28">
        <v>100</v>
      </c>
      <c r="AG24" s="28">
        <v>70</v>
      </c>
      <c r="AH24" s="28">
        <v>70</v>
      </c>
      <c r="AI24" s="28">
        <v>90</v>
      </c>
      <c r="AJ24" s="28">
        <v>70</v>
      </c>
      <c r="AK24" s="29">
        <f t="shared" si="12"/>
        <v>76.6666666666667</v>
      </c>
      <c r="AL24" s="30">
        <f t="shared" si="15"/>
        <v>0.76666666666666705</v>
      </c>
      <c r="AM24" s="31">
        <f t="shared" si="13"/>
        <v>80.933333333333294</v>
      </c>
      <c r="AN24" s="17"/>
    </row>
    <row r="25" spans="1:40">
      <c r="A25" s="25" t="s">
        <v>56</v>
      </c>
      <c r="B25" s="26" t="s">
        <v>57</v>
      </c>
      <c r="C25" s="22">
        <v>7</v>
      </c>
      <c r="D25" s="22">
        <v>8</v>
      </c>
      <c r="E25" s="22">
        <v>9</v>
      </c>
      <c r="F25" s="22" t="s">
        <v>165</v>
      </c>
      <c r="G25" s="22">
        <v>9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f t="shared" si="8"/>
        <v>0</v>
      </c>
      <c r="N25" s="22">
        <f t="shared" si="9"/>
        <v>55</v>
      </c>
      <c r="O25" s="27">
        <f t="shared" ref="O25:O34" si="17">N25/100</f>
        <v>0.55000000000000004</v>
      </c>
      <c r="P25" s="28">
        <v>100</v>
      </c>
      <c r="Q25" s="28">
        <v>100</v>
      </c>
      <c r="R25" s="28">
        <v>100</v>
      </c>
      <c r="S25" s="28">
        <v>60</v>
      </c>
      <c r="T25" s="28">
        <v>100</v>
      </c>
      <c r="U25" s="28">
        <v>100</v>
      </c>
      <c r="V25" s="28">
        <v>80</v>
      </c>
      <c r="W25" s="28">
        <v>80</v>
      </c>
      <c r="X25" s="28">
        <v>90</v>
      </c>
      <c r="Y25" s="28">
        <v>90</v>
      </c>
      <c r="Z25" s="22">
        <f t="shared" si="10"/>
        <v>90</v>
      </c>
      <c r="AA25" s="27">
        <f t="shared" si="16"/>
        <v>0.9</v>
      </c>
      <c r="AB25" s="28">
        <v>80</v>
      </c>
      <c r="AC25" s="28">
        <v>80</v>
      </c>
      <c r="AD25" s="28">
        <v>70</v>
      </c>
      <c r="AE25" s="28">
        <v>90</v>
      </c>
      <c r="AF25" s="28">
        <v>80</v>
      </c>
      <c r="AG25" s="28">
        <v>90</v>
      </c>
      <c r="AH25" s="28">
        <v>90</v>
      </c>
      <c r="AI25" s="28">
        <v>80</v>
      </c>
      <c r="AJ25" s="28">
        <v>70</v>
      </c>
      <c r="AK25" s="29">
        <f t="shared" si="12"/>
        <v>81.1111111111111</v>
      </c>
      <c r="AL25" s="30">
        <f t="shared" si="15"/>
        <v>0.81111111111111101</v>
      </c>
      <c r="AM25" s="31">
        <f t="shared" si="13"/>
        <v>78.5555555555556</v>
      </c>
      <c r="AN25" s="17"/>
    </row>
    <row r="26" spans="1:40">
      <c r="A26" s="25" t="s">
        <v>58</v>
      </c>
      <c r="B26" s="26" t="s">
        <v>59</v>
      </c>
      <c r="C26" s="22">
        <v>8</v>
      </c>
      <c r="D26" s="22">
        <v>8</v>
      </c>
      <c r="E26" s="22">
        <v>9</v>
      </c>
      <c r="F26" s="22">
        <v>9</v>
      </c>
      <c r="G26" s="22">
        <v>9</v>
      </c>
      <c r="H26" s="22">
        <v>0</v>
      </c>
      <c r="I26" s="22">
        <v>9</v>
      </c>
      <c r="J26" s="22">
        <v>9</v>
      </c>
      <c r="K26" s="22">
        <v>8</v>
      </c>
      <c r="L26" s="22">
        <v>8</v>
      </c>
      <c r="M26" s="22">
        <f t="shared" si="8"/>
        <v>34</v>
      </c>
      <c r="N26" s="22">
        <f t="shared" si="9"/>
        <v>89</v>
      </c>
      <c r="O26" s="27">
        <f t="shared" si="17"/>
        <v>0.89</v>
      </c>
      <c r="P26" s="28">
        <v>100</v>
      </c>
      <c r="Q26" s="28">
        <v>80</v>
      </c>
      <c r="R26" s="28">
        <v>100</v>
      </c>
      <c r="S26" s="28">
        <v>80</v>
      </c>
      <c r="T26" s="28">
        <v>100</v>
      </c>
      <c r="U26" s="28">
        <v>100</v>
      </c>
      <c r="V26" s="28">
        <v>90</v>
      </c>
      <c r="W26" s="28">
        <v>100</v>
      </c>
      <c r="X26" s="28">
        <v>100</v>
      </c>
      <c r="Y26" s="28">
        <v>100</v>
      </c>
      <c r="Z26" s="22">
        <f t="shared" si="10"/>
        <v>95</v>
      </c>
      <c r="AA26" s="27">
        <f t="shared" si="16"/>
        <v>0.95</v>
      </c>
      <c r="AB26" s="28">
        <v>50</v>
      </c>
      <c r="AC26" s="28">
        <v>80</v>
      </c>
      <c r="AD26" s="28">
        <v>90</v>
      </c>
      <c r="AE26" s="28">
        <v>90</v>
      </c>
      <c r="AF26" s="28">
        <v>100</v>
      </c>
      <c r="AG26" s="28">
        <v>90</v>
      </c>
      <c r="AH26" s="28">
        <v>80</v>
      </c>
      <c r="AI26" s="28">
        <v>80</v>
      </c>
      <c r="AJ26" s="28">
        <v>0</v>
      </c>
      <c r="AK26" s="29">
        <f t="shared" si="12"/>
        <v>73.3333333333333</v>
      </c>
      <c r="AL26" s="30">
        <f t="shared" ref="AL26:AL35" si="18">AK26*0.01</f>
        <v>0.73333333333333295</v>
      </c>
      <c r="AM26" s="31">
        <f t="shared" si="13"/>
        <v>82.966666666666697</v>
      </c>
      <c r="AN26" s="17"/>
    </row>
    <row r="27" spans="1:40">
      <c r="A27" s="25" t="s">
        <v>60</v>
      </c>
      <c r="B27" s="26" t="s">
        <v>61</v>
      </c>
      <c r="C27" s="22">
        <v>8</v>
      </c>
      <c r="D27" s="22">
        <v>8</v>
      </c>
      <c r="E27" s="22">
        <v>9</v>
      </c>
      <c r="F27" s="22">
        <v>9</v>
      </c>
      <c r="G27" s="22">
        <v>0</v>
      </c>
      <c r="H27" s="22">
        <v>8</v>
      </c>
      <c r="I27" s="22">
        <v>9</v>
      </c>
      <c r="J27" s="22">
        <v>9</v>
      </c>
      <c r="K27" s="22">
        <v>8</v>
      </c>
      <c r="L27" s="22">
        <v>0</v>
      </c>
      <c r="M27" s="22">
        <f t="shared" si="8"/>
        <v>26</v>
      </c>
      <c r="N27" s="22">
        <f t="shared" si="9"/>
        <v>81</v>
      </c>
      <c r="O27" s="27">
        <f t="shared" si="17"/>
        <v>0.81</v>
      </c>
      <c r="P27" s="28">
        <v>100</v>
      </c>
      <c r="Q27" s="28">
        <v>80</v>
      </c>
      <c r="R27" s="28">
        <v>100</v>
      </c>
      <c r="S27" s="28">
        <v>80</v>
      </c>
      <c r="T27" s="28">
        <v>80</v>
      </c>
      <c r="U27" s="28">
        <v>80</v>
      </c>
      <c r="V27" s="28">
        <v>100</v>
      </c>
      <c r="W27" s="28">
        <v>100</v>
      </c>
      <c r="X27" s="28">
        <v>100</v>
      </c>
      <c r="Y27" s="28">
        <v>100</v>
      </c>
      <c r="Z27" s="22">
        <f t="shared" si="10"/>
        <v>92</v>
      </c>
      <c r="AA27" s="27">
        <f t="shared" si="16"/>
        <v>0.92</v>
      </c>
      <c r="AB27" s="28">
        <v>80</v>
      </c>
      <c r="AC27" s="28">
        <v>80</v>
      </c>
      <c r="AD27" s="28">
        <v>80</v>
      </c>
      <c r="AE27" s="28">
        <v>90</v>
      </c>
      <c r="AF27" s="28">
        <v>100</v>
      </c>
      <c r="AG27" s="28">
        <v>90</v>
      </c>
      <c r="AH27" s="28">
        <v>80</v>
      </c>
      <c r="AI27" s="28">
        <v>80</v>
      </c>
      <c r="AJ27" s="28">
        <v>70</v>
      </c>
      <c r="AK27" s="29">
        <f t="shared" si="12"/>
        <v>83.3333333333333</v>
      </c>
      <c r="AL27" s="30">
        <f t="shared" si="18"/>
        <v>0.83333333333333304</v>
      </c>
      <c r="AM27" s="31">
        <f t="shared" si="13"/>
        <v>85.466666666666697</v>
      </c>
      <c r="AN27" s="17"/>
    </row>
    <row r="28" spans="1:40">
      <c r="A28" s="25" t="s">
        <v>62</v>
      </c>
      <c r="B28" s="26" t="s">
        <v>63</v>
      </c>
      <c r="C28" s="22">
        <v>8</v>
      </c>
      <c r="D28" s="22">
        <v>8</v>
      </c>
      <c r="E28" s="22">
        <v>9</v>
      </c>
      <c r="F28" s="22">
        <v>9</v>
      </c>
      <c r="G28" s="22">
        <v>9</v>
      </c>
      <c r="H28" s="22">
        <v>8</v>
      </c>
      <c r="I28" s="22">
        <v>9</v>
      </c>
      <c r="J28" s="22">
        <v>9</v>
      </c>
      <c r="K28" s="22">
        <v>8</v>
      </c>
      <c r="L28" s="22">
        <v>8</v>
      </c>
      <c r="M28" s="22">
        <f t="shared" si="8"/>
        <v>34</v>
      </c>
      <c r="N28" s="22">
        <f t="shared" si="9"/>
        <v>89</v>
      </c>
      <c r="O28" s="27">
        <f t="shared" si="17"/>
        <v>0.89</v>
      </c>
      <c r="P28" s="28">
        <v>100</v>
      </c>
      <c r="Q28" s="28">
        <v>100</v>
      </c>
      <c r="R28" s="28">
        <v>100</v>
      </c>
      <c r="S28" s="28">
        <v>90</v>
      </c>
      <c r="T28" s="28">
        <v>100</v>
      </c>
      <c r="U28" s="28">
        <v>100</v>
      </c>
      <c r="V28" s="28">
        <v>100</v>
      </c>
      <c r="W28" s="28">
        <v>100</v>
      </c>
      <c r="X28" s="28">
        <v>100</v>
      </c>
      <c r="Y28" s="28">
        <v>100</v>
      </c>
      <c r="Z28" s="22">
        <f t="shared" si="10"/>
        <v>99</v>
      </c>
      <c r="AA28" s="27">
        <f t="shared" si="16"/>
        <v>0.99</v>
      </c>
      <c r="AB28" s="28">
        <v>50</v>
      </c>
      <c r="AC28" s="28">
        <v>100</v>
      </c>
      <c r="AD28" s="28">
        <v>70</v>
      </c>
      <c r="AE28" s="28">
        <v>90</v>
      </c>
      <c r="AF28" s="28">
        <v>90</v>
      </c>
      <c r="AG28" s="28">
        <v>80</v>
      </c>
      <c r="AH28" s="28">
        <v>80</v>
      </c>
      <c r="AI28" s="28">
        <v>80</v>
      </c>
      <c r="AJ28" s="28">
        <v>80</v>
      </c>
      <c r="AK28" s="29">
        <f t="shared" si="12"/>
        <v>80</v>
      </c>
      <c r="AL28" s="30">
        <f t="shared" si="18"/>
        <v>0.8</v>
      </c>
      <c r="AM28" s="31">
        <f t="shared" si="13"/>
        <v>87.5</v>
      </c>
      <c r="AN28" s="17"/>
    </row>
    <row r="29" spans="1:40">
      <c r="A29" s="25" t="s">
        <v>64</v>
      </c>
      <c r="B29" s="26" t="s">
        <v>65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8</v>
      </c>
      <c r="L29" s="22">
        <v>0</v>
      </c>
      <c r="M29" s="22">
        <f t="shared" si="8"/>
        <v>8</v>
      </c>
      <c r="N29" s="22">
        <f t="shared" si="9"/>
        <v>63</v>
      </c>
      <c r="O29" s="27">
        <f t="shared" si="17"/>
        <v>0.63</v>
      </c>
      <c r="P29" s="28">
        <v>100</v>
      </c>
      <c r="Q29" s="28">
        <v>80</v>
      </c>
      <c r="R29" s="28">
        <v>100</v>
      </c>
      <c r="S29" s="28">
        <v>90</v>
      </c>
      <c r="T29" s="28">
        <v>100</v>
      </c>
      <c r="U29" s="28">
        <v>100</v>
      </c>
      <c r="V29" s="28">
        <v>90</v>
      </c>
      <c r="W29" s="28">
        <v>80</v>
      </c>
      <c r="X29" s="28">
        <v>100</v>
      </c>
      <c r="Y29" s="28">
        <v>100</v>
      </c>
      <c r="Z29" s="22">
        <f t="shared" si="10"/>
        <v>94</v>
      </c>
      <c r="AA29" s="27">
        <f t="shared" si="16"/>
        <v>0.94</v>
      </c>
      <c r="AB29" s="28">
        <v>80</v>
      </c>
      <c r="AC29" s="28">
        <v>70</v>
      </c>
      <c r="AD29" s="28">
        <v>90</v>
      </c>
      <c r="AE29" s="28">
        <v>90</v>
      </c>
      <c r="AF29" s="28">
        <v>100</v>
      </c>
      <c r="AG29" s="28">
        <v>100</v>
      </c>
      <c r="AH29" s="28">
        <v>90</v>
      </c>
      <c r="AI29" s="28">
        <v>80</v>
      </c>
      <c r="AJ29" s="28">
        <v>80</v>
      </c>
      <c r="AK29" s="29">
        <f t="shared" si="12"/>
        <v>86.6666666666667</v>
      </c>
      <c r="AL29" s="30">
        <f t="shared" si="18"/>
        <v>0.86666666666666703</v>
      </c>
      <c r="AM29" s="31">
        <f t="shared" si="13"/>
        <v>84.133333333333297</v>
      </c>
      <c r="AN29" s="17"/>
    </row>
    <row r="30" spans="1:40">
      <c r="A30" s="25" t="s">
        <v>66</v>
      </c>
      <c r="B30" s="26" t="s">
        <v>67</v>
      </c>
      <c r="C30" s="22">
        <v>8</v>
      </c>
      <c r="D30" s="22">
        <v>8</v>
      </c>
      <c r="E30" s="22">
        <v>10</v>
      </c>
      <c r="F30" s="22">
        <v>9</v>
      </c>
      <c r="G30" s="22">
        <v>9</v>
      </c>
      <c r="H30" s="22">
        <v>8</v>
      </c>
      <c r="I30" s="22">
        <v>9</v>
      </c>
      <c r="J30" s="22">
        <v>9</v>
      </c>
      <c r="K30" s="22">
        <v>0</v>
      </c>
      <c r="L30" s="22">
        <v>8</v>
      </c>
      <c r="M30" s="22">
        <f t="shared" si="8"/>
        <v>26</v>
      </c>
      <c r="N30" s="22">
        <f t="shared" si="9"/>
        <v>81</v>
      </c>
      <c r="O30" s="27">
        <f t="shared" si="17"/>
        <v>0.81</v>
      </c>
      <c r="P30" s="28">
        <v>100</v>
      </c>
      <c r="Q30" s="28">
        <v>100</v>
      </c>
      <c r="R30" s="28">
        <v>100</v>
      </c>
      <c r="S30" s="28">
        <v>90</v>
      </c>
      <c r="T30" s="28">
        <v>100</v>
      </c>
      <c r="U30" s="28">
        <v>100</v>
      </c>
      <c r="V30" s="28">
        <v>80</v>
      </c>
      <c r="W30" s="28">
        <v>100</v>
      </c>
      <c r="X30" s="28">
        <v>100</v>
      </c>
      <c r="Y30" s="28">
        <v>100</v>
      </c>
      <c r="Z30" s="22">
        <f t="shared" si="10"/>
        <v>97</v>
      </c>
      <c r="AA30" s="27">
        <f t="shared" si="16"/>
        <v>0.97</v>
      </c>
      <c r="AB30" s="28">
        <v>60</v>
      </c>
      <c r="AC30" s="28">
        <v>100</v>
      </c>
      <c r="AD30" s="28">
        <v>70</v>
      </c>
      <c r="AE30" s="28">
        <v>90</v>
      </c>
      <c r="AF30" s="28">
        <v>100</v>
      </c>
      <c r="AG30" s="28">
        <v>90</v>
      </c>
      <c r="AH30" s="28">
        <v>80</v>
      </c>
      <c r="AI30" s="28">
        <v>80</v>
      </c>
      <c r="AJ30" s="28">
        <v>80</v>
      </c>
      <c r="AK30" s="29">
        <f t="shared" si="12"/>
        <v>83.3333333333333</v>
      </c>
      <c r="AL30" s="30">
        <f t="shared" si="18"/>
        <v>0.83333333333333304</v>
      </c>
      <c r="AM30" s="31">
        <f t="shared" si="13"/>
        <v>86.966666666666697</v>
      </c>
      <c r="AN30" s="17"/>
    </row>
    <row r="31" spans="1:40">
      <c r="A31" s="25" t="s">
        <v>68</v>
      </c>
      <c r="B31" s="26" t="s">
        <v>69</v>
      </c>
      <c r="C31" s="22">
        <v>8</v>
      </c>
      <c r="D31" s="22">
        <v>8</v>
      </c>
      <c r="E31" s="22">
        <v>10</v>
      </c>
      <c r="F31" s="22">
        <v>9</v>
      </c>
      <c r="G31" s="22">
        <v>9</v>
      </c>
      <c r="H31" s="22">
        <v>10</v>
      </c>
      <c r="I31" s="22">
        <v>9</v>
      </c>
      <c r="J31" s="22">
        <v>9</v>
      </c>
      <c r="K31" s="22">
        <v>8</v>
      </c>
      <c r="L31" s="22">
        <v>8</v>
      </c>
      <c r="M31" s="22">
        <f t="shared" si="8"/>
        <v>34</v>
      </c>
      <c r="N31" s="22">
        <f t="shared" si="9"/>
        <v>89</v>
      </c>
      <c r="O31" s="27">
        <f t="shared" si="17"/>
        <v>0.89</v>
      </c>
      <c r="P31" s="28">
        <v>100</v>
      </c>
      <c r="Q31" s="28">
        <v>100</v>
      </c>
      <c r="R31" s="28">
        <v>100</v>
      </c>
      <c r="S31" s="28">
        <v>90</v>
      </c>
      <c r="T31" s="28">
        <v>100</v>
      </c>
      <c r="U31" s="28">
        <v>100</v>
      </c>
      <c r="V31" s="28">
        <v>100</v>
      </c>
      <c r="W31" s="28">
        <v>100</v>
      </c>
      <c r="X31" s="28">
        <v>100</v>
      </c>
      <c r="Y31" s="28">
        <v>100</v>
      </c>
      <c r="Z31" s="22">
        <f t="shared" si="10"/>
        <v>99</v>
      </c>
      <c r="AA31" s="27">
        <f t="shared" si="16"/>
        <v>0.99</v>
      </c>
      <c r="AB31" s="28">
        <v>80</v>
      </c>
      <c r="AC31" s="28">
        <v>100</v>
      </c>
      <c r="AD31" s="28">
        <v>80</v>
      </c>
      <c r="AE31" s="28">
        <v>90</v>
      </c>
      <c r="AF31" s="28">
        <v>100</v>
      </c>
      <c r="AG31" s="28">
        <v>90</v>
      </c>
      <c r="AH31" s="28">
        <v>70</v>
      </c>
      <c r="AI31" s="28">
        <v>90</v>
      </c>
      <c r="AJ31" s="28">
        <v>0</v>
      </c>
      <c r="AK31" s="29">
        <f t="shared" si="12"/>
        <v>77.7777777777778</v>
      </c>
      <c r="AL31" s="30">
        <f t="shared" si="18"/>
        <v>0.77777777777777801</v>
      </c>
      <c r="AM31" s="31">
        <f t="shared" si="13"/>
        <v>86.3888888888889</v>
      </c>
      <c r="AN31" s="17"/>
    </row>
    <row r="32" spans="1:40">
      <c r="A32" s="25" t="s">
        <v>70</v>
      </c>
      <c r="B32" s="26" t="s">
        <v>71</v>
      </c>
      <c r="C32" s="22">
        <v>8</v>
      </c>
      <c r="D32" s="22">
        <v>0</v>
      </c>
      <c r="E32" s="22">
        <v>0</v>
      </c>
      <c r="F32" s="22">
        <v>0</v>
      </c>
      <c r="G32" s="22">
        <v>9</v>
      </c>
      <c r="H32" s="22">
        <v>0</v>
      </c>
      <c r="I32" s="22">
        <v>9</v>
      </c>
      <c r="J32" s="22">
        <v>0</v>
      </c>
      <c r="K32" s="22">
        <v>0</v>
      </c>
      <c r="L32" s="22">
        <v>0</v>
      </c>
      <c r="M32" s="22">
        <f t="shared" si="8"/>
        <v>9</v>
      </c>
      <c r="N32" s="22">
        <f t="shared" si="9"/>
        <v>64</v>
      </c>
      <c r="O32" s="27">
        <f t="shared" si="17"/>
        <v>0.64</v>
      </c>
      <c r="P32" s="28">
        <v>100</v>
      </c>
      <c r="Q32" s="28">
        <v>80</v>
      </c>
      <c r="R32" s="28">
        <v>100</v>
      </c>
      <c r="S32" s="28">
        <v>80</v>
      </c>
      <c r="T32" s="28">
        <v>100</v>
      </c>
      <c r="U32" s="28">
        <v>100</v>
      </c>
      <c r="V32" s="28">
        <v>90</v>
      </c>
      <c r="W32" s="28">
        <v>80</v>
      </c>
      <c r="X32" s="28">
        <v>90</v>
      </c>
      <c r="Y32" s="28">
        <v>90</v>
      </c>
      <c r="Z32" s="22">
        <f t="shared" si="10"/>
        <v>91</v>
      </c>
      <c r="AA32" s="27">
        <f t="shared" si="16"/>
        <v>0.91</v>
      </c>
      <c r="AB32" s="28">
        <v>80</v>
      </c>
      <c r="AC32" s="28">
        <v>70</v>
      </c>
      <c r="AD32" s="28">
        <v>70</v>
      </c>
      <c r="AE32" s="28">
        <v>90</v>
      </c>
      <c r="AF32" s="28">
        <v>80</v>
      </c>
      <c r="AG32" s="28">
        <v>70</v>
      </c>
      <c r="AH32" s="28">
        <v>80</v>
      </c>
      <c r="AI32" s="28">
        <v>70</v>
      </c>
      <c r="AJ32" s="28">
        <v>80</v>
      </c>
      <c r="AK32" s="29">
        <f t="shared" si="12"/>
        <v>76.6666666666667</v>
      </c>
      <c r="AL32" s="30">
        <f t="shared" si="18"/>
        <v>0.76666666666666705</v>
      </c>
      <c r="AM32" s="31">
        <f t="shared" si="13"/>
        <v>78.433333333333294</v>
      </c>
      <c r="AN32" s="17"/>
    </row>
    <row r="33" spans="1:40">
      <c r="A33" s="25" t="s">
        <v>72</v>
      </c>
      <c r="B33" s="26" t="s">
        <v>73</v>
      </c>
      <c r="C33" s="22">
        <v>8</v>
      </c>
      <c r="D33" s="22">
        <v>8</v>
      </c>
      <c r="E33" s="22">
        <v>9</v>
      </c>
      <c r="F33" s="22">
        <v>9</v>
      </c>
      <c r="G33" s="22">
        <v>9</v>
      </c>
      <c r="H33" s="22">
        <v>0</v>
      </c>
      <c r="I33" s="22">
        <v>9</v>
      </c>
      <c r="J33" s="22">
        <v>9</v>
      </c>
      <c r="K33" s="22">
        <v>8</v>
      </c>
      <c r="L33" s="22">
        <v>0</v>
      </c>
      <c r="M33" s="22">
        <f t="shared" si="8"/>
        <v>26</v>
      </c>
      <c r="N33" s="22">
        <f t="shared" si="9"/>
        <v>81</v>
      </c>
      <c r="O33" s="27">
        <f t="shared" si="17"/>
        <v>0.81</v>
      </c>
      <c r="P33" s="28">
        <v>100</v>
      </c>
      <c r="Q33" s="28">
        <v>100</v>
      </c>
      <c r="R33" s="28">
        <v>100</v>
      </c>
      <c r="S33" s="28">
        <v>90</v>
      </c>
      <c r="T33" s="28">
        <v>100</v>
      </c>
      <c r="U33" s="28">
        <v>100</v>
      </c>
      <c r="V33" s="28">
        <v>90</v>
      </c>
      <c r="W33" s="28">
        <v>100</v>
      </c>
      <c r="X33" s="28">
        <v>100</v>
      </c>
      <c r="Y33" s="28">
        <v>80</v>
      </c>
      <c r="Z33" s="22">
        <f t="shared" si="10"/>
        <v>96</v>
      </c>
      <c r="AA33" s="27">
        <f t="shared" si="16"/>
        <v>0.96</v>
      </c>
      <c r="AB33" s="28">
        <v>50</v>
      </c>
      <c r="AC33" s="28">
        <v>90</v>
      </c>
      <c r="AD33" s="28">
        <v>70</v>
      </c>
      <c r="AE33" s="28">
        <v>90</v>
      </c>
      <c r="AF33" s="28">
        <v>90</v>
      </c>
      <c r="AG33" s="28">
        <v>80</v>
      </c>
      <c r="AH33" s="28">
        <v>80</v>
      </c>
      <c r="AI33" s="28">
        <v>80</v>
      </c>
      <c r="AJ33" s="28">
        <v>0</v>
      </c>
      <c r="AK33" s="29">
        <f t="shared" si="12"/>
        <v>70</v>
      </c>
      <c r="AL33" s="30">
        <f t="shared" si="18"/>
        <v>0.7</v>
      </c>
      <c r="AM33" s="31">
        <f t="shared" si="13"/>
        <v>80</v>
      </c>
      <c r="AN33" s="17"/>
    </row>
    <row r="34" spans="1:40">
      <c r="A34" s="25" t="s">
        <v>74</v>
      </c>
      <c r="B34" s="26" t="s">
        <v>75</v>
      </c>
      <c r="C34" s="22">
        <v>8</v>
      </c>
      <c r="D34" s="22">
        <v>0</v>
      </c>
      <c r="E34" s="22">
        <v>9</v>
      </c>
      <c r="F34" s="22">
        <v>9</v>
      </c>
      <c r="G34" s="22">
        <v>9</v>
      </c>
      <c r="H34" s="22">
        <v>8</v>
      </c>
      <c r="I34" s="22">
        <v>9</v>
      </c>
      <c r="J34" s="22">
        <v>9</v>
      </c>
      <c r="K34" s="22">
        <v>0</v>
      </c>
      <c r="L34" s="22">
        <v>0</v>
      </c>
      <c r="M34" s="22">
        <f t="shared" si="8"/>
        <v>18</v>
      </c>
      <c r="N34" s="22">
        <f t="shared" si="9"/>
        <v>73</v>
      </c>
      <c r="O34" s="27">
        <f t="shared" si="17"/>
        <v>0.73</v>
      </c>
      <c r="P34" s="28">
        <v>100</v>
      </c>
      <c r="Q34" s="28">
        <v>100</v>
      </c>
      <c r="R34" s="28">
        <v>100</v>
      </c>
      <c r="S34" s="28">
        <v>100</v>
      </c>
      <c r="T34" s="28">
        <v>100</v>
      </c>
      <c r="U34" s="28">
        <v>100</v>
      </c>
      <c r="V34" s="28">
        <v>80</v>
      </c>
      <c r="W34" s="28">
        <v>100</v>
      </c>
      <c r="X34" s="28">
        <v>100</v>
      </c>
      <c r="Y34" s="28">
        <v>0</v>
      </c>
      <c r="Z34" s="22">
        <f t="shared" si="10"/>
        <v>88</v>
      </c>
      <c r="AA34" s="27">
        <f t="shared" ref="AA34:AA44" si="19">Z34*0.01</f>
        <v>0.88</v>
      </c>
      <c r="AB34" s="28">
        <v>80</v>
      </c>
      <c r="AC34" s="28">
        <v>70</v>
      </c>
      <c r="AD34" s="28">
        <v>70</v>
      </c>
      <c r="AE34" s="28">
        <v>90</v>
      </c>
      <c r="AF34" s="28">
        <v>100</v>
      </c>
      <c r="AG34" s="28">
        <v>60</v>
      </c>
      <c r="AH34" s="28">
        <v>70</v>
      </c>
      <c r="AI34" s="28">
        <v>70</v>
      </c>
      <c r="AJ34" s="28">
        <v>0</v>
      </c>
      <c r="AK34" s="29">
        <f t="shared" si="12"/>
        <v>67.7777777777778</v>
      </c>
      <c r="AL34" s="30">
        <f t="shared" si="18"/>
        <v>0.67777777777777803</v>
      </c>
      <c r="AM34" s="31">
        <f t="shared" si="13"/>
        <v>74.8888888888889</v>
      </c>
      <c r="AN34" s="17"/>
    </row>
    <row r="35" spans="1:40">
      <c r="A35" s="25" t="s">
        <v>76</v>
      </c>
      <c r="B35" s="26" t="s">
        <v>77</v>
      </c>
      <c r="C35" s="22">
        <v>8</v>
      </c>
      <c r="D35" s="22">
        <v>8</v>
      </c>
      <c r="E35" s="22">
        <v>0</v>
      </c>
      <c r="F35" s="22">
        <v>9</v>
      </c>
      <c r="G35" s="22">
        <v>0</v>
      </c>
      <c r="H35" s="22">
        <v>10</v>
      </c>
      <c r="I35" s="22">
        <v>9</v>
      </c>
      <c r="J35" s="22">
        <v>9</v>
      </c>
      <c r="K35" s="22">
        <v>0</v>
      </c>
      <c r="L35" s="22">
        <v>8</v>
      </c>
      <c r="M35" s="22">
        <f t="shared" si="8"/>
        <v>26</v>
      </c>
      <c r="N35" s="22">
        <f t="shared" si="9"/>
        <v>81</v>
      </c>
      <c r="O35" s="27">
        <f t="shared" ref="O35:O44" si="20">N35/100</f>
        <v>0.81</v>
      </c>
      <c r="P35" s="28">
        <v>100</v>
      </c>
      <c r="Q35" s="28">
        <v>100</v>
      </c>
      <c r="R35" s="28">
        <v>100</v>
      </c>
      <c r="S35" s="28">
        <v>80</v>
      </c>
      <c r="T35" s="28">
        <v>100</v>
      </c>
      <c r="U35" s="28">
        <v>100</v>
      </c>
      <c r="V35" s="28">
        <v>90</v>
      </c>
      <c r="W35" s="28">
        <v>100</v>
      </c>
      <c r="X35" s="28">
        <v>100</v>
      </c>
      <c r="Y35" s="28">
        <v>100</v>
      </c>
      <c r="Z35" s="22">
        <f t="shared" si="10"/>
        <v>97</v>
      </c>
      <c r="AA35" s="27">
        <f t="shared" si="19"/>
        <v>0.97</v>
      </c>
      <c r="AB35" s="28">
        <v>50</v>
      </c>
      <c r="AC35" s="28">
        <v>80</v>
      </c>
      <c r="AD35" s="28">
        <v>60</v>
      </c>
      <c r="AE35" s="28">
        <v>90</v>
      </c>
      <c r="AF35" s="28">
        <v>90</v>
      </c>
      <c r="AG35" s="28">
        <v>70</v>
      </c>
      <c r="AH35" s="28">
        <v>80</v>
      </c>
      <c r="AI35" s="28">
        <v>80</v>
      </c>
      <c r="AJ35" s="28">
        <v>0</v>
      </c>
      <c r="AK35" s="29">
        <f t="shared" si="12"/>
        <v>66.6666666666667</v>
      </c>
      <c r="AL35" s="30">
        <f t="shared" si="18"/>
        <v>0.66666666666666696</v>
      </c>
      <c r="AM35" s="31">
        <f t="shared" si="13"/>
        <v>78.633333333333297</v>
      </c>
      <c r="AN35" s="17"/>
    </row>
    <row r="36" spans="1:40">
      <c r="A36" s="25" t="s">
        <v>78</v>
      </c>
      <c r="B36" s="26" t="s">
        <v>79</v>
      </c>
      <c r="C36" s="22">
        <v>8</v>
      </c>
      <c r="D36" s="22">
        <v>8</v>
      </c>
      <c r="E36" s="22">
        <v>9</v>
      </c>
      <c r="F36" s="22">
        <v>9</v>
      </c>
      <c r="G36" s="22">
        <v>0</v>
      </c>
      <c r="H36" s="22">
        <v>8</v>
      </c>
      <c r="I36" s="22">
        <v>0</v>
      </c>
      <c r="J36" s="22">
        <v>9</v>
      </c>
      <c r="K36" s="22">
        <v>8</v>
      </c>
      <c r="L36" s="22">
        <v>8</v>
      </c>
      <c r="M36" s="22">
        <f t="shared" si="8"/>
        <v>25</v>
      </c>
      <c r="N36" s="22">
        <f t="shared" si="9"/>
        <v>80</v>
      </c>
      <c r="O36" s="27">
        <f t="shared" si="20"/>
        <v>0.8</v>
      </c>
      <c r="P36" s="28">
        <v>100</v>
      </c>
      <c r="Q36" s="28">
        <v>100</v>
      </c>
      <c r="R36" s="28">
        <v>100</v>
      </c>
      <c r="S36" s="28">
        <v>100</v>
      </c>
      <c r="T36" s="28">
        <v>100</v>
      </c>
      <c r="U36" s="28">
        <v>100</v>
      </c>
      <c r="V36" s="28">
        <v>80</v>
      </c>
      <c r="W36" s="28">
        <v>100</v>
      </c>
      <c r="X36" s="28">
        <v>100</v>
      </c>
      <c r="Y36" s="28">
        <v>100</v>
      </c>
      <c r="Z36" s="22">
        <f t="shared" si="10"/>
        <v>98</v>
      </c>
      <c r="AA36" s="27">
        <f t="shared" si="19"/>
        <v>0.98</v>
      </c>
      <c r="AB36" s="28">
        <v>50</v>
      </c>
      <c r="AC36" s="28">
        <v>80</v>
      </c>
      <c r="AD36" s="28">
        <v>80</v>
      </c>
      <c r="AE36" s="28">
        <v>90</v>
      </c>
      <c r="AF36" s="28">
        <v>100</v>
      </c>
      <c r="AG36" s="28">
        <v>80</v>
      </c>
      <c r="AH36" s="28">
        <v>80</v>
      </c>
      <c r="AI36" s="28">
        <v>80</v>
      </c>
      <c r="AJ36" s="28">
        <v>0</v>
      </c>
      <c r="AK36" s="29">
        <f t="shared" si="12"/>
        <v>71.1111111111111</v>
      </c>
      <c r="AL36" s="30">
        <f t="shared" ref="AL36:AL44" si="21">AK36*0.01</f>
        <v>0.71111111111111103</v>
      </c>
      <c r="AM36" s="31">
        <f t="shared" si="13"/>
        <v>80.955555555555506</v>
      </c>
      <c r="AN36" s="17"/>
    </row>
    <row r="37" spans="1:40">
      <c r="A37" s="25" t="s">
        <v>80</v>
      </c>
      <c r="B37" s="26" t="s">
        <v>81</v>
      </c>
      <c r="C37" s="22">
        <v>8</v>
      </c>
      <c r="D37" s="22">
        <v>8</v>
      </c>
      <c r="E37" s="22">
        <v>9</v>
      </c>
      <c r="F37" s="22">
        <v>9</v>
      </c>
      <c r="G37" s="22">
        <v>9</v>
      </c>
      <c r="H37" s="22">
        <v>8</v>
      </c>
      <c r="I37" s="22">
        <v>9</v>
      </c>
      <c r="J37" s="22">
        <v>9</v>
      </c>
      <c r="K37" s="22">
        <v>8</v>
      </c>
      <c r="L37" s="22">
        <v>8</v>
      </c>
      <c r="M37" s="22">
        <f t="shared" si="8"/>
        <v>34</v>
      </c>
      <c r="N37" s="22">
        <f t="shared" si="9"/>
        <v>89</v>
      </c>
      <c r="O37" s="27">
        <f t="shared" si="20"/>
        <v>0.89</v>
      </c>
      <c r="P37" s="28">
        <v>100</v>
      </c>
      <c r="Q37" s="28">
        <v>100</v>
      </c>
      <c r="R37" s="28">
        <v>100</v>
      </c>
      <c r="S37" s="28">
        <v>90</v>
      </c>
      <c r="T37" s="28">
        <v>100</v>
      </c>
      <c r="U37" s="28">
        <v>100</v>
      </c>
      <c r="V37" s="28">
        <v>90</v>
      </c>
      <c r="W37" s="28">
        <v>100</v>
      </c>
      <c r="X37" s="28">
        <v>100</v>
      </c>
      <c r="Y37" s="28">
        <v>80</v>
      </c>
      <c r="Z37" s="22">
        <f t="shared" si="10"/>
        <v>96</v>
      </c>
      <c r="AA37" s="27">
        <f t="shared" si="19"/>
        <v>0.96</v>
      </c>
      <c r="AB37" s="28">
        <v>70</v>
      </c>
      <c r="AC37" s="28">
        <v>70</v>
      </c>
      <c r="AD37" s="28">
        <v>60</v>
      </c>
      <c r="AE37" s="28">
        <v>90</v>
      </c>
      <c r="AF37" s="28">
        <v>100</v>
      </c>
      <c r="AG37" s="28">
        <v>100</v>
      </c>
      <c r="AH37" s="28">
        <v>80</v>
      </c>
      <c r="AI37" s="28">
        <v>80</v>
      </c>
      <c r="AJ37" s="28">
        <v>80</v>
      </c>
      <c r="AK37" s="29">
        <f t="shared" si="12"/>
        <v>81.1111111111111</v>
      </c>
      <c r="AL37" s="30">
        <f t="shared" si="21"/>
        <v>0.81111111111111101</v>
      </c>
      <c r="AM37" s="31">
        <f t="shared" si="13"/>
        <v>87.155555555555594</v>
      </c>
      <c r="AN37" s="17"/>
    </row>
    <row r="38" spans="1:40">
      <c r="A38" s="25" t="s">
        <v>82</v>
      </c>
      <c r="B38" s="26" t="s">
        <v>83</v>
      </c>
      <c r="C38" s="22">
        <v>8</v>
      </c>
      <c r="D38" s="22">
        <v>0</v>
      </c>
      <c r="E38" s="22">
        <v>9</v>
      </c>
      <c r="F38" s="22">
        <v>9</v>
      </c>
      <c r="G38" s="22">
        <v>9</v>
      </c>
      <c r="H38" s="22">
        <v>0</v>
      </c>
      <c r="I38" s="22">
        <v>9</v>
      </c>
      <c r="J38" s="22">
        <v>9</v>
      </c>
      <c r="K38" s="22">
        <v>0</v>
      </c>
      <c r="L38" s="22">
        <v>0</v>
      </c>
      <c r="M38" s="22">
        <f t="shared" si="8"/>
        <v>18</v>
      </c>
      <c r="N38" s="22">
        <f t="shared" si="9"/>
        <v>73</v>
      </c>
      <c r="O38" s="27">
        <f t="shared" si="20"/>
        <v>0.73</v>
      </c>
      <c r="P38" s="28">
        <v>100</v>
      </c>
      <c r="Q38" s="28">
        <v>100</v>
      </c>
      <c r="R38" s="28">
        <v>100</v>
      </c>
      <c r="S38" s="28">
        <v>0</v>
      </c>
      <c r="T38" s="28">
        <v>100</v>
      </c>
      <c r="U38" s="28">
        <v>100</v>
      </c>
      <c r="V38" s="28">
        <v>100</v>
      </c>
      <c r="W38" s="28">
        <v>100</v>
      </c>
      <c r="X38" s="28">
        <v>100</v>
      </c>
      <c r="Y38" s="28">
        <v>100</v>
      </c>
      <c r="Z38" s="22">
        <f t="shared" si="10"/>
        <v>90</v>
      </c>
      <c r="AA38" s="27">
        <f t="shared" si="19"/>
        <v>0.9</v>
      </c>
      <c r="AB38" s="28">
        <v>60</v>
      </c>
      <c r="AC38" s="28">
        <v>80</v>
      </c>
      <c r="AD38" s="28">
        <v>70</v>
      </c>
      <c r="AE38" s="28">
        <v>90</v>
      </c>
      <c r="AF38" s="28">
        <v>90</v>
      </c>
      <c r="AG38" s="28">
        <v>90</v>
      </c>
      <c r="AH38" s="28">
        <v>80</v>
      </c>
      <c r="AI38" s="28">
        <v>80</v>
      </c>
      <c r="AJ38" s="28">
        <v>80</v>
      </c>
      <c r="AK38" s="29">
        <f t="shared" si="12"/>
        <v>80</v>
      </c>
      <c r="AL38" s="30">
        <f t="shared" si="21"/>
        <v>0.8</v>
      </c>
      <c r="AM38" s="31">
        <f t="shared" ref="AM38:AM44" si="22">N38*0.2+Z38*0.3+AK38*0.5</f>
        <v>81.599999999999994</v>
      </c>
      <c r="AN38" s="17"/>
    </row>
    <row r="39" spans="1:40">
      <c r="A39" s="25" t="s">
        <v>84</v>
      </c>
      <c r="B39" s="26" t="s">
        <v>85</v>
      </c>
      <c r="C39" s="22">
        <v>7</v>
      </c>
      <c r="D39" s="22">
        <v>0</v>
      </c>
      <c r="E39" s="22">
        <v>9</v>
      </c>
      <c r="F39" s="22">
        <v>9</v>
      </c>
      <c r="G39" s="22">
        <v>9</v>
      </c>
      <c r="H39" s="22">
        <v>8</v>
      </c>
      <c r="I39" s="22">
        <v>9</v>
      </c>
      <c r="J39" s="22">
        <v>9</v>
      </c>
      <c r="K39" s="22">
        <v>8</v>
      </c>
      <c r="L39" s="22">
        <v>8</v>
      </c>
      <c r="M39" s="22">
        <f t="shared" si="8"/>
        <v>34</v>
      </c>
      <c r="N39" s="22">
        <f t="shared" si="9"/>
        <v>89</v>
      </c>
      <c r="O39" s="27">
        <f t="shared" si="20"/>
        <v>0.89</v>
      </c>
      <c r="P39" s="28">
        <v>60</v>
      </c>
      <c r="Q39" s="28">
        <v>100</v>
      </c>
      <c r="R39" s="28">
        <v>100</v>
      </c>
      <c r="S39" s="28">
        <v>90</v>
      </c>
      <c r="T39" s="28">
        <v>100</v>
      </c>
      <c r="U39" s="28">
        <v>100</v>
      </c>
      <c r="V39" s="28">
        <v>100</v>
      </c>
      <c r="W39" s="28">
        <v>100</v>
      </c>
      <c r="X39" s="28">
        <v>100</v>
      </c>
      <c r="Y39" s="28">
        <v>100</v>
      </c>
      <c r="Z39" s="22">
        <f t="shared" si="10"/>
        <v>95</v>
      </c>
      <c r="AA39" s="27">
        <f t="shared" si="19"/>
        <v>0.95</v>
      </c>
      <c r="AB39" s="28">
        <v>80</v>
      </c>
      <c r="AC39" s="28">
        <v>80</v>
      </c>
      <c r="AD39" s="28">
        <v>70</v>
      </c>
      <c r="AE39" s="28">
        <v>90</v>
      </c>
      <c r="AF39" s="28">
        <v>80</v>
      </c>
      <c r="AG39" s="28">
        <v>80</v>
      </c>
      <c r="AH39" s="28">
        <v>70</v>
      </c>
      <c r="AI39" s="28">
        <v>80</v>
      </c>
      <c r="AJ39" s="28">
        <v>0</v>
      </c>
      <c r="AK39" s="29">
        <f t="shared" si="12"/>
        <v>70</v>
      </c>
      <c r="AL39" s="30">
        <f t="shared" si="21"/>
        <v>0.7</v>
      </c>
      <c r="AM39" s="31">
        <f t="shared" si="22"/>
        <v>81.3</v>
      </c>
      <c r="AN39" s="17"/>
    </row>
    <row r="40" spans="1:40">
      <c r="A40" s="25" t="s">
        <v>86</v>
      </c>
      <c r="B40" s="26" t="s">
        <v>87</v>
      </c>
      <c r="C40" s="22">
        <v>8</v>
      </c>
      <c r="D40" s="22">
        <v>8</v>
      </c>
      <c r="E40" s="22">
        <v>9</v>
      </c>
      <c r="F40" s="22">
        <v>9</v>
      </c>
      <c r="G40" s="22">
        <v>0</v>
      </c>
      <c r="H40" s="22">
        <v>8</v>
      </c>
      <c r="I40" s="22">
        <v>9</v>
      </c>
      <c r="J40" s="22">
        <v>9</v>
      </c>
      <c r="K40" s="22">
        <v>0</v>
      </c>
      <c r="L40" s="22">
        <v>8</v>
      </c>
      <c r="M40" s="22">
        <f t="shared" si="8"/>
        <v>26</v>
      </c>
      <c r="N40" s="22">
        <f t="shared" si="9"/>
        <v>81</v>
      </c>
      <c r="O40" s="27">
        <f t="shared" si="20"/>
        <v>0.81</v>
      </c>
      <c r="P40" s="28">
        <v>100</v>
      </c>
      <c r="Q40" s="28">
        <v>100</v>
      </c>
      <c r="R40" s="28">
        <v>100</v>
      </c>
      <c r="S40" s="28">
        <v>90</v>
      </c>
      <c r="T40" s="28">
        <v>100</v>
      </c>
      <c r="U40" s="28">
        <v>100</v>
      </c>
      <c r="V40" s="28">
        <v>80</v>
      </c>
      <c r="W40" s="28">
        <v>80</v>
      </c>
      <c r="X40" s="28">
        <v>80</v>
      </c>
      <c r="Y40" s="28">
        <v>90</v>
      </c>
      <c r="Z40" s="22">
        <f t="shared" si="10"/>
        <v>92</v>
      </c>
      <c r="AA40" s="27">
        <f t="shared" si="19"/>
        <v>0.92</v>
      </c>
      <c r="AB40" s="28">
        <v>60</v>
      </c>
      <c r="AC40" s="28">
        <v>90</v>
      </c>
      <c r="AD40" s="28">
        <v>70</v>
      </c>
      <c r="AE40" s="28">
        <v>90</v>
      </c>
      <c r="AF40" s="28">
        <v>90</v>
      </c>
      <c r="AG40" s="28">
        <v>100</v>
      </c>
      <c r="AH40" s="28">
        <v>90</v>
      </c>
      <c r="AI40" s="28">
        <v>80</v>
      </c>
      <c r="AJ40" s="28">
        <v>80</v>
      </c>
      <c r="AK40" s="29">
        <f t="shared" si="12"/>
        <v>83.3333333333333</v>
      </c>
      <c r="AL40" s="30">
        <f t="shared" si="21"/>
        <v>0.83333333333333304</v>
      </c>
      <c r="AM40" s="31">
        <f t="shared" si="22"/>
        <v>85.466666666666697</v>
      </c>
      <c r="AN40" s="17"/>
    </row>
    <row r="41" spans="1:40">
      <c r="A41" s="25" t="s">
        <v>88</v>
      </c>
      <c r="B41" s="26" t="s">
        <v>89</v>
      </c>
      <c r="C41" s="22">
        <v>8</v>
      </c>
      <c r="D41" s="22">
        <v>8</v>
      </c>
      <c r="E41" s="22">
        <v>9</v>
      </c>
      <c r="F41" s="22">
        <v>9</v>
      </c>
      <c r="G41" s="22">
        <v>0</v>
      </c>
      <c r="H41" s="22">
        <v>10</v>
      </c>
      <c r="I41" s="22">
        <v>0</v>
      </c>
      <c r="J41" s="22">
        <v>9</v>
      </c>
      <c r="K41" s="22">
        <v>0</v>
      </c>
      <c r="L41" s="22">
        <v>0</v>
      </c>
      <c r="M41" s="22">
        <f t="shared" si="8"/>
        <v>9</v>
      </c>
      <c r="N41" s="22">
        <f t="shared" si="9"/>
        <v>64</v>
      </c>
      <c r="O41" s="27">
        <f t="shared" si="20"/>
        <v>0.64</v>
      </c>
      <c r="P41" s="28">
        <v>100</v>
      </c>
      <c r="Q41" s="28">
        <v>100</v>
      </c>
      <c r="R41" s="28">
        <v>100</v>
      </c>
      <c r="S41" s="28">
        <v>80</v>
      </c>
      <c r="T41" s="28">
        <v>80</v>
      </c>
      <c r="U41" s="28">
        <v>80</v>
      </c>
      <c r="V41" s="28">
        <v>90</v>
      </c>
      <c r="W41" s="28">
        <v>100</v>
      </c>
      <c r="X41" s="28">
        <v>100</v>
      </c>
      <c r="Y41" s="28">
        <v>80</v>
      </c>
      <c r="Z41" s="22">
        <f t="shared" si="10"/>
        <v>91</v>
      </c>
      <c r="AA41" s="27">
        <f t="shared" si="19"/>
        <v>0.91</v>
      </c>
      <c r="AB41" s="28">
        <v>80</v>
      </c>
      <c r="AC41" s="28">
        <v>70</v>
      </c>
      <c r="AD41" s="28">
        <v>70</v>
      </c>
      <c r="AE41" s="28">
        <v>90</v>
      </c>
      <c r="AF41" s="28">
        <v>90</v>
      </c>
      <c r="AG41" s="28">
        <v>80</v>
      </c>
      <c r="AH41" s="28">
        <v>80</v>
      </c>
      <c r="AI41" s="28">
        <v>80</v>
      </c>
      <c r="AJ41" s="28">
        <v>80</v>
      </c>
      <c r="AK41" s="29">
        <f t="shared" si="12"/>
        <v>80</v>
      </c>
      <c r="AL41" s="30">
        <f t="shared" si="21"/>
        <v>0.8</v>
      </c>
      <c r="AM41" s="31">
        <f t="shared" si="22"/>
        <v>80.099999999999994</v>
      </c>
      <c r="AN41" s="17"/>
    </row>
    <row r="42" spans="1:40">
      <c r="A42" s="25" t="s">
        <v>90</v>
      </c>
      <c r="B42" s="26" t="s">
        <v>91</v>
      </c>
      <c r="C42" s="22">
        <v>8</v>
      </c>
      <c r="D42" s="22">
        <v>8</v>
      </c>
      <c r="E42" s="22">
        <v>10</v>
      </c>
      <c r="F42" s="22">
        <v>9</v>
      </c>
      <c r="G42" s="22">
        <v>9</v>
      </c>
      <c r="H42" s="22">
        <v>8</v>
      </c>
      <c r="I42" s="22">
        <v>9</v>
      </c>
      <c r="J42" s="22">
        <v>9</v>
      </c>
      <c r="K42" s="22">
        <v>0</v>
      </c>
      <c r="L42" s="22">
        <v>0</v>
      </c>
      <c r="M42" s="22">
        <f t="shared" si="8"/>
        <v>18</v>
      </c>
      <c r="N42" s="22">
        <f t="shared" si="9"/>
        <v>73</v>
      </c>
      <c r="O42" s="27">
        <f t="shared" si="20"/>
        <v>0.73</v>
      </c>
      <c r="P42" s="28">
        <v>100</v>
      </c>
      <c r="Q42" s="28">
        <v>100</v>
      </c>
      <c r="R42" s="28">
        <v>100</v>
      </c>
      <c r="S42" s="28">
        <v>80</v>
      </c>
      <c r="T42" s="28">
        <v>100</v>
      </c>
      <c r="U42" s="28">
        <v>100</v>
      </c>
      <c r="V42" s="28">
        <v>90</v>
      </c>
      <c r="W42" s="28">
        <v>90</v>
      </c>
      <c r="X42" s="28">
        <v>100</v>
      </c>
      <c r="Y42" s="28">
        <v>80</v>
      </c>
      <c r="Z42" s="22">
        <f t="shared" si="10"/>
        <v>94</v>
      </c>
      <c r="AA42" s="27">
        <f t="shared" si="19"/>
        <v>0.94</v>
      </c>
      <c r="AB42" s="28">
        <v>80</v>
      </c>
      <c r="AC42" s="28">
        <v>60</v>
      </c>
      <c r="AD42" s="28">
        <v>70</v>
      </c>
      <c r="AE42" s="28">
        <v>90</v>
      </c>
      <c r="AF42" s="28">
        <v>100</v>
      </c>
      <c r="AG42" s="28">
        <v>90</v>
      </c>
      <c r="AH42" s="28">
        <v>80</v>
      </c>
      <c r="AI42" s="28">
        <v>70</v>
      </c>
      <c r="AJ42" s="28">
        <v>80</v>
      </c>
      <c r="AK42" s="29">
        <f t="shared" si="12"/>
        <v>80</v>
      </c>
      <c r="AL42" s="30">
        <f t="shared" si="21"/>
        <v>0.8</v>
      </c>
      <c r="AM42" s="31">
        <f t="shared" si="22"/>
        <v>82.8</v>
      </c>
      <c r="AN42" s="17"/>
    </row>
    <row r="43" spans="1:40">
      <c r="A43" s="25" t="s">
        <v>92</v>
      </c>
      <c r="B43" s="26" t="s">
        <v>93</v>
      </c>
      <c r="C43" s="22">
        <v>8</v>
      </c>
      <c r="D43" s="22">
        <v>0</v>
      </c>
      <c r="E43" s="22">
        <v>10</v>
      </c>
      <c r="F43" s="22">
        <v>9</v>
      </c>
      <c r="G43" s="22">
        <v>0</v>
      </c>
      <c r="H43" s="22">
        <v>8</v>
      </c>
      <c r="I43" s="22">
        <v>0</v>
      </c>
      <c r="J43" s="22">
        <v>9</v>
      </c>
      <c r="K43" s="22">
        <v>8</v>
      </c>
      <c r="L43" s="22">
        <v>8</v>
      </c>
      <c r="M43" s="22">
        <f t="shared" si="8"/>
        <v>25</v>
      </c>
      <c r="N43" s="22">
        <f t="shared" si="9"/>
        <v>80</v>
      </c>
      <c r="O43" s="27">
        <f t="shared" si="20"/>
        <v>0.8</v>
      </c>
      <c r="P43" s="28">
        <v>100</v>
      </c>
      <c r="Q43" s="28">
        <v>100</v>
      </c>
      <c r="R43" s="28">
        <v>100</v>
      </c>
      <c r="S43" s="28">
        <v>90</v>
      </c>
      <c r="T43" s="28">
        <v>100</v>
      </c>
      <c r="U43" s="28">
        <v>100</v>
      </c>
      <c r="V43" s="28">
        <v>100</v>
      </c>
      <c r="W43" s="28">
        <v>90</v>
      </c>
      <c r="X43" s="28">
        <v>100</v>
      </c>
      <c r="Y43" s="28">
        <v>100</v>
      </c>
      <c r="Z43" s="22">
        <f t="shared" si="10"/>
        <v>98</v>
      </c>
      <c r="AA43" s="27">
        <f t="shared" si="19"/>
        <v>0.98</v>
      </c>
      <c r="AB43" s="28">
        <v>80</v>
      </c>
      <c r="AC43" s="28">
        <v>70</v>
      </c>
      <c r="AD43" s="28">
        <v>70</v>
      </c>
      <c r="AE43" s="28">
        <v>90</v>
      </c>
      <c r="AF43" s="28">
        <v>100</v>
      </c>
      <c r="AG43" s="28">
        <v>80</v>
      </c>
      <c r="AH43" s="28">
        <v>80</v>
      </c>
      <c r="AI43" s="28">
        <v>80</v>
      </c>
      <c r="AJ43" s="28">
        <v>80</v>
      </c>
      <c r="AK43" s="29">
        <f t="shared" si="12"/>
        <v>81.1111111111111</v>
      </c>
      <c r="AL43" s="30">
        <f t="shared" si="21"/>
        <v>0.81111111111111101</v>
      </c>
      <c r="AM43" s="31">
        <f t="shared" si="22"/>
        <v>85.955555555555506</v>
      </c>
      <c r="AN43" s="17"/>
    </row>
    <row r="44" spans="1:40">
      <c r="A44" s="25" t="s">
        <v>94</v>
      </c>
      <c r="B44" s="26" t="s">
        <v>95</v>
      </c>
      <c r="C44" s="22">
        <v>8</v>
      </c>
      <c r="D44" s="22">
        <v>8</v>
      </c>
      <c r="E44" s="22">
        <v>10</v>
      </c>
      <c r="F44" s="22">
        <v>9</v>
      </c>
      <c r="G44" s="22">
        <v>9</v>
      </c>
      <c r="H44" s="22">
        <v>8</v>
      </c>
      <c r="I44" s="22">
        <v>9</v>
      </c>
      <c r="J44" s="22">
        <v>9</v>
      </c>
      <c r="K44" s="22">
        <v>8</v>
      </c>
      <c r="L44" s="22">
        <v>8</v>
      </c>
      <c r="M44" s="22">
        <f t="shared" si="8"/>
        <v>34</v>
      </c>
      <c r="N44" s="22">
        <f t="shared" si="9"/>
        <v>89</v>
      </c>
      <c r="O44" s="27">
        <f t="shared" si="20"/>
        <v>0.89</v>
      </c>
      <c r="P44" s="28">
        <v>100</v>
      </c>
      <c r="Q44" s="28">
        <v>100</v>
      </c>
      <c r="R44" s="28">
        <v>100</v>
      </c>
      <c r="S44" s="28">
        <v>90</v>
      </c>
      <c r="T44" s="28">
        <v>100</v>
      </c>
      <c r="U44" s="28">
        <v>100</v>
      </c>
      <c r="V44" s="28">
        <v>100</v>
      </c>
      <c r="W44" s="28">
        <v>100</v>
      </c>
      <c r="X44" s="28">
        <v>100</v>
      </c>
      <c r="Y44" s="28">
        <v>80</v>
      </c>
      <c r="Z44" s="22">
        <f t="shared" si="10"/>
        <v>97</v>
      </c>
      <c r="AA44" s="27">
        <f t="shared" si="19"/>
        <v>0.97</v>
      </c>
      <c r="AB44" s="28">
        <v>70</v>
      </c>
      <c r="AC44" s="28">
        <v>80</v>
      </c>
      <c r="AD44" s="28">
        <v>70</v>
      </c>
      <c r="AE44" s="28">
        <v>90</v>
      </c>
      <c r="AF44" s="28">
        <v>100</v>
      </c>
      <c r="AG44" s="28">
        <v>90</v>
      </c>
      <c r="AH44" s="28">
        <v>80</v>
      </c>
      <c r="AI44" s="28">
        <v>80</v>
      </c>
      <c r="AJ44" s="28">
        <v>80</v>
      </c>
      <c r="AK44" s="29">
        <f t="shared" si="12"/>
        <v>82.2222222222222</v>
      </c>
      <c r="AL44" s="30">
        <f t="shared" si="21"/>
        <v>0.82222222222222197</v>
      </c>
      <c r="AM44" s="31">
        <f t="shared" si="22"/>
        <v>88.011111111111106</v>
      </c>
      <c r="AN44" s="17"/>
    </row>
    <row r="45" spans="1:40">
      <c r="A45" s="25" t="s">
        <v>96</v>
      </c>
      <c r="B45" s="26" t="s">
        <v>97</v>
      </c>
      <c r="C45" s="22">
        <v>8</v>
      </c>
      <c r="D45" s="22">
        <v>0</v>
      </c>
      <c r="E45" s="22">
        <v>9</v>
      </c>
      <c r="F45" s="22">
        <v>9</v>
      </c>
      <c r="G45" s="22">
        <v>0</v>
      </c>
      <c r="H45" s="22">
        <v>8</v>
      </c>
      <c r="I45" s="22">
        <v>0</v>
      </c>
      <c r="J45" s="22">
        <v>9</v>
      </c>
      <c r="K45" s="22">
        <v>0</v>
      </c>
      <c r="L45" s="22">
        <v>0</v>
      </c>
      <c r="M45" s="22">
        <f t="shared" ref="M45:M53" si="23">SUM(I45:L45)</f>
        <v>9</v>
      </c>
      <c r="N45" s="22">
        <f t="shared" ref="N45:N53" si="24">M45+55</f>
        <v>64</v>
      </c>
      <c r="O45" s="27">
        <f>N45/100</f>
        <v>0.64</v>
      </c>
      <c r="P45" s="28">
        <v>100</v>
      </c>
      <c r="Q45" s="28">
        <v>100</v>
      </c>
      <c r="R45" s="28">
        <v>100</v>
      </c>
      <c r="S45" s="28">
        <v>90</v>
      </c>
      <c r="T45" s="28">
        <v>100</v>
      </c>
      <c r="U45" s="28">
        <v>100</v>
      </c>
      <c r="V45" s="28">
        <v>100</v>
      </c>
      <c r="W45" s="28">
        <v>100</v>
      </c>
      <c r="X45" s="28">
        <v>100</v>
      </c>
      <c r="Y45" s="28">
        <v>100</v>
      </c>
      <c r="Z45" s="22">
        <f t="shared" ref="Z45:Z53" si="25">AVERAGE(P45:Y45)</f>
        <v>99</v>
      </c>
      <c r="AA45" s="27">
        <f>Z45*0.01</f>
        <v>0.99</v>
      </c>
      <c r="AB45" s="28">
        <v>80</v>
      </c>
      <c r="AC45" s="28">
        <v>80</v>
      </c>
      <c r="AD45" s="28">
        <v>70</v>
      </c>
      <c r="AE45" s="28">
        <v>90</v>
      </c>
      <c r="AF45" s="28">
        <v>100</v>
      </c>
      <c r="AG45" s="28">
        <v>100</v>
      </c>
      <c r="AH45" s="28">
        <v>90</v>
      </c>
      <c r="AI45" s="28">
        <v>80</v>
      </c>
      <c r="AJ45" s="28">
        <v>70</v>
      </c>
      <c r="AK45" s="29">
        <f t="shared" ref="AK45:AK53" si="26">AVERAGE(AB45:AJ45)</f>
        <v>84.4444444444444</v>
      </c>
      <c r="AL45" s="30">
        <f t="shared" ref="AL45:AL53" si="27">AK45*0.01</f>
        <v>0.844444444444444</v>
      </c>
      <c r="AM45" s="31">
        <f t="shared" ref="AM45:AM53" si="28">N45*0.2+Z45*0.3+AK45*0.5</f>
        <v>84.7222222222222</v>
      </c>
      <c r="AN45" s="17"/>
    </row>
    <row r="46" spans="1:40">
      <c r="A46" s="25" t="s">
        <v>98</v>
      </c>
      <c r="B46" s="26" t="s">
        <v>99</v>
      </c>
      <c r="C46" s="22">
        <v>8</v>
      </c>
      <c r="D46" s="22">
        <v>8</v>
      </c>
      <c r="E46" s="22">
        <v>9</v>
      </c>
      <c r="F46" s="22">
        <v>9</v>
      </c>
      <c r="G46" s="22">
        <v>0</v>
      </c>
      <c r="H46" s="22">
        <v>8</v>
      </c>
      <c r="I46" s="22">
        <v>0</v>
      </c>
      <c r="J46" s="22">
        <v>9</v>
      </c>
      <c r="K46" s="22">
        <v>0</v>
      </c>
      <c r="L46" s="22">
        <v>8</v>
      </c>
      <c r="M46" s="22">
        <f t="shared" si="23"/>
        <v>17</v>
      </c>
      <c r="N46" s="22">
        <f t="shared" si="24"/>
        <v>72</v>
      </c>
      <c r="O46" s="27">
        <f>N46/100</f>
        <v>0.72</v>
      </c>
      <c r="P46" s="28">
        <v>100</v>
      </c>
      <c r="Q46" s="28">
        <v>100</v>
      </c>
      <c r="R46" s="28">
        <v>100</v>
      </c>
      <c r="S46" s="28">
        <v>80</v>
      </c>
      <c r="T46" s="28">
        <v>80</v>
      </c>
      <c r="U46" s="28">
        <v>80</v>
      </c>
      <c r="V46" s="28">
        <v>90</v>
      </c>
      <c r="W46" s="28">
        <v>100</v>
      </c>
      <c r="X46" s="28">
        <v>100</v>
      </c>
      <c r="Y46" s="28">
        <v>80</v>
      </c>
      <c r="Z46" s="22">
        <f t="shared" si="25"/>
        <v>91</v>
      </c>
      <c r="AA46" s="27">
        <f>Z46*0.01</f>
        <v>0.91</v>
      </c>
      <c r="AB46" s="28">
        <v>80</v>
      </c>
      <c r="AC46" s="28">
        <v>70</v>
      </c>
      <c r="AD46" s="28">
        <v>70</v>
      </c>
      <c r="AE46" s="28">
        <v>90</v>
      </c>
      <c r="AF46" s="28">
        <v>100</v>
      </c>
      <c r="AG46" s="28">
        <v>70</v>
      </c>
      <c r="AH46" s="28">
        <v>80</v>
      </c>
      <c r="AI46" s="28">
        <v>70</v>
      </c>
      <c r="AJ46" s="28">
        <v>70</v>
      </c>
      <c r="AK46" s="29">
        <f t="shared" si="26"/>
        <v>77.7777777777778</v>
      </c>
      <c r="AL46" s="30">
        <f t="shared" si="27"/>
        <v>0.77777777777777801</v>
      </c>
      <c r="AM46" s="31">
        <f t="shared" si="28"/>
        <v>80.588888888888903</v>
      </c>
      <c r="AN46" s="17"/>
    </row>
    <row r="47" spans="1:40">
      <c r="A47" s="25" t="s">
        <v>100</v>
      </c>
      <c r="B47" s="26" t="s">
        <v>101</v>
      </c>
      <c r="C47" s="22">
        <v>0</v>
      </c>
      <c r="D47" s="22">
        <v>8</v>
      </c>
      <c r="E47" s="22">
        <v>10</v>
      </c>
      <c r="F47" s="22">
        <v>9</v>
      </c>
      <c r="G47" s="22">
        <v>0</v>
      </c>
      <c r="H47" s="22">
        <v>8</v>
      </c>
      <c r="I47" s="22">
        <v>0</v>
      </c>
      <c r="J47" s="22">
        <v>9</v>
      </c>
      <c r="K47" s="22">
        <v>0</v>
      </c>
      <c r="L47" s="22">
        <v>0</v>
      </c>
      <c r="M47" s="22">
        <f t="shared" si="23"/>
        <v>9</v>
      </c>
      <c r="N47" s="22">
        <f t="shared" si="24"/>
        <v>64</v>
      </c>
      <c r="O47" s="27">
        <f t="shared" ref="O47:O53" si="29">N47/100</f>
        <v>0.64</v>
      </c>
      <c r="P47" s="28">
        <v>100</v>
      </c>
      <c r="Q47" s="28">
        <v>80</v>
      </c>
      <c r="R47" s="28">
        <v>100</v>
      </c>
      <c r="S47" s="28">
        <v>0</v>
      </c>
      <c r="T47" s="28">
        <v>80</v>
      </c>
      <c r="U47" s="28">
        <v>80</v>
      </c>
      <c r="V47" s="28">
        <v>80</v>
      </c>
      <c r="W47" s="28">
        <v>100</v>
      </c>
      <c r="X47" s="28">
        <v>100</v>
      </c>
      <c r="Y47" s="28">
        <v>100</v>
      </c>
      <c r="Z47" s="22">
        <f t="shared" si="25"/>
        <v>82</v>
      </c>
      <c r="AA47" s="27">
        <f t="shared" ref="AA47:AA53" si="30">Z47*0.01</f>
        <v>0.82</v>
      </c>
      <c r="AB47" s="28">
        <v>80</v>
      </c>
      <c r="AC47" s="28">
        <v>70</v>
      </c>
      <c r="AD47" s="28">
        <v>90</v>
      </c>
      <c r="AE47" s="28">
        <v>90</v>
      </c>
      <c r="AF47" s="28">
        <v>90</v>
      </c>
      <c r="AG47" s="28">
        <v>80</v>
      </c>
      <c r="AH47" s="28">
        <v>70</v>
      </c>
      <c r="AI47" s="28">
        <v>80</v>
      </c>
      <c r="AJ47" s="28">
        <v>70</v>
      </c>
      <c r="AK47" s="29">
        <f t="shared" si="26"/>
        <v>80</v>
      </c>
      <c r="AL47" s="30">
        <f t="shared" si="27"/>
        <v>0.8</v>
      </c>
      <c r="AM47" s="31">
        <f t="shared" si="28"/>
        <v>77.400000000000006</v>
      </c>
      <c r="AN47" s="17"/>
    </row>
    <row r="48" spans="1:40">
      <c r="A48" s="25" t="s">
        <v>102</v>
      </c>
      <c r="B48" s="26" t="s">
        <v>103</v>
      </c>
      <c r="C48" s="22">
        <v>7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f t="shared" si="23"/>
        <v>0</v>
      </c>
      <c r="N48" s="22">
        <f t="shared" si="24"/>
        <v>55</v>
      </c>
      <c r="O48" s="27">
        <f t="shared" si="29"/>
        <v>0.55000000000000004</v>
      </c>
      <c r="P48" s="28">
        <v>100</v>
      </c>
      <c r="Q48" s="28">
        <v>80</v>
      </c>
      <c r="R48" s="28">
        <v>100</v>
      </c>
      <c r="S48" s="28">
        <v>80</v>
      </c>
      <c r="T48" s="28">
        <v>100</v>
      </c>
      <c r="U48" s="28">
        <v>100</v>
      </c>
      <c r="V48" s="28">
        <v>100</v>
      </c>
      <c r="W48" s="28">
        <v>100</v>
      </c>
      <c r="X48" s="28">
        <v>0</v>
      </c>
      <c r="Y48" s="28">
        <v>0</v>
      </c>
      <c r="Z48" s="22">
        <f t="shared" si="25"/>
        <v>76</v>
      </c>
      <c r="AA48" s="27">
        <f t="shared" si="30"/>
        <v>0.76</v>
      </c>
      <c r="AB48" s="28">
        <v>80</v>
      </c>
      <c r="AC48" s="28">
        <v>70</v>
      </c>
      <c r="AD48" s="28">
        <v>90</v>
      </c>
      <c r="AE48" s="28">
        <v>90</v>
      </c>
      <c r="AF48" s="28">
        <v>90</v>
      </c>
      <c r="AG48" s="28">
        <v>80</v>
      </c>
      <c r="AH48" s="28">
        <v>90</v>
      </c>
      <c r="AI48" s="28">
        <v>60</v>
      </c>
      <c r="AJ48" s="28">
        <v>80</v>
      </c>
      <c r="AK48" s="29">
        <f t="shared" si="26"/>
        <v>81.1111111111111</v>
      </c>
      <c r="AL48" s="30">
        <f t="shared" si="27"/>
        <v>0.81111111111111101</v>
      </c>
      <c r="AM48" s="31">
        <f t="shared" si="28"/>
        <v>74.355555555555597</v>
      </c>
      <c r="AN48" s="17"/>
    </row>
    <row r="49" spans="1:40">
      <c r="A49" s="25" t="s">
        <v>104</v>
      </c>
      <c r="B49" s="26" t="s">
        <v>105</v>
      </c>
      <c r="C49" s="22">
        <v>8</v>
      </c>
      <c r="D49" s="22">
        <v>8</v>
      </c>
      <c r="E49" s="22">
        <v>0</v>
      </c>
      <c r="F49" s="22">
        <v>9</v>
      </c>
      <c r="G49" s="22">
        <v>9</v>
      </c>
      <c r="H49" s="22">
        <v>0</v>
      </c>
      <c r="I49" s="22">
        <v>9</v>
      </c>
      <c r="J49" s="22">
        <v>9</v>
      </c>
      <c r="K49" s="22">
        <v>0</v>
      </c>
      <c r="L49" s="22">
        <v>8</v>
      </c>
      <c r="M49" s="22">
        <f t="shared" si="23"/>
        <v>26</v>
      </c>
      <c r="N49" s="22">
        <f t="shared" si="24"/>
        <v>81</v>
      </c>
      <c r="O49" s="27">
        <f t="shared" si="29"/>
        <v>0.81</v>
      </c>
      <c r="P49" s="28">
        <v>100</v>
      </c>
      <c r="Q49" s="28">
        <v>100</v>
      </c>
      <c r="R49" s="28">
        <v>100</v>
      </c>
      <c r="S49" s="28">
        <v>80</v>
      </c>
      <c r="T49" s="28">
        <v>90</v>
      </c>
      <c r="U49" s="28">
        <v>90</v>
      </c>
      <c r="V49" s="28">
        <v>90</v>
      </c>
      <c r="W49" s="28">
        <v>100</v>
      </c>
      <c r="X49" s="28">
        <v>100</v>
      </c>
      <c r="Y49" s="28">
        <v>90</v>
      </c>
      <c r="Z49" s="22">
        <f t="shared" si="25"/>
        <v>94</v>
      </c>
      <c r="AA49" s="27">
        <f t="shared" si="30"/>
        <v>0.94</v>
      </c>
      <c r="AB49" s="28">
        <v>80</v>
      </c>
      <c r="AC49" s="28">
        <v>60</v>
      </c>
      <c r="AD49" s="28">
        <v>70</v>
      </c>
      <c r="AE49" s="28">
        <v>90</v>
      </c>
      <c r="AF49" s="28">
        <v>90</v>
      </c>
      <c r="AG49" s="28">
        <v>90</v>
      </c>
      <c r="AH49" s="28">
        <v>80</v>
      </c>
      <c r="AI49" s="28">
        <v>80</v>
      </c>
      <c r="AJ49" s="28">
        <v>0</v>
      </c>
      <c r="AK49" s="29">
        <f t="shared" si="26"/>
        <v>71.1111111111111</v>
      </c>
      <c r="AL49" s="30">
        <f t="shared" si="27"/>
        <v>0.71111111111111103</v>
      </c>
      <c r="AM49" s="31">
        <f t="shared" si="28"/>
        <v>79.955555555555506</v>
      </c>
      <c r="AN49" s="17"/>
    </row>
    <row r="50" spans="1:40">
      <c r="A50" s="25" t="s">
        <v>106</v>
      </c>
      <c r="B50" s="26" t="s">
        <v>107</v>
      </c>
      <c r="C50" s="22">
        <v>8</v>
      </c>
      <c r="D50" s="22">
        <v>8</v>
      </c>
      <c r="E50" s="22">
        <v>10</v>
      </c>
      <c r="F50" s="22">
        <v>9</v>
      </c>
      <c r="G50" s="22">
        <v>9</v>
      </c>
      <c r="H50" s="22">
        <v>0</v>
      </c>
      <c r="I50" s="22">
        <v>9</v>
      </c>
      <c r="J50" s="22">
        <v>9</v>
      </c>
      <c r="K50" s="22">
        <v>0</v>
      </c>
      <c r="L50" s="22">
        <v>8</v>
      </c>
      <c r="M50" s="22">
        <f t="shared" si="23"/>
        <v>26</v>
      </c>
      <c r="N50" s="22">
        <f t="shared" si="24"/>
        <v>81</v>
      </c>
      <c r="O50" s="27">
        <f t="shared" si="29"/>
        <v>0.81</v>
      </c>
      <c r="P50" s="28">
        <v>100</v>
      </c>
      <c r="Q50" s="28">
        <v>80</v>
      </c>
      <c r="R50" s="28">
        <v>100</v>
      </c>
      <c r="S50" s="28">
        <v>80</v>
      </c>
      <c r="T50" s="28">
        <v>100</v>
      </c>
      <c r="U50" s="28">
        <v>100</v>
      </c>
      <c r="V50" s="28">
        <v>100</v>
      </c>
      <c r="W50" s="28">
        <v>100</v>
      </c>
      <c r="X50" s="28">
        <v>100</v>
      </c>
      <c r="Y50" s="28">
        <v>100</v>
      </c>
      <c r="Z50" s="22">
        <f t="shared" si="25"/>
        <v>96</v>
      </c>
      <c r="AA50" s="27">
        <f t="shared" si="30"/>
        <v>0.96</v>
      </c>
      <c r="AB50" s="28">
        <v>80</v>
      </c>
      <c r="AC50" s="28">
        <v>70</v>
      </c>
      <c r="AD50" s="28">
        <v>70</v>
      </c>
      <c r="AE50" s="28">
        <v>90</v>
      </c>
      <c r="AF50" s="28">
        <v>100</v>
      </c>
      <c r="AG50" s="28">
        <v>90</v>
      </c>
      <c r="AH50" s="28">
        <v>80</v>
      </c>
      <c r="AI50" s="28">
        <v>80</v>
      </c>
      <c r="AJ50" s="28">
        <v>70</v>
      </c>
      <c r="AK50" s="29">
        <f t="shared" si="26"/>
        <v>81.1111111111111</v>
      </c>
      <c r="AL50" s="30">
        <f t="shared" si="27"/>
        <v>0.81111111111111101</v>
      </c>
      <c r="AM50" s="31">
        <f t="shared" si="28"/>
        <v>85.5555555555556</v>
      </c>
      <c r="AN50" s="17"/>
    </row>
    <row r="51" spans="1:40">
      <c r="A51" s="25" t="s">
        <v>108</v>
      </c>
      <c r="B51" s="26" t="s">
        <v>109</v>
      </c>
      <c r="C51" s="22">
        <v>8</v>
      </c>
      <c r="D51" s="22">
        <v>8</v>
      </c>
      <c r="E51" s="22">
        <v>9</v>
      </c>
      <c r="F51" s="22">
        <v>9</v>
      </c>
      <c r="G51" s="22">
        <v>9</v>
      </c>
      <c r="H51" s="22">
        <v>8</v>
      </c>
      <c r="I51" s="22">
        <v>9</v>
      </c>
      <c r="J51" s="22">
        <v>0</v>
      </c>
      <c r="K51" s="22">
        <v>0</v>
      </c>
      <c r="L51" s="22">
        <v>8</v>
      </c>
      <c r="M51" s="22">
        <f t="shared" si="23"/>
        <v>17</v>
      </c>
      <c r="N51" s="22">
        <f t="shared" si="24"/>
        <v>72</v>
      </c>
      <c r="O51" s="27">
        <f t="shared" si="29"/>
        <v>0.72</v>
      </c>
      <c r="P51" s="28">
        <v>80</v>
      </c>
      <c r="Q51" s="28">
        <v>100</v>
      </c>
      <c r="R51" s="28">
        <v>100</v>
      </c>
      <c r="S51" s="28">
        <v>100</v>
      </c>
      <c r="T51" s="28">
        <v>100</v>
      </c>
      <c r="U51" s="28">
        <v>100</v>
      </c>
      <c r="V51" s="28">
        <v>100</v>
      </c>
      <c r="W51" s="28">
        <v>0</v>
      </c>
      <c r="X51" s="28">
        <v>0</v>
      </c>
      <c r="Y51" s="28">
        <v>100</v>
      </c>
      <c r="Z51" s="22">
        <f t="shared" si="25"/>
        <v>78</v>
      </c>
      <c r="AA51" s="27">
        <f t="shared" si="30"/>
        <v>0.78</v>
      </c>
      <c r="AB51" s="28">
        <v>80</v>
      </c>
      <c r="AC51" s="28">
        <v>0</v>
      </c>
      <c r="AD51" s="28">
        <v>60</v>
      </c>
      <c r="AE51" s="28">
        <v>0</v>
      </c>
      <c r="AF51" s="28">
        <v>100</v>
      </c>
      <c r="AG51" s="28">
        <v>80</v>
      </c>
      <c r="AH51" s="28">
        <v>70</v>
      </c>
      <c r="AI51" s="28">
        <v>80</v>
      </c>
      <c r="AJ51" s="28">
        <v>80</v>
      </c>
      <c r="AK51" s="29">
        <f t="shared" si="26"/>
        <v>61.1111111111111</v>
      </c>
      <c r="AL51" s="30">
        <f t="shared" si="27"/>
        <v>0.61111111111111105</v>
      </c>
      <c r="AM51" s="31">
        <f t="shared" si="28"/>
        <v>68.355555555555597</v>
      </c>
      <c r="AN51" s="17"/>
    </row>
    <row r="52" spans="1:40">
      <c r="A52" s="25" t="s">
        <v>110</v>
      </c>
      <c r="B52" s="26" t="s">
        <v>111</v>
      </c>
      <c r="C52" s="22">
        <v>8</v>
      </c>
      <c r="D52" s="22">
        <v>8</v>
      </c>
      <c r="E52" s="22">
        <v>9</v>
      </c>
      <c r="F52" s="22">
        <v>0</v>
      </c>
      <c r="G52" s="22">
        <v>9</v>
      </c>
      <c r="H52" s="22">
        <v>8</v>
      </c>
      <c r="I52" s="22">
        <v>9</v>
      </c>
      <c r="J52" s="22">
        <v>9</v>
      </c>
      <c r="K52" s="22">
        <v>8</v>
      </c>
      <c r="L52" s="22">
        <v>8</v>
      </c>
      <c r="M52" s="22">
        <f t="shared" si="23"/>
        <v>34</v>
      </c>
      <c r="N52" s="22">
        <f t="shared" si="24"/>
        <v>89</v>
      </c>
      <c r="O52" s="27">
        <f t="shared" si="29"/>
        <v>0.89</v>
      </c>
      <c r="P52" s="28">
        <v>100</v>
      </c>
      <c r="Q52" s="28">
        <v>100</v>
      </c>
      <c r="R52" s="28">
        <v>100</v>
      </c>
      <c r="S52" s="28">
        <v>80</v>
      </c>
      <c r="T52" s="28">
        <v>100</v>
      </c>
      <c r="U52" s="28">
        <v>100</v>
      </c>
      <c r="V52" s="28">
        <v>100</v>
      </c>
      <c r="W52" s="28">
        <v>100</v>
      </c>
      <c r="X52" s="28">
        <v>100</v>
      </c>
      <c r="Y52" s="28">
        <v>100</v>
      </c>
      <c r="Z52" s="22">
        <f t="shared" si="25"/>
        <v>98</v>
      </c>
      <c r="AA52" s="27">
        <f t="shared" si="30"/>
        <v>0.98</v>
      </c>
      <c r="AB52" s="28">
        <v>70</v>
      </c>
      <c r="AC52" s="28">
        <v>70</v>
      </c>
      <c r="AD52" s="28">
        <v>60</v>
      </c>
      <c r="AE52" s="28">
        <v>90</v>
      </c>
      <c r="AF52" s="28">
        <v>80</v>
      </c>
      <c r="AG52" s="28">
        <v>80</v>
      </c>
      <c r="AH52" s="28">
        <v>80</v>
      </c>
      <c r="AI52" s="28">
        <v>90</v>
      </c>
      <c r="AJ52" s="28">
        <v>70</v>
      </c>
      <c r="AK52" s="29">
        <f t="shared" si="26"/>
        <v>76.6666666666667</v>
      </c>
      <c r="AL52" s="30">
        <f t="shared" si="27"/>
        <v>0.76666666666666705</v>
      </c>
      <c r="AM52" s="31">
        <f t="shared" si="28"/>
        <v>85.533333333333303</v>
      </c>
      <c r="AN52" s="17"/>
    </row>
    <row r="53" spans="1:40">
      <c r="A53" s="25" t="s">
        <v>112</v>
      </c>
      <c r="B53" s="26" t="s">
        <v>113</v>
      </c>
      <c r="C53" s="22">
        <v>8</v>
      </c>
      <c r="D53" s="22">
        <v>8</v>
      </c>
      <c r="E53" s="22">
        <v>0</v>
      </c>
      <c r="F53" s="22">
        <v>9</v>
      </c>
      <c r="G53" s="22">
        <v>0</v>
      </c>
      <c r="H53" s="22">
        <v>10</v>
      </c>
      <c r="I53" s="22">
        <v>9</v>
      </c>
      <c r="J53" s="22">
        <v>9</v>
      </c>
      <c r="K53" s="22">
        <v>0</v>
      </c>
      <c r="L53" s="22">
        <v>8</v>
      </c>
      <c r="M53" s="22">
        <f t="shared" si="23"/>
        <v>26</v>
      </c>
      <c r="N53" s="22">
        <f t="shared" si="24"/>
        <v>81</v>
      </c>
      <c r="O53" s="27">
        <f t="shared" si="29"/>
        <v>0.81</v>
      </c>
      <c r="P53" s="28">
        <v>100</v>
      </c>
      <c r="Q53" s="28">
        <v>100</v>
      </c>
      <c r="R53" s="28">
        <v>80</v>
      </c>
      <c r="S53" s="28">
        <v>90</v>
      </c>
      <c r="T53" s="28">
        <v>100</v>
      </c>
      <c r="U53" s="28">
        <v>100</v>
      </c>
      <c r="V53" s="28">
        <v>90</v>
      </c>
      <c r="W53" s="28">
        <v>100</v>
      </c>
      <c r="X53" s="28">
        <v>0</v>
      </c>
      <c r="Y53" s="28">
        <v>100</v>
      </c>
      <c r="Z53" s="22">
        <f t="shared" si="25"/>
        <v>86</v>
      </c>
      <c r="AA53" s="27">
        <f t="shared" si="30"/>
        <v>0.86</v>
      </c>
      <c r="AB53" s="28">
        <v>70</v>
      </c>
      <c r="AC53" s="28">
        <v>80</v>
      </c>
      <c r="AD53" s="28">
        <v>70</v>
      </c>
      <c r="AE53" s="28">
        <v>90</v>
      </c>
      <c r="AF53" s="28">
        <v>90</v>
      </c>
      <c r="AG53" s="28">
        <v>80</v>
      </c>
      <c r="AH53" s="28">
        <v>80</v>
      </c>
      <c r="AI53" s="28">
        <v>80</v>
      </c>
      <c r="AJ53" s="28">
        <v>80</v>
      </c>
      <c r="AK53" s="29">
        <f t="shared" si="26"/>
        <v>80</v>
      </c>
      <c r="AL53" s="30">
        <f t="shared" si="27"/>
        <v>0.8</v>
      </c>
      <c r="AM53" s="31">
        <f t="shared" si="28"/>
        <v>82</v>
      </c>
      <c r="AN53" s="17"/>
    </row>
    <row r="54" spans="1:40" ht="15" customHeight="1">
      <c r="A54" s="70" t="s">
        <v>114</v>
      </c>
      <c r="B54" s="70"/>
      <c r="C54" s="32">
        <f>AVERAGE(C6:C53)</f>
        <v>6.8958333333333304</v>
      </c>
      <c r="D54" s="32">
        <f t="shared" ref="D54:AF54" si="31">AVERAGE(D6:D53)</f>
        <v>6</v>
      </c>
      <c r="E54" s="32">
        <f t="shared" si="31"/>
        <v>7.7708333333333304</v>
      </c>
      <c r="F54" s="32">
        <f t="shared" si="31"/>
        <v>7.4680851063829801</v>
      </c>
      <c r="G54" s="32">
        <f t="shared" si="31"/>
        <v>5.4375</v>
      </c>
      <c r="H54" s="32">
        <f t="shared" si="31"/>
        <v>6.0416666666666696</v>
      </c>
      <c r="I54" s="32">
        <f t="shared" si="31"/>
        <v>6.9375</v>
      </c>
      <c r="J54" s="32">
        <f t="shared" si="31"/>
        <v>7.6875</v>
      </c>
      <c r="K54" s="32">
        <f t="shared" si="31"/>
        <v>4.3333333333333304</v>
      </c>
      <c r="L54" s="32">
        <f t="shared" si="31"/>
        <v>4.8333333333333304</v>
      </c>
      <c r="M54" s="32">
        <f t="shared" si="31"/>
        <v>23.7916666666667</v>
      </c>
      <c r="N54" s="32">
        <f t="shared" si="31"/>
        <v>78.7916666666667</v>
      </c>
      <c r="O54" s="33">
        <f t="shared" si="31"/>
        <v>0.78791666666666704</v>
      </c>
      <c r="P54" s="32">
        <f t="shared" si="31"/>
        <v>95.4166666666667</v>
      </c>
      <c r="Q54" s="32">
        <f t="shared" si="31"/>
        <v>92.0833333333333</v>
      </c>
      <c r="R54" s="32">
        <f t="shared" si="31"/>
        <v>96.6666666666667</v>
      </c>
      <c r="S54" s="32">
        <f t="shared" si="31"/>
        <v>80.8333333333333</v>
      </c>
      <c r="T54" s="32">
        <f t="shared" si="31"/>
        <v>95</v>
      </c>
      <c r="U54" s="32">
        <f t="shared" si="31"/>
        <v>95</v>
      </c>
      <c r="V54" s="32">
        <f t="shared" si="31"/>
        <v>86.0416666666667</v>
      </c>
      <c r="W54" s="32">
        <f t="shared" si="31"/>
        <v>90.4166666666667</v>
      </c>
      <c r="X54" s="32">
        <f t="shared" si="31"/>
        <v>90.8333333333333</v>
      </c>
      <c r="Y54" s="32">
        <f t="shared" si="31"/>
        <v>86.875</v>
      </c>
      <c r="Z54" s="32">
        <f t="shared" si="31"/>
        <v>90.9166666666667</v>
      </c>
      <c r="AA54" s="34">
        <f t="shared" si="31"/>
        <v>0.90916666666666601</v>
      </c>
      <c r="AB54" s="32">
        <f t="shared" si="31"/>
        <v>70.625</v>
      </c>
      <c r="AC54" s="32">
        <f t="shared" si="31"/>
        <v>74.375</v>
      </c>
      <c r="AD54" s="32">
        <f t="shared" si="31"/>
        <v>71.875</v>
      </c>
      <c r="AE54" s="32">
        <f t="shared" si="31"/>
        <v>88.3333333333333</v>
      </c>
      <c r="AF54" s="32">
        <f t="shared" si="31"/>
        <v>94.1666666666667</v>
      </c>
      <c r="AG54" s="32">
        <f t="shared" ref="AG54:AL54" si="32">AVERAGE(AG6:AG53)</f>
        <v>86.25</v>
      </c>
      <c r="AH54" s="32">
        <f t="shared" si="32"/>
        <v>80.2083333333333</v>
      </c>
      <c r="AI54" s="32">
        <f t="shared" si="32"/>
        <v>81.4583333333333</v>
      </c>
      <c r="AJ54" s="32">
        <f t="shared" si="32"/>
        <v>59.375</v>
      </c>
      <c r="AK54" s="32">
        <f t="shared" si="32"/>
        <v>78.518518518518505</v>
      </c>
      <c r="AL54" s="34">
        <f t="shared" si="32"/>
        <v>0.78518518518518499</v>
      </c>
      <c r="AM54" s="35">
        <f>AVERAGE(AM6:AM53)</f>
        <v>82.292592592592598</v>
      </c>
    </row>
    <row r="55" spans="1:40">
      <c r="A55" s="70" t="s">
        <v>115</v>
      </c>
      <c r="B55" s="70"/>
      <c r="C55" s="32"/>
      <c r="D55" s="34"/>
      <c r="E55" s="34"/>
      <c r="F55" s="34"/>
      <c r="G55" s="34"/>
      <c r="H55" s="34"/>
      <c r="I55" s="34"/>
      <c r="J55" s="36"/>
      <c r="K55" s="36"/>
      <c r="L55" s="36"/>
      <c r="M55" s="36"/>
      <c r="N55" s="36"/>
      <c r="O55" s="37">
        <f>O54</f>
        <v>0.78791666666666704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8">
        <f>AA54</f>
        <v>0.90916666666666601</v>
      </c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8">
        <f>AL54</f>
        <v>0.78518518518518499</v>
      </c>
      <c r="AM55" s="39">
        <f>AM54/100</f>
        <v>0.82292592592592595</v>
      </c>
    </row>
    <row r="56" spans="1:40"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</sheetData>
  <mergeCells count="15">
    <mergeCell ref="A54:B54"/>
    <mergeCell ref="A55:B55"/>
    <mergeCell ref="A4:A5"/>
    <mergeCell ref="B4:B5"/>
    <mergeCell ref="A1:AM1"/>
    <mergeCell ref="A2:B2"/>
    <mergeCell ref="C2:AL2"/>
    <mergeCell ref="A3:B3"/>
    <mergeCell ref="C3:O3"/>
    <mergeCell ref="P3:AA3"/>
    <mergeCell ref="AB3:AL3"/>
    <mergeCell ref="AM3:AM4"/>
    <mergeCell ref="C4:O4"/>
    <mergeCell ref="P4:AA4"/>
    <mergeCell ref="AB4:AL4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6"/>
  <sheetViews>
    <sheetView topLeftCell="A2" workbookViewId="0">
      <selection activeCell="C3" sqref="C3:F3"/>
    </sheetView>
  </sheetViews>
  <sheetFormatPr defaultColWidth="8.796875" defaultRowHeight="15.6"/>
  <cols>
    <col min="1" max="1" width="16.796875" customWidth="1"/>
    <col min="2" max="2" width="12.59765625" customWidth="1"/>
    <col min="16" max="17" width="8.59765625" customWidth="1"/>
    <col min="18" max="18" width="7.5" customWidth="1"/>
  </cols>
  <sheetData>
    <row r="1" spans="1:18" ht="43.05" hidden="1" customHeight="1">
      <c r="A1" s="94" t="s">
        <v>166</v>
      </c>
      <c r="B1" s="94"/>
      <c r="C1" s="94"/>
      <c r="D1" s="94"/>
      <c r="E1" s="94"/>
      <c r="F1" s="94"/>
      <c r="G1" s="94"/>
      <c r="H1" s="94"/>
      <c r="I1" s="94"/>
      <c r="J1" s="94"/>
      <c r="K1" s="6"/>
      <c r="L1" s="6"/>
      <c r="M1" s="6"/>
      <c r="N1" s="6"/>
      <c r="O1" s="6"/>
      <c r="P1" s="6"/>
      <c r="Q1" s="6"/>
      <c r="R1" s="6"/>
    </row>
    <row r="2" spans="1:18" ht="17.399999999999999">
      <c r="A2" s="7" t="s">
        <v>130</v>
      </c>
      <c r="B2" s="7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8">
      <c r="A3" s="93" t="s">
        <v>4</v>
      </c>
      <c r="B3" s="93"/>
      <c r="C3" s="90">
        <v>1</v>
      </c>
      <c r="D3" s="90"/>
      <c r="E3" s="90"/>
      <c r="F3" s="90"/>
      <c r="G3" s="90">
        <v>2</v>
      </c>
      <c r="H3" s="90"/>
      <c r="I3" s="90"/>
      <c r="J3" s="90"/>
      <c r="K3" s="90">
        <v>3</v>
      </c>
      <c r="L3" s="90"/>
      <c r="M3" s="90"/>
      <c r="N3" s="90"/>
      <c r="O3" s="90">
        <v>4</v>
      </c>
      <c r="P3" s="90"/>
      <c r="Q3" s="90"/>
      <c r="R3" s="90"/>
    </row>
    <row r="4" spans="1:18">
      <c r="A4" s="93" t="s">
        <v>167</v>
      </c>
      <c r="B4" s="93"/>
      <c r="C4" s="90">
        <v>1.4</v>
      </c>
      <c r="D4" s="90"/>
      <c r="E4" s="90"/>
      <c r="F4" s="90"/>
      <c r="G4" s="90">
        <v>3.2</v>
      </c>
      <c r="H4" s="90"/>
      <c r="I4" s="90"/>
      <c r="J4" s="90"/>
      <c r="K4" s="90">
        <v>4.2</v>
      </c>
      <c r="L4" s="90"/>
      <c r="M4" s="90"/>
      <c r="N4" s="90"/>
      <c r="O4" s="90">
        <v>5.0999999999999996</v>
      </c>
      <c r="P4" s="90"/>
      <c r="Q4" s="90"/>
      <c r="R4" s="90"/>
    </row>
    <row r="5" spans="1:18">
      <c r="A5" s="93" t="s">
        <v>168</v>
      </c>
      <c r="B5" s="93"/>
      <c r="C5" s="8">
        <v>0.2</v>
      </c>
      <c r="D5" s="8">
        <v>0.3</v>
      </c>
      <c r="E5" s="8">
        <v>0.5</v>
      </c>
      <c r="F5" s="8">
        <v>1</v>
      </c>
      <c r="G5" s="8">
        <v>0.2</v>
      </c>
      <c r="H5" s="8">
        <v>0.3</v>
      </c>
      <c r="I5" s="8">
        <v>0.5</v>
      </c>
      <c r="J5" s="8">
        <v>1</v>
      </c>
      <c r="K5" s="8">
        <v>0.2</v>
      </c>
      <c r="L5" s="8">
        <v>0.3</v>
      </c>
      <c r="M5" s="8">
        <v>0.5</v>
      </c>
      <c r="N5" s="8">
        <v>1</v>
      </c>
      <c r="O5" s="8">
        <v>0.2</v>
      </c>
      <c r="P5" s="8">
        <v>0.3</v>
      </c>
      <c r="Q5" s="8">
        <v>0.5</v>
      </c>
      <c r="R5" s="8">
        <v>1</v>
      </c>
    </row>
    <row r="6" spans="1:18" ht="23.1" customHeight="1">
      <c r="A6" s="9" t="s">
        <v>7</v>
      </c>
      <c r="B6" s="9" t="s">
        <v>169</v>
      </c>
      <c r="C6" s="10" t="s">
        <v>170</v>
      </c>
      <c r="D6" s="10" t="s">
        <v>171</v>
      </c>
      <c r="E6" s="10" t="s">
        <v>172</v>
      </c>
      <c r="F6" s="11" t="s">
        <v>115</v>
      </c>
      <c r="G6" s="10" t="s">
        <v>170</v>
      </c>
      <c r="H6" s="10" t="s">
        <v>171</v>
      </c>
      <c r="I6" s="10" t="s">
        <v>172</v>
      </c>
      <c r="J6" s="11" t="s">
        <v>115</v>
      </c>
      <c r="K6" s="10" t="s">
        <v>170</v>
      </c>
      <c r="L6" s="10" t="s">
        <v>171</v>
      </c>
      <c r="M6" s="10" t="s">
        <v>172</v>
      </c>
      <c r="N6" s="11" t="s">
        <v>115</v>
      </c>
      <c r="O6" s="10" t="s">
        <v>170</v>
      </c>
      <c r="P6" s="10" t="s">
        <v>171</v>
      </c>
      <c r="Q6" s="10" t="s">
        <v>172</v>
      </c>
      <c r="R6" s="11" t="s">
        <v>115</v>
      </c>
    </row>
    <row r="7" spans="1:18">
      <c r="A7" s="12" t="s">
        <v>18</v>
      </c>
      <c r="B7" s="13" t="s">
        <v>19</v>
      </c>
      <c r="C7" s="14">
        <v>0.64</v>
      </c>
      <c r="D7" s="14">
        <v>0.8</v>
      </c>
      <c r="E7" s="14">
        <v>0.76</v>
      </c>
      <c r="F7" s="1">
        <f>(C7*$C$5+D7*$D$5+E7*$E$5)</f>
        <v>0.748</v>
      </c>
      <c r="G7" s="1">
        <v>0.7</v>
      </c>
      <c r="H7" s="14">
        <v>0.9</v>
      </c>
      <c r="I7" s="1">
        <v>0.71</v>
      </c>
      <c r="J7" s="1">
        <f>(G7*$G$5+H7*$H$5+I7*$I$5)</f>
        <v>0.76500000000000001</v>
      </c>
      <c r="K7" s="1">
        <v>0</v>
      </c>
      <c r="L7" s="1">
        <v>0.7</v>
      </c>
      <c r="M7" s="14">
        <v>0.72</v>
      </c>
      <c r="N7" s="1">
        <f>(K7*$K$5+L7*$L$5+M7*$M$5)</f>
        <v>0.56999999999999995</v>
      </c>
      <c r="O7" s="1">
        <v>0.73333333333333295</v>
      </c>
      <c r="P7" s="14">
        <v>0.7</v>
      </c>
      <c r="Q7" s="14">
        <v>0.68</v>
      </c>
      <c r="R7" s="1">
        <f>(O7*$O$5+P7*$P$5+Q7*$Q$5)</f>
        <v>0.69666666666666699</v>
      </c>
    </row>
    <row r="8" spans="1:18">
      <c r="A8" s="12" t="s">
        <v>20</v>
      </c>
      <c r="B8" s="13" t="s">
        <v>21</v>
      </c>
      <c r="C8" s="14">
        <v>0.81</v>
      </c>
      <c r="D8" s="14">
        <v>0.9</v>
      </c>
      <c r="E8" s="14">
        <v>0.76</v>
      </c>
      <c r="F8" s="1">
        <f t="shared" ref="F8:F13" si="0">(C8*$C$5+D8*$D$5+E8*$E$5)</f>
        <v>0.81200000000000006</v>
      </c>
      <c r="G8" s="1">
        <v>0.99</v>
      </c>
      <c r="H8" s="14">
        <v>0.9</v>
      </c>
      <c r="I8" s="1">
        <v>0.7</v>
      </c>
      <c r="J8" s="1">
        <f t="shared" ref="J8:J14" si="1">(G8*$G$5+H8*$H$5+I8*$I$5)</f>
        <v>0.81799999999999995</v>
      </c>
      <c r="K8" s="1">
        <v>0</v>
      </c>
      <c r="L8" s="1">
        <v>0.75</v>
      </c>
      <c r="M8" s="14">
        <v>0.5</v>
      </c>
      <c r="N8" s="1">
        <f t="shared" ref="N8:N14" si="2">(K8*$K$5+L8*$L$5+M8*$M$5)</f>
        <v>0.47499999999999998</v>
      </c>
      <c r="O8" s="1">
        <v>0.67777777777777803</v>
      </c>
      <c r="P8" s="14">
        <v>0.7</v>
      </c>
      <c r="Q8" s="14">
        <v>0.8</v>
      </c>
      <c r="R8" s="1">
        <f t="shared" ref="R8:R14" si="3">(O8*$O$5+P8*$P$5+Q8*$Q$5)</f>
        <v>0.74555555555555597</v>
      </c>
    </row>
    <row r="9" spans="1:18">
      <c r="A9" s="12" t="s">
        <v>22</v>
      </c>
      <c r="B9" s="13" t="s">
        <v>23</v>
      </c>
      <c r="C9" s="14">
        <v>0.89</v>
      </c>
      <c r="D9" s="14">
        <v>0.95</v>
      </c>
      <c r="E9" s="14">
        <v>0.62</v>
      </c>
      <c r="F9" s="1">
        <f t="shared" si="0"/>
        <v>0.77300000000000002</v>
      </c>
      <c r="G9" s="1">
        <v>0.96</v>
      </c>
      <c r="H9" s="14">
        <v>1</v>
      </c>
      <c r="I9" s="1">
        <v>0.5</v>
      </c>
      <c r="J9" s="1">
        <f t="shared" si="1"/>
        <v>0.74199999999999999</v>
      </c>
      <c r="K9" s="1">
        <v>0</v>
      </c>
      <c r="L9" s="1">
        <v>0.75</v>
      </c>
      <c r="M9" s="14">
        <v>0.5</v>
      </c>
      <c r="N9" s="1">
        <f t="shared" si="2"/>
        <v>0.47499999999999998</v>
      </c>
      <c r="O9" s="1">
        <v>0.81111111111111101</v>
      </c>
      <c r="P9" s="14">
        <v>0.7</v>
      </c>
      <c r="Q9" s="14">
        <v>0.6</v>
      </c>
      <c r="R9" s="1">
        <f t="shared" si="3"/>
        <v>0.67222222222222205</v>
      </c>
    </row>
    <row r="10" spans="1:18">
      <c r="A10" s="12" t="s">
        <v>24</v>
      </c>
      <c r="B10" s="13" t="s">
        <v>25</v>
      </c>
      <c r="C10" s="14">
        <v>0.89</v>
      </c>
      <c r="D10" s="14">
        <v>0.95</v>
      </c>
      <c r="E10" s="14">
        <v>0.92</v>
      </c>
      <c r="F10" s="1">
        <f t="shared" si="0"/>
        <v>0.92300000000000004</v>
      </c>
      <c r="G10" s="1">
        <v>1</v>
      </c>
      <c r="H10" s="14">
        <v>0.85</v>
      </c>
      <c r="I10" s="1">
        <v>0.91</v>
      </c>
      <c r="J10" s="1">
        <f t="shared" si="1"/>
        <v>0.91</v>
      </c>
      <c r="K10" s="1">
        <v>0</v>
      </c>
      <c r="L10" s="1">
        <v>0.85</v>
      </c>
      <c r="M10" s="14">
        <v>0.92</v>
      </c>
      <c r="N10" s="1">
        <f t="shared" si="2"/>
        <v>0.71499999999999997</v>
      </c>
      <c r="O10" s="1">
        <v>0.88888888888888895</v>
      </c>
      <c r="P10" s="14">
        <v>0.7</v>
      </c>
      <c r="Q10" s="14">
        <v>0.87</v>
      </c>
      <c r="R10" s="1">
        <f t="shared" si="3"/>
        <v>0.82277777777777805</v>
      </c>
    </row>
    <row r="11" spans="1:18">
      <c r="A11" s="12" t="s">
        <v>26</v>
      </c>
      <c r="B11" s="13" t="s">
        <v>27</v>
      </c>
      <c r="C11" s="14">
        <v>0.81</v>
      </c>
      <c r="D11" s="14">
        <v>0.8</v>
      </c>
      <c r="E11" s="14">
        <v>0.92</v>
      </c>
      <c r="F11" s="1">
        <f t="shared" si="0"/>
        <v>0.86199999999999999</v>
      </c>
      <c r="G11" s="1">
        <v>0.85</v>
      </c>
      <c r="H11" s="14">
        <v>0.75</v>
      </c>
      <c r="I11" s="1">
        <v>0.91</v>
      </c>
      <c r="J11" s="1">
        <f t="shared" si="1"/>
        <v>0.85</v>
      </c>
      <c r="K11" s="1">
        <v>0</v>
      </c>
      <c r="L11" s="1">
        <v>0.92500000000000004</v>
      </c>
      <c r="M11" s="14">
        <v>0.92</v>
      </c>
      <c r="N11" s="1">
        <f t="shared" si="2"/>
        <v>0.73750000000000004</v>
      </c>
      <c r="O11" s="1">
        <v>0.9</v>
      </c>
      <c r="P11" s="14">
        <v>0.6</v>
      </c>
      <c r="Q11" s="14">
        <v>0.93</v>
      </c>
      <c r="R11" s="1">
        <f t="shared" si="3"/>
        <v>0.82499999999999996</v>
      </c>
    </row>
    <row r="12" spans="1:18">
      <c r="A12" s="12" t="s">
        <v>28</v>
      </c>
      <c r="B12" s="13" t="s">
        <v>29</v>
      </c>
      <c r="C12" s="14">
        <v>0.89</v>
      </c>
      <c r="D12" s="14">
        <v>0.9</v>
      </c>
      <c r="E12" s="14">
        <v>0.78</v>
      </c>
      <c r="F12" s="1">
        <f t="shared" si="0"/>
        <v>0.83799999999999997</v>
      </c>
      <c r="G12" s="1">
        <v>0.99</v>
      </c>
      <c r="H12" s="14">
        <v>1</v>
      </c>
      <c r="I12" s="1">
        <v>0.78</v>
      </c>
      <c r="J12" s="1">
        <f t="shared" si="1"/>
        <v>0.88800000000000001</v>
      </c>
      <c r="K12" s="1">
        <v>0</v>
      </c>
      <c r="L12" s="1">
        <v>0.8</v>
      </c>
      <c r="M12" s="14">
        <v>0.86</v>
      </c>
      <c r="N12" s="1">
        <f t="shared" si="2"/>
        <v>0.67</v>
      </c>
      <c r="O12" s="1">
        <v>0.83333333333333304</v>
      </c>
      <c r="P12" s="14">
        <v>0.8</v>
      </c>
      <c r="Q12" s="14">
        <v>0.87</v>
      </c>
      <c r="R12" s="1">
        <f t="shared" si="3"/>
        <v>0.84166666666666701</v>
      </c>
    </row>
    <row r="13" spans="1:18">
      <c r="A13" s="12" t="s">
        <v>30</v>
      </c>
      <c r="B13" s="13" t="s">
        <v>31</v>
      </c>
      <c r="C13" s="14">
        <v>0.81</v>
      </c>
      <c r="D13" s="14">
        <v>0.95</v>
      </c>
      <c r="E13" s="14">
        <v>0.5</v>
      </c>
      <c r="F13" s="1">
        <f t="shared" si="0"/>
        <v>0.69699999999999995</v>
      </c>
      <c r="G13" s="1">
        <v>0.86</v>
      </c>
      <c r="H13" s="14">
        <v>0.9</v>
      </c>
      <c r="I13" s="1">
        <v>0.5</v>
      </c>
      <c r="J13" s="1">
        <f t="shared" si="1"/>
        <v>0.69199999999999995</v>
      </c>
      <c r="K13" s="1">
        <v>0</v>
      </c>
      <c r="L13" s="1">
        <v>0.75</v>
      </c>
      <c r="M13" s="14">
        <v>0.7</v>
      </c>
      <c r="N13" s="1">
        <f t="shared" si="2"/>
        <v>0.57499999999999996</v>
      </c>
      <c r="O13" s="1">
        <v>0.77777777777777801</v>
      </c>
      <c r="P13" s="14">
        <v>0.7</v>
      </c>
      <c r="Q13" s="14">
        <v>0.627</v>
      </c>
      <c r="R13" s="1">
        <f t="shared" si="3"/>
        <v>0.67905555555555597</v>
      </c>
    </row>
    <row r="14" spans="1:18">
      <c r="A14" s="12" t="s">
        <v>32</v>
      </c>
      <c r="B14" s="13" t="s">
        <v>33</v>
      </c>
      <c r="C14" s="14">
        <v>0.89</v>
      </c>
      <c r="D14" s="14">
        <v>0.9</v>
      </c>
      <c r="E14" s="14">
        <v>0.88</v>
      </c>
      <c r="F14" s="1">
        <f>(C14*$C$5+D14*$D$5+E14*$E$5)</f>
        <v>0.88800000000000001</v>
      </c>
      <c r="G14" s="1">
        <v>0.94</v>
      </c>
      <c r="H14" s="14">
        <v>0.92500000000000004</v>
      </c>
      <c r="I14" s="1">
        <v>0.8</v>
      </c>
      <c r="J14" s="1">
        <f t="shared" si="1"/>
        <v>0.86550000000000005</v>
      </c>
      <c r="K14" s="1">
        <v>0</v>
      </c>
      <c r="L14" s="1">
        <v>0.7</v>
      </c>
      <c r="M14" s="14">
        <v>0.9</v>
      </c>
      <c r="N14" s="1">
        <f t="shared" si="2"/>
        <v>0.66</v>
      </c>
      <c r="O14" s="1">
        <v>0.81111111111111101</v>
      </c>
      <c r="P14" s="14">
        <v>0.7</v>
      </c>
      <c r="Q14" s="14">
        <v>0.74</v>
      </c>
      <c r="R14" s="1">
        <f t="shared" si="3"/>
        <v>0.74222222222222201</v>
      </c>
    </row>
    <row r="15" spans="1:18">
      <c r="A15" s="12" t="s">
        <v>34</v>
      </c>
      <c r="B15" s="13" t="s">
        <v>35</v>
      </c>
      <c r="C15" s="14">
        <v>0.89</v>
      </c>
      <c r="D15" s="14">
        <v>0.9</v>
      </c>
      <c r="E15" s="14">
        <v>0.8</v>
      </c>
      <c r="F15" s="1">
        <f t="shared" ref="F15:F26" si="4">(C15*$C$5+D15*$D$5+E15*$E$5)</f>
        <v>0.84799999999999998</v>
      </c>
      <c r="G15" s="1">
        <v>0.97</v>
      </c>
      <c r="H15" s="14">
        <v>0.85</v>
      </c>
      <c r="I15" s="1">
        <v>0.7</v>
      </c>
      <c r="J15" s="1">
        <f>(G15*$G$5+H15*$H$5+I15*$I$5)</f>
        <v>0.79900000000000004</v>
      </c>
      <c r="K15" s="1">
        <v>0</v>
      </c>
      <c r="L15" s="1">
        <v>0.75</v>
      </c>
      <c r="M15" s="14">
        <v>0.72</v>
      </c>
      <c r="N15" s="1">
        <f>(K15*$K$5+L15*$L$5+M15*$M$5)</f>
        <v>0.58499999999999996</v>
      </c>
      <c r="O15" s="1">
        <v>0.78888888888888897</v>
      </c>
      <c r="P15" s="14">
        <v>0.7</v>
      </c>
      <c r="Q15" s="14">
        <v>0.78</v>
      </c>
      <c r="R15" s="1">
        <f>(O15*$O$5+P15*$P$5+Q15*$Q$5)</f>
        <v>0.75777777777777799</v>
      </c>
    </row>
    <row r="16" spans="1:18">
      <c r="A16" s="12" t="s">
        <v>36</v>
      </c>
      <c r="B16" s="13" t="s">
        <v>37</v>
      </c>
      <c r="C16" s="14">
        <v>0.81</v>
      </c>
      <c r="D16" s="14">
        <v>1</v>
      </c>
      <c r="E16" s="14">
        <v>0.94</v>
      </c>
      <c r="F16" s="1">
        <f t="shared" si="4"/>
        <v>0.93200000000000005</v>
      </c>
      <c r="G16" s="1">
        <v>0.94</v>
      </c>
      <c r="H16" s="14">
        <v>0.9</v>
      </c>
      <c r="I16" s="1">
        <v>0.92</v>
      </c>
      <c r="J16" s="1">
        <f>(G16*$G$5+H16*$H$5+I16*$I$5)</f>
        <v>0.91800000000000004</v>
      </c>
      <c r="K16" s="1">
        <v>0</v>
      </c>
      <c r="L16" s="1">
        <v>0.8</v>
      </c>
      <c r="M16" s="14">
        <v>0.94</v>
      </c>
      <c r="N16" s="1">
        <f>(K16*$K$5+L16*$L$5+M16*$M$5)</f>
        <v>0.71</v>
      </c>
      <c r="O16" s="1">
        <v>0.78888888888888897</v>
      </c>
      <c r="P16" s="14">
        <v>0.95</v>
      </c>
      <c r="Q16" s="14">
        <v>0.84699999999999998</v>
      </c>
      <c r="R16" s="1">
        <f>(O16*$O$5+P16*$P$5+Q16*$Q$5)</f>
        <v>0.86627777777777804</v>
      </c>
    </row>
    <row r="17" spans="1:18">
      <c r="A17" s="12" t="s">
        <v>38</v>
      </c>
      <c r="B17" s="13" t="s">
        <v>39</v>
      </c>
      <c r="C17" s="14">
        <v>0.89</v>
      </c>
      <c r="D17" s="14">
        <v>0.9</v>
      </c>
      <c r="E17" s="14">
        <v>0.9</v>
      </c>
      <c r="F17" s="1">
        <f t="shared" si="4"/>
        <v>0.89800000000000002</v>
      </c>
      <c r="G17" s="1">
        <v>1</v>
      </c>
      <c r="H17" s="14">
        <v>0.92500000000000004</v>
      </c>
      <c r="I17" s="1">
        <v>0.9</v>
      </c>
      <c r="J17" s="1">
        <f t="shared" ref="J17:J28" si="5">(G17*$G$5+H17*$H$5+I17*$I$5)</f>
        <v>0.92749999999999999</v>
      </c>
      <c r="K17" s="1">
        <v>0</v>
      </c>
      <c r="L17" s="1">
        <v>0.8</v>
      </c>
      <c r="M17" s="14">
        <v>0.94</v>
      </c>
      <c r="N17" s="1">
        <f t="shared" ref="N17:N26" si="6">(K17*$K$5+L17*$L$5+M17*$M$5)</f>
        <v>0.71</v>
      </c>
      <c r="O17" s="1">
        <v>0.85555555555555596</v>
      </c>
      <c r="P17" s="14">
        <v>0.7</v>
      </c>
      <c r="Q17" s="14">
        <v>0.9</v>
      </c>
      <c r="R17" s="1">
        <f t="shared" ref="R17:R27" si="7">(O17*$O$5+P17*$P$5+Q17*$Q$5)</f>
        <v>0.83111111111111102</v>
      </c>
    </row>
    <row r="18" spans="1:18">
      <c r="A18" s="12" t="s">
        <v>40</v>
      </c>
      <c r="B18" s="13" t="s">
        <v>41</v>
      </c>
      <c r="C18" s="14">
        <v>0.89</v>
      </c>
      <c r="D18" s="14">
        <v>0.95</v>
      </c>
      <c r="E18" s="14">
        <v>0.8</v>
      </c>
      <c r="F18" s="1">
        <f t="shared" si="4"/>
        <v>0.86299999999999999</v>
      </c>
      <c r="G18" s="1">
        <v>0.91</v>
      </c>
      <c r="H18" s="14">
        <v>0.85</v>
      </c>
      <c r="I18" s="1">
        <v>0.7</v>
      </c>
      <c r="J18" s="1">
        <f t="shared" si="5"/>
        <v>0.78700000000000003</v>
      </c>
      <c r="K18" s="1">
        <v>0</v>
      </c>
      <c r="L18" s="1">
        <v>0.75</v>
      </c>
      <c r="M18" s="14">
        <v>0.7</v>
      </c>
      <c r="N18" s="1">
        <f t="shared" si="6"/>
        <v>0.57499999999999996</v>
      </c>
      <c r="O18" s="1">
        <v>0.8</v>
      </c>
      <c r="P18" s="14">
        <v>0.7</v>
      </c>
      <c r="Q18" s="14">
        <v>0.83299999999999996</v>
      </c>
      <c r="R18" s="1">
        <f t="shared" si="7"/>
        <v>0.78649999999999998</v>
      </c>
    </row>
    <row r="19" spans="1:18">
      <c r="A19" s="12" t="s">
        <v>42</v>
      </c>
      <c r="B19" s="13" t="s">
        <v>43</v>
      </c>
      <c r="C19" s="14">
        <v>0.81</v>
      </c>
      <c r="D19" s="14">
        <v>1</v>
      </c>
      <c r="E19" s="14">
        <v>0.9</v>
      </c>
      <c r="F19" s="1">
        <f t="shared" si="4"/>
        <v>0.91200000000000003</v>
      </c>
      <c r="G19" s="1">
        <v>0.92</v>
      </c>
      <c r="H19" s="14">
        <v>0.9</v>
      </c>
      <c r="I19" s="1">
        <v>0.9</v>
      </c>
      <c r="J19" s="1">
        <f t="shared" si="5"/>
        <v>0.90400000000000003</v>
      </c>
      <c r="K19" s="1">
        <v>0</v>
      </c>
      <c r="L19" s="1">
        <v>0.75</v>
      </c>
      <c r="M19" s="14">
        <v>0.9</v>
      </c>
      <c r="N19" s="1">
        <f t="shared" si="6"/>
        <v>0.67500000000000004</v>
      </c>
      <c r="O19" s="1">
        <v>0.81111111111111101</v>
      </c>
      <c r="P19" s="14">
        <v>0.95</v>
      </c>
      <c r="Q19" s="14">
        <v>0.93</v>
      </c>
      <c r="R19" s="1">
        <f t="shared" si="7"/>
        <v>0.91222222222222205</v>
      </c>
    </row>
    <row r="20" spans="1:18">
      <c r="A20" s="12" t="s">
        <v>44</v>
      </c>
      <c r="B20" s="13" t="s">
        <v>45</v>
      </c>
      <c r="C20" s="14">
        <v>0.81</v>
      </c>
      <c r="D20" s="14">
        <v>0.95</v>
      </c>
      <c r="E20" s="14">
        <v>0.86</v>
      </c>
      <c r="F20" s="1">
        <f t="shared" si="4"/>
        <v>0.877</v>
      </c>
      <c r="G20" s="1">
        <v>0.99</v>
      </c>
      <c r="H20" s="14">
        <v>0.92500000000000004</v>
      </c>
      <c r="I20" s="1">
        <v>0.84</v>
      </c>
      <c r="J20" s="1">
        <f t="shared" si="5"/>
        <v>0.89549999999999996</v>
      </c>
      <c r="K20" s="1">
        <v>0</v>
      </c>
      <c r="L20" s="1">
        <v>0.85</v>
      </c>
      <c r="M20" s="14">
        <v>0.88</v>
      </c>
      <c r="N20" s="1">
        <f t="shared" si="6"/>
        <v>0.69499999999999995</v>
      </c>
      <c r="O20" s="1">
        <v>0.844444444444444</v>
      </c>
      <c r="P20" s="14">
        <v>0.7</v>
      </c>
      <c r="Q20" s="14">
        <v>0.8</v>
      </c>
      <c r="R20" s="1">
        <f t="shared" si="7"/>
        <v>0.77888888888888896</v>
      </c>
    </row>
    <row r="21" spans="1:18">
      <c r="A21" s="12" t="s">
        <v>46</v>
      </c>
      <c r="B21" s="13" t="s">
        <v>47</v>
      </c>
      <c r="C21" s="14">
        <v>0.81</v>
      </c>
      <c r="D21" s="14">
        <v>0.9</v>
      </c>
      <c r="E21" s="14">
        <v>0.8</v>
      </c>
      <c r="F21" s="1">
        <f t="shared" si="4"/>
        <v>0.83199999999999996</v>
      </c>
      <c r="G21" s="1">
        <v>0.94</v>
      </c>
      <c r="H21" s="14">
        <v>0.85</v>
      </c>
      <c r="I21" s="1">
        <v>0.76</v>
      </c>
      <c r="J21" s="1">
        <f t="shared" si="5"/>
        <v>0.82299999999999995</v>
      </c>
      <c r="K21" s="1">
        <v>0</v>
      </c>
      <c r="L21" s="1">
        <v>0.75</v>
      </c>
      <c r="M21" s="14">
        <v>0.8</v>
      </c>
      <c r="N21" s="1">
        <f t="shared" si="6"/>
        <v>0.625</v>
      </c>
      <c r="O21" s="1">
        <v>0.86666666666666703</v>
      </c>
      <c r="P21" s="14">
        <v>0.7</v>
      </c>
      <c r="Q21" s="14">
        <v>0.82</v>
      </c>
      <c r="R21" s="1">
        <f t="shared" si="7"/>
        <v>0.793333333333333</v>
      </c>
    </row>
    <row r="22" spans="1:18">
      <c r="A22" s="12" t="s">
        <v>48</v>
      </c>
      <c r="B22" s="13" t="s">
        <v>49</v>
      </c>
      <c r="C22" s="14">
        <v>0.89</v>
      </c>
      <c r="D22" s="14">
        <v>0.9</v>
      </c>
      <c r="E22" s="14">
        <v>0.78</v>
      </c>
      <c r="F22" s="1">
        <f t="shared" si="4"/>
        <v>0.83799999999999997</v>
      </c>
      <c r="G22" s="1">
        <v>0.95</v>
      </c>
      <c r="H22" s="14">
        <v>1</v>
      </c>
      <c r="I22" s="1">
        <v>0.76</v>
      </c>
      <c r="J22" s="1">
        <f t="shared" si="5"/>
        <v>0.87</v>
      </c>
      <c r="K22" s="1">
        <v>0</v>
      </c>
      <c r="L22" s="1">
        <v>0.85</v>
      </c>
      <c r="M22" s="14">
        <v>0.8</v>
      </c>
      <c r="N22" s="1">
        <f t="shared" si="6"/>
        <v>0.65500000000000003</v>
      </c>
      <c r="O22" s="1">
        <v>0.85555555555555596</v>
      </c>
      <c r="P22" s="14">
        <v>0.7</v>
      </c>
      <c r="Q22" s="14">
        <v>0.84</v>
      </c>
      <c r="R22" s="1">
        <f t="shared" si="7"/>
        <v>0.801111111111111</v>
      </c>
    </row>
    <row r="23" spans="1:18">
      <c r="A23" s="12" t="s">
        <v>50</v>
      </c>
      <c r="B23" s="13" t="s">
        <v>51</v>
      </c>
      <c r="C23" s="14">
        <v>0.55000000000000004</v>
      </c>
      <c r="D23" s="14">
        <v>0</v>
      </c>
      <c r="E23" s="14">
        <v>0.8</v>
      </c>
      <c r="F23" s="1">
        <f t="shared" si="4"/>
        <v>0.51</v>
      </c>
      <c r="G23" s="1">
        <v>0</v>
      </c>
      <c r="H23" s="14">
        <v>0</v>
      </c>
      <c r="I23" s="1">
        <v>0.7</v>
      </c>
      <c r="J23" s="1">
        <f t="shared" si="5"/>
        <v>0.35</v>
      </c>
      <c r="K23" s="1">
        <v>0</v>
      </c>
      <c r="L23" s="1">
        <v>0</v>
      </c>
      <c r="M23" s="14">
        <v>0.8</v>
      </c>
      <c r="N23" s="1">
        <f t="shared" si="6"/>
        <v>0.4</v>
      </c>
      <c r="O23" s="1">
        <v>0.63333333333333297</v>
      </c>
      <c r="P23" s="14">
        <v>0</v>
      </c>
      <c r="Q23" s="14">
        <v>0.83299999999999996</v>
      </c>
      <c r="R23" s="1">
        <f t="shared" si="7"/>
        <v>0.54316666666666702</v>
      </c>
    </row>
    <row r="24" spans="1:18">
      <c r="A24" s="12" t="s">
        <v>52</v>
      </c>
      <c r="B24" s="13" t="s">
        <v>53</v>
      </c>
      <c r="C24" s="14">
        <v>0.89</v>
      </c>
      <c r="D24" s="14">
        <v>0.97499999999999998</v>
      </c>
      <c r="E24" s="14">
        <v>0.7</v>
      </c>
      <c r="F24" s="1">
        <f t="shared" si="4"/>
        <v>0.82050000000000001</v>
      </c>
      <c r="G24" s="1">
        <v>0.9</v>
      </c>
      <c r="H24" s="14">
        <v>0.9</v>
      </c>
      <c r="I24" s="1">
        <v>0.7</v>
      </c>
      <c r="J24" s="1">
        <f t="shared" si="5"/>
        <v>0.8</v>
      </c>
      <c r="K24" s="1">
        <v>0</v>
      </c>
      <c r="L24" s="1">
        <v>0.85</v>
      </c>
      <c r="M24" s="14">
        <v>0.68</v>
      </c>
      <c r="N24" s="1">
        <f t="shared" si="6"/>
        <v>0.59499999999999997</v>
      </c>
      <c r="O24" s="1">
        <v>0.75555555555555598</v>
      </c>
      <c r="P24" s="14">
        <v>0.7</v>
      </c>
      <c r="Q24" s="14">
        <v>0.74</v>
      </c>
      <c r="R24" s="1">
        <f t="shared" si="7"/>
        <v>0.73111111111111104</v>
      </c>
    </row>
    <row r="25" spans="1:18">
      <c r="A25" s="12" t="s">
        <v>54</v>
      </c>
      <c r="B25" s="13" t="s">
        <v>55</v>
      </c>
      <c r="C25" s="14">
        <v>0.72</v>
      </c>
      <c r="D25" s="14">
        <v>0.95</v>
      </c>
      <c r="E25" s="14">
        <v>0.9</v>
      </c>
      <c r="F25" s="1">
        <f t="shared" si="4"/>
        <v>0.879</v>
      </c>
      <c r="G25" s="1">
        <v>0.94</v>
      </c>
      <c r="H25" s="14">
        <v>0.9</v>
      </c>
      <c r="I25" s="1">
        <v>0.88</v>
      </c>
      <c r="J25" s="1">
        <f t="shared" si="5"/>
        <v>0.89800000000000002</v>
      </c>
      <c r="K25" s="1">
        <v>0</v>
      </c>
      <c r="L25" s="1">
        <v>0.35</v>
      </c>
      <c r="M25" s="14">
        <v>0.93</v>
      </c>
      <c r="N25" s="1">
        <f t="shared" si="6"/>
        <v>0.56999999999999995</v>
      </c>
      <c r="O25" s="1">
        <v>0.76666666666666705</v>
      </c>
      <c r="P25" s="14">
        <v>0.6</v>
      </c>
      <c r="Q25" s="14">
        <v>0.90700000000000003</v>
      </c>
      <c r="R25" s="1">
        <f t="shared" si="7"/>
        <v>0.78683333333333305</v>
      </c>
    </row>
    <row r="26" spans="1:18">
      <c r="A26" s="12" t="s">
        <v>56</v>
      </c>
      <c r="B26" s="13" t="s">
        <v>57</v>
      </c>
      <c r="C26" s="14">
        <v>0.55000000000000004</v>
      </c>
      <c r="D26" s="14">
        <v>0.9</v>
      </c>
      <c r="E26" s="14">
        <v>0.7</v>
      </c>
      <c r="F26" s="1">
        <f t="shared" si="4"/>
        <v>0.73</v>
      </c>
      <c r="G26" s="1">
        <v>0.9</v>
      </c>
      <c r="H26" s="14">
        <v>0.8</v>
      </c>
      <c r="I26" s="1">
        <v>0.7</v>
      </c>
      <c r="J26" s="1">
        <f t="shared" si="5"/>
        <v>0.77</v>
      </c>
      <c r="K26" s="1">
        <v>0</v>
      </c>
      <c r="L26" s="1">
        <v>0.65</v>
      </c>
      <c r="M26" s="14">
        <v>0.64</v>
      </c>
      <c r="N26" s="1">
        <f t="shared" si="6"/>
        <v>0.51500000000000001</v>
      </c>
      <c r="O26" s="1">
        <v>0.81111111111111101</v>
      </c>
      <c r="P26" s="14">
        <v>0.5</v>
      </c>
      <c r="Q26" s="14">
        <v>0.6</v>
      </c>
      <c r="R26" s="1">
        <f t="shared" si="7"/>
        <v>0.612222222222222</v>
      </c>
    </row>
    <row r="27" spans="1:18">
      <c r="A27" s="12" t="s">
        <v>58</v>
      </c>
      <c r="B27" s="13" t="s">
        <v>59</v>
      </c>
      <c r="C27" s="14">
        <v>0.89</v>
      </c>
      <c r="D27" s="14">
        <v>0.85</v>
      </c>
      <c r="E27" s="14">
        <v>0.9</v>
      </c>
      <c r="F27" s="1">
        <f t="shared" ref="F27:F38" si="8">(C27*$C$5+D27*$D$5+E27*$E$5)</f>
        <v>0.88300000000000001</v>
      </c>
      <c r="G27" s="1">
        <v>0.95</v>
      </c>
      <c r="H27" s="14">
        <v>0.9</v>
      </c>
      <c r="I27" s="1">
        <v>0.88</v>
      </c>
      <c r="J27" s="1">
        <f t="shared" si="5"/>
        <v>0.9</v>
      </c>
      <c r="K27" s="1">
        <v>0</v>
      </c>
      <c r="L27" s="1">
        <v>0.75</v>
      </c>
      <c r="M27" s="14">
        <v>0.92</v>
      </c>
      <c r="N27" s="1">
        <f t="shared" ref="N27:N38" si="9">(K27*$K$5+L27*$L$5+M27*$M$5)</f>
        <v>0.68500000000000005</v>
      </c>
      <c r="O27" s="1">
        <v>0.73333333333333295</v>
      </c>
      <c r="P27" s="14">
        <v>0.6</v>
      </c>
      <c r="Q27" s="14">
        <v>0.81</v>
      </c>
      <c r="R27" s="1">
        <f t="shared" si="7"/>
        <v>0.73166666666666702</v>
      </c>
    </row>
    <row r="28" spans="1:18">
      <c r="A28" s="12" t="s">
        <v>60</v>
      </c>
      <c r="B28" s="13" t="s">
        <v>61</v>
      </c>
      <c r="C28" s="14">
        <v>0.81</v>
      </c>
      <c r="D28" s="14">
        <v>0.85</v>
      </c>
      <c r="E28" s="14">
        <v>0.8</v>
      </c>
      <c r="F28" s="1">
        <f t="shared" si="8"/>
        <v>0.81699999999999995</v>
      </c>
      <c r="G28" s="1">
        <v>0.92</v>
      </c>
      <c r="H28" s="14">
        <v>0.95</v>
      </c>
      <c r="I28" s="1">
        <v>0.8</v>
      </c>
      <c r="J28" s="1">
        <f t="shared" si="5"/>
        <v>0.86899999999999999</v>
      </c>
      <c r="K28" s="1">
        <v>0</v>
      </c>
      <c r="L28" s="1">
        <v>0.7</v>
      </c>
      <c r="M28" s="14">
        <v>0.78</v>
      </c>
      <c r="N28" s="1">
        <f t="shared" si="9"/>
        <v>0.6</v>
      </c>
      <c r="O28" s="1">
        <v>0.83333333333333304</v>
      </c>
      <c r="P28" s="14">
        <v>0.7</v>
      </c>
      <c r="Q28" s="14">
        <v>0.72</v>
      </c>
      <c r="R28" s="1">
        <f t="shared" ref="R28:R38" si="10">(O28*$O$5+P28*$P$5+Q28*$Q$5)</f>
        <v>0.73666666666666702</v>
      </c>
    </row>
    <row r="29" spans="1:18">
      <c r="A29" s="12" t="s">
        <v>62</v>
      </c>
      <c r="B29" s="13" t="s">
        <v>63</v>
      </c>
      <c r="C29" s="14">
        <v>0.89</v>
      </c>
      <c r="D29" s="14">
        <v>1</v>
      </c>
      <c r="E29" s="14">
        <v>0.7</v>
      </c>
      <c r="F29" s="1">
        <f t="shared" si="8"/>
        <v>0.82799999999999996</v>
      </c>
      <c r="G29" s="1">
        <v>0.99</v>
      </c>
      <c r="H29" s="14">
        <v>0.97499999999999998</v>
      </c>
      <c r="I29" s="1">
        <v>0.7</v>
      </c>
      <c r="J29" s="1">
        <f t="shared" ref="J29:J40" si="11">(G29*$G$5+H29*$H$5+I29*$I$5)</f>
        <v>0.84050000000000002</v>
      </c>
      <c r="K29" s="1">
        <v>0</v>
      </c>
      <c r="L29" s="1">
        <v>0.75</v>
      </c>
      <c r="M29" s="14">
        <v>0.76</v>
      </c>
      <c r="N29" s="1">
        <f t="shared" si="9"/>
        <v>0.60499999999999998</v>
      </c>
      <c r="O29" s="1">
        <v>0.8</v>
      </c>
      <c r="P29" s="14">
        <v>0.8</v>
      </c>
      <c r="Q29" s="14">
        <v>0.8</v>
      </c>
      <c r="R29" s="1">
        <f t="shared" si="10"/>
        <v>0.8</v>
      </c>
    </row>
    <row r="30" spans="1:18">
      <c r="A30" s="12" t="s">
        <v>64</v>
      </c>
      <c r="B30" s="13" t="s">
        <v>65</v>
      </c>
      <c r="C30" s="14">
        <v>0.63</v>
      </c>
      <c r="D30" s="14">
        <v>0.9</v>
      </c>
      <c r="E30" s="14">
        <v>0.96</v>
      </c>
      <c r="F30" s="1">
        <f t="shared" si="8"/>
        <v>0.876</v>
      </c>
      <c r="G30" s="1">
        <v>0.94</v>
      </c>
      <c r="H30" s="14">
        <v>0.85</v>
      </c>
      <c r="I30" s="1">
        <v>0.94</v>
      </c>
      <c r="J30" s="1">
        <f t="shared" si="11"/>
        <v>0.91300000000000003</v>
      </c>
      <c r="K30" s="1">
        <v>0</v>
      </c>
      <c r="L30" s="1">
        <v>0.7</v>
      </c>
      <c r="M30" s="14">
        <v>0.98</v>
      </c>
      <c r="N30" s="1">
        <f t="shared" si="9"/>
        <v>0.7</v>
      </c>
      <c r="O30" s="1">
        <v>0.86666666666666703</v>
      </c>
      <c r="P30" s="14">
        <v>0.95</v>
      </c>
      <c r="Q30" s="14">
        <v>0.94699999999999995</v>
      </c>
      <c r="R30" s="1">
        <f t="shared" si="10"/>
        <v>0.93183333333333296</v>
      </c>
    </row>
    <row r="31" spans="1:18">
      <c r="A31" s="12" t="s">
        <v>66</v>
      </c>
      <c r="B31" s="13" t="s">
        <v>67</v>
      </c>
      <c r="C31" s="14">
        <v>0.81</v>
      </c>
      <c r="D31" s="14">
        <v>1</v>
      </c>
      <c r="E31" s="14">
        <v>0.67</v>
      </c>
      <c r="F31" s="1">
        <f t="shared" si="8"/>
        <v>0.79700000000000004</v>
      </c>
      <c r="G31" s="1">
        <v>0.97</v>
      </c>
      <c r="H31" s="14">
        <v>1</v>
      </c>
      <c r="I31" s="1">
        <v>0.62</v>
      </c>
      <c r="J31" s="1">
        <f t="shared" si="11"/>
        <v>0.80400000000000005</v>
      </c>
      <c r="K31" s="1">
        <v>0</v>
      </c>
      <c r="L31" s="1">
        <v>0.875</v>
      </c>
      <c r="M31" s="14">
        <v>0.62</v>
      </c>
      <c r="N31" s="1">
        <f t="shared" si="9"/>
        <v>0.57250000000000001</v>
      </c>
      <c r="O31" s="1">
        <v>0.83333333333333304</v>
      </c>
      <c r="P31" s="14">
        <v>0.8</v>
      </c>
      <c r="Q31" s="14">
        <v>0.82</v>
      </c>
      <c r="R31" s="1">
        <f t="shared" si="10"/>
        <v>0.81666666666666698</v>
      </c>
    </row>
    <row r="32" spans="1:18">
      <c r="A32" s="12" t="s">
        <v>68</v>
      </c>
      <c r="B32" s="13" t="s">
        <v>69</v>
      </c>
      <c r="C32" s="14">
        <v>0.89</v>
      </c>
      <c r="D32" s="14">
        <v>0.9</v>
      </c>
      <c r="E32" s="14">
        <v>0.82</v>
      </c>
      <c r="F32" s="1">
        <f t="shared" si="8"/>
        <v>0.85799999999999998</v>
      </c>
      <c r="G32" s="1">
        <v>0.99</v>
      </c>
      <c r="H32" s="14">
        <v>0.85</v>
      </c>
      <c r="I32" s="1">
        <v>0.8</v>
      </c>
      <c r="J32" s="1">
        <f t="shared" si="11"/>
        <v>0.85299999999999998</v>
      </c>
      <c r="K32" s="1">
        <v>0</v>
      </c>
      <c r="L32" s="1">
        <v>0.8</v>
      </c>
      <c r="M32" s="14">
        <v>0.82</v>
      </c>
      <c r="N32" s="1">
        <f t="shared" si="9"/>
        <v>0.65</v>
      </c>
      <c r="O32" s="1">
        <v>0.77777777777777801</v>
      </c>
      <c r="P32" s="14">
        <v>0.7</v>
      </c>
      <c r="Q32" s="14">
        <v>0.67</v>
      </c>
      <c r="R32" s="1">
        <f t="shared" si="10"/>
        <v>0.70055555555555604</v>
      </c>
    </row>
    <row r="33" spans="1:18">
      <c r="A33" s="12" t="s">
        <v>70</v>
      </c>
      <c r="B33" s="13" t="s">
        <v>71</v>
      </c>
      <c r="C33" s="14">
        <v>0.64</v>
      </c>
      <c r="D33" s="14">
        <v>0.8</v>
      </c>
      <c r="E33" s="14">
        <v>0.8</v>
      </c>
      <c r="F33" s="1">
        <f t="shared" si="8"/>
        <v>0.76800000000000002</v>
      </c>
      <c r="G33" s="1">
        <v>0.91</v>
      </c>
      <c r="H33" s="14">
        <v>0.8</v>
      </c>
      <c r="I33" s="1">
        <v>0.7</v>
      </c>
      <c r="J33" s="1">
        <f t="shared" si="11"/>
        <v>0.77200000000000002</v>
      </c>
      <c r="K33" s="1">
        <v>0</v>
      </c>
      <c r="L33" s="1">
        <v>0.7</v>
      </c>
      <c r="M33" s="14">
        <v>0.68</v>
      </c>
      <c r="N33" s="1">
        <f t="shared" si="9"/>
        <v>0.55000000000000004</v>
      </c>
      <c r="O33" s="1">
        <v>0.76666666666666705</v>
      </c>
      <c r="P33" s="14">
        <v>0.6</v>
      </c>
      <c r="Q33" s="14">
        <v>0.79300000000000004</v>
      </c>
      <c r="R33" s="1">
        <f t="shared" si="10"/>
        <v>0.729833333333333</v>
      </c>
    </row>
    <row r="34" spans="1:18">
      <c r="A34" s="12" t="s">
        <v>72</v>
      </c>
      <c r="B34" s="13" t="s">
        <v>73</v>
      </c>
      <c r="C34" s="14">
        <v>0.81</v>
      </c>
      <c r="D34" s="14">
        <v>0.75</v>
      </c>
      <c r="E34" s="14">
        <v>0.82</v>
      </c>
      <c r="F34" s="1">
        <f t="shared" si="8"/>
        <v>0.79700000000000004</v>
      </c>
      <c r="G34" s="1">
        <v>0.96</v>
      </c>
      <c r="H34" s="14">
        <v>0.9</v>
      </c>
      <c r="I34" s="1">
        <v>0.78</v>
      </c>
      <c r="J34" s="1">
        <f t="shared" si="11"/>
        <v>0.85199999999999998</v>
      </c>
      <c r="K34" s="1">
        <v>0</v>
      </c>
      <c r="L34" s="1">
        <v>0.8</v>
      </c>
      <c r="M34" s="14">
        <v>0.7</v>
      </c>
      <c r="N34" s="1">
        <f t="shared" si="9"/>
        <v>0.59</v>
      </c>
      <c r="O34" s="1">
        <v>0.7</v>
      </c>
      <c r="P34" s="14">
        <v>0.7</v>
      </c>
      <c r="Q34" s="14">
        <v>0.68</v>
      </c>
      <c r="R34" s="1">
        <f t="shared" si="10"/>
        <v>0.69</v>
      </c>
    </row>
    <row r="35" spans="1:18">
      <c r="A35" s="12" t="s">
        <v>74</v>
      </c>
      <c r="B35" s="13" t="s">
        <v>75</v>
      </c>
      <c r="C35" s="14">
        <v>0.73</v>
      </c>
      <c r="D35" s="14">
        <v>0.9</v>
      </c>
      <c r="E35" s="14">
        <v>0.8</v>
      </c>
      <c r="F35" s="1">
        <f t="shared" si="8"/>
        <v>0.81599999999999995</v>
      </c>
      <c r="G35" s="1">
        <v>0.88</v>
      </c>
      <c r="H35" s="14">
        <v>0.8</v>
      </c>
      <c r="I35" s="1">
        <v>0.78</v>
      </c>
      <c r="J35" s="1">
        <f t="shared" si="11"/>
        <v>0.80600000000000005</v>
      </c>
      <c r="K35" s="1">
        <v>0</v>
      </c>
      <c r="L35" s="1">
        <v>0.8</v>
      </c>
      <c r="M35" s="14">
        <v>0.78</v>
      </c>
      <c r="N35" s="1">
        <f t="shared" si="9"/>
        <v>0.63</v>
      </c>
      <c r="O35" s="1">
        <v>0.67777777777777803</v>
      </c>
      <c r="P35" s="14">
        <v>0.6</v>
      </c>
      <c r="Q35" s="14">
        <v>0.73</v>
      </c>
      <c r="R35" s="1">
        <f t="shared" si="10"/>
        <v>0.68055555555555602</v>
      </c>
    </row>
    <row r="36" spans="1:18">
      <c r="A36" s="12" t="s">
        <v>76</v>
      </c>
      <c r="B36" s="13" t="s">
        <v>77</v>
      </c>
      <c r="C36" s="14">
        <v>0.81</v>
      </c>
      <c r="D36" s="14">
        <v>0.85</v>
      </c>
      <c r="E36" s="14">
        <v>0.9</v>
      </c>
      <c r="F36" s="1">
        <f t="shared" si="8"/>
        <v>0.86699999999999999</v>
      </c>
      <c r="G36" s="1">
        <v>0.97</v>
      </c>
      <c r="H36" s="14">
        <v>0.9</v>
      </c>
      <c r="I36" s="1">
        <v>0.88</v>
      </c>
      <c r="J36" s="1">
        <f t="shared" si="11"/>
        <v>0.90400000000000003</v>
      </c>
      <c r="K36" s="1">
        <v>0</v>
      </c>
      <c r="L36" s="1">
        <v>0.85</v>
      </c>
      <c r="M36" s="14">
        <v>0.9</v>
      </c>
      <c r="N36" s="1">
        <f t="shared" si="9"/>
        <v>0.70499999999999996</v>
      </c>
      <c r="O36" s="1">
        <v>0.66666666666666696</v>
      </c>
      <c r="P36" s="14">
        <v>0.7</v>
      </c>
      <c r="Q36" s="14">
        <v>0.89700000000000002</v>
      </c>
      <c r="R36" s="1">
        <f t="shared" si="10"/>
        <v>0.79183333333333294</v>
      </c>
    </row>
    <row r="37" spans="1:18">
      <c r="A37" s="12" t="s">
        <v>78</v>
      </c>
      <c r="B37" s="13" t="s">
        <v>79</v>
      </c>
      <c r="C37" s="14">
        <v>0.8</v>
      </c>
      <c r="D37" s="14">
        <v>0.8</v>
      </c>
      <c r="E37" s="14">
        <v>0.66</v>
      </c>
      <c r="F37" s="1">
        <f t="shared" si="8"/>
        <v>0.73</v>
      </c>
      <c r="G37" s="1">
        <v>0.98</v>
      </c>
      <c r="H37" s="14">
        <v>0.9</v>
      </c>
      <c r="I37" s="1">
        <v>0.62</v>
      </c>
      <c r="J37" s="1">
        <f t="shared" si="11"/>
        <v>0.77600000000000002</v>
      </c>
      <c r="K37" s="1">
        <v>0</v>
      </c>
      <c r="L37" s="1">
        <v>0.8</v>
      </c>
      <c r="M37" s="14">
        <v>0.62</v>
      </c>
      <c r="N37" s="1">
        <f t="shared" si="9"/>
        <v>0.55000000000000004</v>
      </c>
      <c r="O37" s="1">
        <v>0.71111111111111103</v>
      </c>
      <c r="P37" s="14">
        <v>0.7</v>
      </c>
      <c r="Q37" s="14">
        <v>0.75</v>
      </c>
      <c r="R37" s="1">
        <f t="shared" si="10"/>
        <v>0.72722222222222199</v>
      </c>
    </row>
    <row r="38" spans="1:18">
      <c r="A38" s="12" t="s">
        <v>80</v>
      </c>
      <c r="B38" s="13" t="s">
        <v>81</v>
      </c>
      <c r="C38" s="14">
        <v>0.89</v>
      </c>
      <c r="D38" s="14">
        <v>1</v>
      </c>
      <c r="E38" s="14">
        <v>0.78</v>
      </c>
      <c r="F38" s="1">
        <f t="shared" si="8"/>
        <v>0.86799999999999999</v>
      </c>
      <c r="G38" s="1">
        <v>0.96</v>
      </c>
      <c r="H38" s="14">
        <v>0.85</v>
      </c>
      <c r="I38" s="1">
        <v>0.76</v>
      </c>
      <c r="J38" s="1">
        <f t="shared" si="11"/>
        <v>0.82699999999999996</v>
      </c>
      <c r="K38" s="1">
        <v>0</v>
      </c>
      <c r="L38" s="1">
        <v>0.8</v>
      </c>
      <c r="M38" s="14">
        <v>0.76</v>
      </c>
      <c r="N38" s="1">
        <f t="shared" si="9"/>
        <v>0.62</v>
      </c>
      <c r="O38" s="1">
        <v>0.81111111111111101</v>
      </c>
      <c r="P38" s="14">
        <v>0.7</v>
      </c>
      <c r="Q38" s="14">
        <v>0.73</v>
      </c>
      <c r="R38" s="1">
        <f t="shared" si="10"/>
        <v>0.737222222222222</v>
      </c>
    </row>
    <row r="39" spans="1:18">
      <c r="A39" s="12" t="s">
        <v>82</v>
      </c>
      <c r="B39" s="13" t="s">
        <v>83</v>
      </c>
      <c r="C39" s="14">
        <v>0.73</v>
      </c>
      <c r="D39" s="14">
        <v>1</v>
      </c>
      <c r="E39" s="14">
        <v>0.88</v>
      </c>
      <c r="F39" s="1">
        <f t="shared" ref="F39:F45" si="12">(C39*$C$5+D39*$D$5+E39*$E$5)</f>
        <v>0.88600000000000001</v>
      </c>
      <c r="G39" s="1">
        <v>0.9</v>
      </c>
      <c r="H39" s="14">
        <v>0.7</v>
      </c>
      <c r="I39" s="1">
        <v>0.86</v>
      </c>
      <c r="J39" s="1">
        <f t="shared" si="11"/>
        <v>0.82</v>
      </c>
      <c r="K39" s="1">
        <v>0</v>
      </c>
      <c r="L39" s="1">
        <v>0.7</v>
      </c>
      <c r="M39" s="14">
        <v>0.84</v>
      </c>
      <c r="N39" s="1">
        <f t="shared" ref="N39:N45" si="13">(K39*$K$5+L39*$L$5+M39*$M$5)</f>
        <v>0.63</v>
      </c>
      <c r="O39" s="1">
        <v>0.8</v>
      </c>
      <c r="P39" s="14">
        <v>0.7</v>
      </c>
      <c r="Q39" s="14">
        <v>0.87</v>
      </c>
      <c r="R39" s="1">
        <f t="shared" ref="R39:R45" si="14">(O39*$O$5+P39*$P$5+Q39*$Q$5)</f>
        <v>0.80500000000000005</v>
      </c>
    </row>
    <row r="40" spans="1:18">
      <c r="A40" s="12" t="s">
        <v>84</v>
      </c>
      <c r="B40" s="13" t="s">
        <v>85</v>
      </c>
      <c r="C40" s="14">
        <v>0.89</v>
      </c>
      <c r="D40" s="14">
        <v>0.8</v>
      </c>
      <c r="E40" s="14">
        <v>0.78</v>
      </c>
      <c r="F40" s="1">
        <f t="shared" si="12"/>
        <v>0.80800000000000005</v>
      </c>
      <c r="G40" s="1">
        <v>0.95</v>
      </c>
      <c r="H40" s="14">
        <v>0.9</v>
      </c>
      <c r="I40" s="1">
        <v>0.76</v>
      </c>
      <c r="J40" s="1">
        <f t="shared" si="11"/>
        <v>0.84</v>
      </c>
      <c r="K40" s="1">
        <v>0</v>
      </c>
      <c r="L40" s="1">
        <v>0.7</v>
      </c>
      <c r="M40" s="14">
        <v>0.82</v>
      </c>
      <c r="N40" s="1">
        <f t="shared" si="13"/>
        <v>0.62</v>
      </c>
      <c r="O40" s="1">
        <v>0.7</v>
      </c>
      <c r="P40" s="14">
        <v>0.7</v>
      </c>
      <c r="Q40" s="14">
        <v>0.88300000000000001</v>
      </c>
      <c r="R40" s="1">
        <f t="shared" si="14"/>
        <v>0.79149999999999998</v>
      </c>
    </row>
    <row r="41" spans="1:18">
      <c r="A41" s="12" t="s">
        <v>86</v>
      </c>
      <c r="B41" s="13" t="s">
        <v>87</v>
      </c>
      <c r="C41" s="14">
        <v>0.81</v>
      </c>
      <c r="D41" s="14">
        <v>0.95</v>
      </c>
      <c r="E41" s="14">
        <v>0.94</v>
      </c>
      <c r="F41" s="1">
        <f t="shared" si="12"/>
        <v>0.91700000000000004</v>
      </c>
      <c r="G41" s="1">
        <v>0.92</v>
      </c>
      <c r="H41" s="14">
        <v>0.8</v>
      </c>
      <c r="I41" s="1">
        <v>0.92</v>
      </c>
      <c r="J41" s="1">
        <f>(G41*$G$5+H41*$H$5+I41*$I$5)</f>
        <v>0.88400000000000001</v>
      </c>
      <c r="K41" s="1">
        <v>0</v>
      </c>
      <c r="L41" s="1">
        <v>0.75</v>
      </c>
      <c r="M41" s="14">
        <v>0.96</v>
      </c>
      <c r="N41" s="1">
        <f t="shared" si="13"/>
        <v>0.70499999999999996</v>
      </c>
      <c r="O41" s="1">
        <v>0.83333333333333304</v>
      </c>
      <c r="P41" s="14">
        <v>0.7</v>
      </c>
      <c r="Q41" s="14">
        <v>0.92</v>
      </c>
      <c r="R41" s="1">
        <f t="shared" si="14"/>
        <v>0.836666666666667</v>
      </c>
    </row>
    <row r="42" spans="1:18">
      <c r="A42" s="12" t="s">
        <v>88</v>
      </c>
      <c r="B42" s="13" t="s">
        <v>89</v>
      </c>
      <c r="C42" s="14">
        <v>0.64</v>
      </c>
      <c r="D42" s="14">
        <v>0.85</v>
      </c>
      <c r="E42" s="14">
        <v>0.78</v>
      </c>
      <c r="F42" s="1">
        <f t="shared" si="12"/>
        <v>0.77300000000000002</v>
      </c>
      <c r="G42" s="1">
        <v>0.91</v>
      </c>
      <c r="H42" s="14">
        <v>0.9</v>
      </c>
      <c r="I42" s="1">
        <v>0.76</v>
      </c>
      <c r="J42" s="1">
        <f>(G42*$G$5+H42*$H$5+I42*$I$5)</f>
        <v>0.83199999999999996</v>
      </c>
      <c r="K42" s="1">
        <v>0</v>
      </c>
      <c r="L42" s="1">
        <v>0.75</v>
      </c>
      <c r="M42" s="14">
        <v>0.74</v>
      </c>
      <c r="N42" s="1">
        <f t="shared" si="13"/>
        <v>0.59499999999999997</v>
      </c>
      <c r="O42" s="1">
        <v>0.8</v>
      </c>
      <c r="P42" s="14">
        <v>0.6</v>
      </c>
      <c r="Q42" s="14">
        <v>0.79300000000000004</v>
      </c>
      <c r="R42" s="1">
        <f t="shared" si="14"/>
        <v>0.73650000000000004</v>
      </c>
    </row>
    <row r="43" spans="1:18">
      <c r="A43" s="12" t="s">
        <v>90</v>
      </c>
      <c r="B43" s="13" t="s">
        <v>91</v>
      </c>
      <c r="C43" s="14">
        <v>0.73</v>
      </c>
      <c r="D43" s="14">
        <v>0.85</v>
      </c>
      <c r="E43" s="14">
        <v>0.92</v>
      </c>
      <c r="F43" s="1">
        <f t="shared" si="12"/>
        <v>0.86099999999999999</v>
      </c>
      <c r="G43" s="1">
        <v>0.94</v>
      </c>
      <c r="H43" s="14">
        <v>0.85</v>
      </c>
      <c r="I43" s="1">
        <v>0.9</v>
      </c>
      <c r="J43" s="1">
        <f>(G43*$G$5+H43*$H$5+I43*$I$5)</f>
        <v>0.89300000000000002</v>
      </c>
      <c r="K43" s="1">
        <v>0</v>
      </c>
      <c r="L43" s="1">
        <v>0.75</v>
      </c>
      <c r="M43" s="14">
        <v>0.88</v>
      </c>
      <c r="N43" s="1">
        <f t="shared" si="13"/>
        <v>0.66500000000000004</v>
      </c>
      <c r="O43" s="1">
        <v>0.8</v>
      </c>
      <c r="P43" s="14">
        <v>0.7</v>
      </c>
      <c r="Q43" s="14">
        <v>0.92</v>
      </c>
      <c r="R43" s="1">
        <f t="shared" si="14"/>
        <v>0.83</v>
      </c>
    </row>
    <row r="44" spans="1:18">
      <c r="A44" s="12" t="s">
        <v>92</v>
      </c>
      <c r="B44" s="13" t="s">
        <v>93</v>
      </c>
      <c r="C44" s="14">
        <v>0.8</v>
      </c>
      <c r="D44" s="14">
        <v>0.875</v>
      </c>
      <c r="E44" s="14">
        <v>0.8</v>
      </c>
      <c r="F44" s="1">
        <f t="shared" si="12"/>
        <v>0.82250000000000001</v>
      </c>
      <c r="G44" s="1">
        <v>0.98</v>
      </c>
      <c r="H44" s="14">
        <v>0.97499999999999998</v>
      </c>
      <c r="I44" s="1">
        <v>0.7</v>
      </c>
      <c r="J44" s="1">
        <f>(G44*$G$5+H44*$H$5+I44*$I$5)</f>
        <v>0.83850000000000002</v>
      </c>
      <c r="K44" s="1">
        <v>0</v>
      </c>
      <c r="L44" s="1">
        <v>0.8</v>
      </c>
      <c r="M44" s="14">
        <v>0.8</v>
      </c>
      <c r="N44" s="1">
        <f t="shared" si="13"/>
        <v>0.64</v>
      </c>
      <c r="O44" s="1">
        <v>0.81111111111111101</v>
      </c>
      <c r="P44" s="14">
        <v>0.7</v>
      </c>
      <c r="Q44" s="14">
        <v>0.5</v>
      </c>
      <c r="R44" s="1">
        <f t="shared" si="14"/>
        <v>0.62222222222222201</v>
      </c>
    </row>
    <row r="45" spans="1:18">
      <c r="A45" s="12" t="s">
        <v>94</v>
      </c>
      <c r="B45" s="13" t="s">
        <v>95</v>
      </c>
      <c r="C45" s="14">
        <v>0.89</v>
      </c>
      <c r="D45" s="14">
        <v>0.95</v>
      </c>
      <c r="E45" s="14">
        <v>0.78</v>
      </c>
      <c r="F45" s="1">
        <f t="shared" si="12"/>
        <v>0.85299999999999998</v>
      </c>
      <c r="G45" s="1">
        <v>0.97</v>
      </c>
      <c r="H45" s="14">
        <v>0.85</v>
      </c>
      <c r="I45" s="1">
        <v>0.76</v>
      </c>
      <c r="J45" s="1">
        <f>(G45*$G$5+H45*$H$5+I45*$I$5)</f>
        <v>0.82899999999999996</v>
      </c>
      <c r="K45" s="1">
        <v>0</v>
      </c>
      <c r="L45" s="1">
        <v>0.8</v>
      </c>
      <c r="M45" s="14">
        <v>0.8</v>
      </c>
      <c r="N45" s="1">
        <f t="shared" si="13"/>
        <v>0.64</v>
      </c>
      <c r="O45" s="1">
        <v>0.82222222222222197</v>
      </c>
      <c r="P45" s="14">
        <v>0.7</v>
      </c>
      <c r="Q45" s="14">
        <v>0.9</v>
      </c>
      <c r="R45" s="1">
        <f t="shared" si="14"/>
        <v>0.82444444444444498</v>
      </c>
    </row>
    <row r="46" spans="1:18">
      <c r="A46" s="12" t="s">
        <v>96</v>
      </c>
      <c r="B46" s="13" t="s">
        <v>97</v>
      </c>
      <c r="C46" s="14">
        <v>0.64</v>
      </c>
      <c r="D46" s="14">
        <v>0.9</v>
      </c>
      <c r="E46" s="14">
        <v>0.5</v>
      </c>
      <c r="F46" s="1">
        <f t="shared" ref="F46:F54" si="15">(C46*$C$5+D46*$D$5+E46*$E$5)</f>
        <v>0.64800000000000002</v>
      </c>
      <c r="G46" s="1">
        <v>0.99</v>
      </c>
      <c r="H46" s="14">
        <v>0.9</v>
      </c>
      <c r="I46" s="1">
        <v>0.5</v>
      </c>
      <c r="J46" s="1">
        <f t="shared" ref="J46:J51" si="16">(G46*$G$5+H46*$H$5+I46*$I$5)</f>
        <v>0.71799999999999997</v>
      </c>
      <c r="K46" s="1">
        <v>0</v>
      </c>
      <c r="L46" s="1">
        <v>0.85</v>
      </c>
      <c r="M46" s="14">
        <v>0.5</v>
      </c>
      <c r="N46" s="1">
        <f t="shared" ref="N46:N54" si="17">(K46*$K$5+L46*$L$5+M46*$M$5)</f>
        <v>0.505</v>
      </c>
      <c r="O46" s="1">
        <v>0.844444444444444</v>
      </c>
      <c r="P46" s="14">
        <v>0.8</v>
      </c>
      <c r="Q46" s="14">
        <v>0.6</v>
      </c>
      <c r="R46" s="1">
        <f t="shared" ref="R46:R54" si="18">(O46*$O$5+P46*$P$5+Q46*$Q$5)</f>
        <v>0.70888888888888901</v>
      </c>
    </row>
    <row r="47" spans="1:18">
      <c r="A47" s="12" t="s">
        <v>98</v>
      </c>
      <c r="B47" s="13" t="s">
        <v>99</v>
      </c>
      <c r="C47" s="14">
        <v>0.72</v>
      </c>
      <c r="D47" s="14">
        <v>0.97499999999999998</v>
      </c>
      <c r="E47" s="14">
        <v>0.86</v>
      </c>
      <c r="F47" s="1">
        <f t="shared" si="15"/>
        <v>0.86650000000000005</v>
      </c>
      <c r="G47" s="1">
        <v>0.91</v>
      </c>
      <c r="H47" s="14">
        <v>0.9</v>
      </c>
      <c r="I47" s="1">
        <v>0.82</v>
      </c>
      <c r="J47" s="1">
        <f t="shared" si="16"/>
        <v>0.86199999999999999</v>
      </c>
      <c r="K47" s="1">
        <v>0</v>
      </c>
      <c r="L47" s="1">
        <v>0.75</v>
      </c>
      <c r="M47" s="14">
        <v>0.8</v>
      </c>
      <c r="N47" s="1">
        <f t="shared" si="17"/>
        <v>0.625</v>
      </c>
      <c r="O47" s="1">
        <v>0.77777777777777801</v>
      </c>
      <c r="P47" s="14">
        <v>0.7</v>
      </c>
      <c r="Q47" s="14">
        <v>0.81</v>
      </c>
      <c r="R47" s="1">
        <f t="shared" si="18"/>
        <v>0.77055555555555599</v>
      </c>
    </row>
    <row r="48" spans="1:18">
      <c r="A48" s="12" t="s">
        <v>100</v>
      </c>
      <c r="B48" s="13" t="s">
        <v>101</v>
      </c>
      <c r="C48" s="14">
        <v>0.64</v>
      </c>
      <c r="D48" s="14">
        <v>0.85</v>
      </c>
      <c r="E48" s="14">
        <v>0.64</v>
      </c>
      <c r="F48" s="1">
        <f t="shared" si="15"/>
        <v>0.70299999999999996</v>
      </c>
      <c r="G48" s="1">
        <v>0.82</v>
      </c>
      <c r="H48" s="14">
        <v>0.8</v>
      </c>
      <c r="I48" s="1">
        <v>0.62</v>
      </c>
      <c r="J48" s="1">
        <f t="shared" si="16"/>
        <v>0.71399999999999997</v>
      </c>
      <c r="K48" s="1">
        <v>0</v>
      </c>
      <c r="L48" s="1">
        <v>0.7</v>
      </c>
      <c r="M48" s="14">
        <v>0.68</v>
      </c>
      <c r="N48" s="1">
        <f t="shared" si="17"/>
        <v>0.55000000000000004</v>
      </c>
      <c r="O48" s="1">
        <v>0.8</v>
      </c>
      <c r="P48" s="14">
        <v>0.6</v>
      </c>
      <c r="Q48" s="14">
        <v>0.67300000000000004</v>
      </c>
      <c r="R48" s="1">
        <f t="shared" si="18"/>
        <v>0.67649999999999999</v>
      </c>
    </row>
    <row r="49" spans="1:18">
      <c r="A49" s="12" t="s">
        <v>102</v>
      </c>
      <c r="B49" s="13" t="s">
        <v>103</v>
      </c>
      <c r="C49" s="14">
        <v>0.55000000000000004</v>
      </c>
      <c r="D49" s="14">
        <v>0.8</v>
      </c>
      <c r="E49" s="14">
        <v>0.8</v>
      </c>
      <c r="F49" s="1">
        <f t="shared" si="15"/>
        <v>0.75</v>
      </c>
      <c r="G49" s="1">
        <v>0.76</v>
      </c>
      <c r="H49" s="14">
        <v>1</v>
      </c>
      <c r="I49" s="1">
        <v>0.78</v>
      </c>
      <c r="J49" s="1">
        <f t="shared" si="16"/>
        <v>0.84199999999999997</v>
      </c>
      <c r="K49" s="1">
        <v>0</v>
      </c>
      <c r="L49" s="1">
        <v>0.75</v>
      </c>
      <c r="M49" s="14">
        <v>0.78</v>
      </c>
      <c r="N49" s="1">
        <f t="shared" si="17"/>
        <v>0.61499999999999999</v>
      </c>
      <c r="O49" s="1">
        <v>0.81111111111111101</v>
      </c>
      <c r="P49" s="14">
        <v>0</v>
      </c>
      <c r="Q49" s="14">
        <v>0.7</v>
      </c>
      <c r="R49" s="1">
        <f t="shared" si="18"/>
        <v>0.51222222222222202</v>
      </c>
    </row>
    <row r="50" spans="1:18">
      <c r="A50" s="12" t="s">
        <v>104</v>
      </c>
      <c r="B50" s="13" t="s">
        <v>105</v>
      </c>
      <c r="C50" s="14">
        <v>0.81</v>
      </c>
      <c r="D50" s="14">
        <v>0.9</v>
      </c>
      <c r="E50" s="14">
        <v>0.8</v>
      </c>
      <c r="F50" s="1">
        <f t="shared" si="15"/>
        <v>0.83199999999999996</v>
      </c>
      <c r="G50" s="1">
        <v>0.94</v>
      </c>
      <c r="H50" s="14">
        <v>1</v>
      </c>
      <c r="I50" s="1">
        <v>0.7</v>
      </c>
      <c r="J50" s="1">
        <f t="shared" si="16"/>
        <v>0.83799999999999997</v>
      </c>
      <c r="K50" s="1">
        <v>0</v>
      </c>
      <c r="L50" s="1">
        <v>0.65</v>
      </c>
      <c r="M50" s="14">
        <v>0.76</v>
      </c>
      <c r="N50" s="1">
        <f t="shared" si="17"/>
        <v>0.57499999999999996</v>
      </c>
      <c r="O50" s="1">
        <v>0.71111111111111103</v>
      </c>
      <c r="P50" s="14">
        <v>0.7</v>
      </c>
      <c r="Q50" s="14">
        <v>0.76700000000000002</v>
      </c>
      <c r="R50" s="1">
        <f t="shared" si="18"/>
        <v>0.73572222222222206</v>
      </c>
    </row>
    <row r="51" spans="1:18">
      <c r="A51" s="12" t="s">
        <v>106</v>
      </c>
      <c r="B51" s="13" t="s">
        <v>107</v>
      </c>
      <c r="C51" s="14">
        <v>0.81</v>
      </c>
      <c r="D51" s="14">
        <v>0.9</v>
      </c>
      <c r="E51" s="14">
        <v>0.6</v>
      </c>
      <c r="F51" s="1">
        <f t="shared" si="15"/>
        <v>0.73199999999999998</v>
      </c>
      <c r="G51" s="1">
        <v>0.96</v>
      </c>
      <c r="H51" s="14">
        <v>0.95</v>
      </c>
      <c r="I51" s="1">
        <v>0.6</v>
      </c>
      <c r="J51" s="1">
        <f t="shared" si="16"/>
        <v>0.77700000000000002</v>
      </c>
      <c r="K51" s="1">
        <v>0</v>
      </c>
      <c r="L51" s="1">
        <v>0.8</v>
      </c>
      <c r="M51" s="14">
        <v>0.5</v>
      </c>
      <c r="N51" s="1">
        <f t="shared" si="17"/>
        <v>0.49</v>
      </c>
      <c r="O51" s="1">
        <v>0.81111111111111101</v>
      </c>
      <c r="P51" s="14">
        <v>0.7</v>
      </c>
      <c r="Q51" s="14">
        <v>0.6</v>
      </c>
      <c r="R51" s="1">
        <f t="shared" si="18"/>
        <v>0.67222222222222205</v>
      </c>
    </row>
    <row r="52" spans="1:18">
      <c r="A52" s="12" t="s">
        <v>108</v>
      </c>
      <c r="B52" s="13" t="s">
        <v>109</v>
      </c>
      <c r="C52" s="14">
        <v>0.72</v>
      </c>
      <c r="D52" s="14">
        <v>0.85</v>
      </c>
      <c r="E52" s="14">
        <v>0.78</v>
      </c>
      <c r="F52" s="1">
        <f t="shared" si="15"/>
        <v>0.78900000000000003</v>
      </c>
      <c r="G52" s="1">
        <v>0.78</v>
      </c>
      <c r="H52" s="14">
        <v>0.75</v>
      </c>
      <c r="I52" s="1">
        <v>0.76</v>
      </c>
      <c r="J52" s="1">
        <f>(G52*$G$5+H52*$H$5+I52*$I$5)</f>
        <v>0.76100000000000001</v>
      </c>
      <c r="K52" s="1">
        <v>0</v>
      </c>
      <c r="L52" s="1">
        <v>0.35</v>
      </c>
      <c r="M52" s="14">
        <v>0.78</v>
      </c>
      <c r="N52" s="1">
        <f t="shared" si="17"/>
        <v>0.495</v>
      </c>
      <c r="O52" s="1">
        <v>0.61111111111111105</v>
      </c>
      <c r="P52" s="14">
        <v>0.8</v>
      </c>
      <c r="Q52" s="14">
        <v>0.77</v>
      </c>
      <c r="R52" s="1">
        <f t="shared" si="18"/>
        <v>0.74722222222222201</v>
      </c>
    </row>
    <row r="53" spans="1:18">
      <c r="A53" s="12" t="s">
        <v>110</v>
      </c>
      <c r="B53" s="13" t="s">
        <v>111</v>
      </c>
      <c r="C53" s="14">
        <v>0.89</v>
      </c>
      <c r="D53" s="14">
        <v>0.8</v>
      </c>
      <c r="E53" s="14">
        <v>0.76</v>
      </c>
      <c r="F53" s="1">
        <f t="shared" si="15"/>
        <v>0.79800000000000004</v>
      </c>
      <c r="G53" s="1">
        <v>0.98</v>
      </c>
      <c r="H53" s="14">
        <v>0.9</v>
      </c>
      <c r="I53" s="1">
        <v>0.74</v>
      </c>
      <c r="J53" s="1">
        <f>(G53*$G$5+H53*$H$5+I53*$I$5)</f>
        <v>0.83599999999999997</v>
      </c>
      <c r="K53" s="1">
        <v>0</v>
      </c>
      <c r="L53" s="1">
        <v>0.75</v>
      </c>
      <c r="M53" s="14">
        <v>0.6</v>
      </c>
      <c r="N53" s="1">
        <f t="shared" si="17"/>
        <v>0.52500000000000002</v>
      </c>
      <c r="O53" s="1">
        <v>0.76666666666666705</v>
      </c>
      <c r="P53" s="14">
        <v>0.7</v>
      </c>
      <c r="Q53" s="14">
        <v>0.6</v>
      </c>
      <c r="R53" s="1">
        <f t="shared" si="18"/>
        <v>0.663333333333333</v>
      </c>
    </row>
    <row r="54" spans="1:18">
      <c r="A54" s="12" t="s">
        <v>112</v>
      </c>
      <c r="B54" s="13" t="s">
        <v>113</v>
      </c>
      <c r="C54" s="14">
        <v>0.81</v>
      </c>
      <c r="D54" s="14">
        <v>0.97499999999999998</v>
      </c>
      <c r="E54" s="14">
        <v>0.92</v>
      </c>
      <c r="F54" s="1">
        <f t="shared" si="15"/>
        <v>0.91449999999999998</v>
      </c>
      <c r="G54" s="1">
        <v>0.86</v>
      </c>
      <c r="H54" s="14">
        <v>0.85</v>
      </c>
      <c r="I54" s="1">
        <v>0.92</v>
      </c>
      <c r="J54" s="1">
        <f>(G54*$G$5+H54*$H$5+I54*$I$5)</f>
        <v>0.88700000000000001</v>
      </c>
      <c r="K54" s="1">
        <v>0</v>
      </c>
      <c r="L54" s="1">
        <v>0.85</v>
      </c>
      <c r="M54" s="14">
        <v>0.94</v>
      </c>
      <c r="N54" s="1">
        <f t="shared" si="17"/>
        <v>0.72499999999999998</v>
      </c>
      <c r="O54" s="1">
        <v>0.8</v>
      </c>
      <c r="P54" s="14">
        <v>0.7</v>
      </c>
      <c r="Q54" s="14">
        <v>0.9</v>
      </c>
      <c r="R54" s="1">
        <f t="shared" si="18"/>
        <v>0.82</v>
      </c>
    </row>
    <row r="55" spans="1:18">
      <c r="A55" s="99" t="s">
        <v>114</v>
      </c>
      <c r="B55" s="100"/>
      <c r="C55" s="15">
        <f>AVERAGE(C7:C54)</f>
        <v>0.78791666666666704</v>
      </c>
      <c r="D55" s="15">
        <f t="shared" ref="D55:L55" si="19">AVERAGE(D7:D54)</f>
        <v>0.88124999999999998</v>
      </c>
      <c r="E55" s="15">
        <f t="shared" si="19"/>
        <v>0.79520833333333296</v>
      </c>
      <c r="F55" s="15">
        <f t="shared" si="19"/>
        <v>0.81956249999999997</v>
      </c>
      <c r="G55" s="15">
        <f t="shared" si="19"/>
        <v>0.90916666666666601</v>
      </c>
      <c r="H55" s="15">
        <f t="shared" si="19"/>
        <v>0.86927083333333299</v>
      </c>
      <c r="I55" s="15">
        <f t="shared" si="19"/>
        <v>0.76312500000000005</v>
      </c>
      <c r="J55" s="15">
        <f t="shared" si="19"/>
        <v>0.82417708333333395</v>
      </c>
      <c r="K55" s="15">
        <f t="shared" si="19"/>
        <v>0</v>
      </c>
      <c r="L55" s="15">
        <f t="shared" si="19"/>
        <v>0.73750000000000004</v>
      </c>
      <c r="M55" s="15">
        <f t="shared" ref="M55:R55" si="20">AVERAGE(M7:M54)</f>
        <v>0.77604166666666696</v>
      </c>
      <c r="N55" s="15">
        <f t="shared" si="20"/>
        <v>0.60927083333333298</v>
      </c>
      <c r="O55" s="15">
        <f t="shared" si="20"/>
        <v>0.78518518518518499</v>
      </c>
      <c r="P55" s="15">
        <f t="shared" si="20"/>
        <v>0.67812499999999998</v>
      </c>
      <c r="Q55" s="15">
        <f t="shared" si="20"/>
        <v>0.78125</v>
      </c>
      <c r="R55" s="15">
        <f t="shared" si="20"/>
        <v>0.75109953703703702</v>
      </c>
    </row>
    <row r="56" spans="1:18">
      <c r="A56" s="99" t="s">
        <v>13</v>
      </c>
      <c r="B56" s="100"/>
      <c r="C56" s="101">
        <f>F55</f>
        <v>0.81956249999999997</v>
      </c>
      <c r="D56" s="101"/>
      <c r="E56" s="101"/>
      <c r="F56" s="101"/>
      <c r="G56" s="96">
        <f>J55</f>
        <v>0.82417708333333395</v>
      </c>
      <c r="H56" s="97"/>
      <c r="I56" s="97"/>
      <c r="J56" s="98"/>
      <c r="K56" s="96">
        <f>N55</f>
        <v>0.60927083333333298</v>
      </c>
      <c r="L56" s="97"/>
      <c r="M56" s="97"/>
      <c r="N56" s="98"/>
      <c r="O56" s="96">
        <f>R55</f>
        <v>0.75109953703703702</v>
      </c>
      <c r="P56" s="97"/>
      <c r="Q56" s="97"/>
      <c r="R56" s="98"/>
    </row>
  </sheetData>
  <mergeCells count="19">
    <mergeCell ref="K56:N56"/>
    <mergeCell ref="O56:R56"/>
    <mergeCell ref="A5:B5"/>
    <mergeCell ref="A55:B55"/>
    <mergeCell ref="A56:B56"/>
    <mergeCell ref="C56:F56"/>
    <mergeCell ref="G56:J56"/>
    <mergeCell ref="A4:B4"/>
    <mergeCell ref="C4:F4"/>
    <mergeCell ref="G4:J4"/>
    <mergeCell ref="K4:N4"/>
    <mergeCell ref="O4:R4"/>
    <mergeCell ref="A1:J1"/>
    <mergeCell ref="C2:R2"/>
    <mergeCell ref="A3:B3"/>
    <mergeCell ref="C3:F3"/>
    <mergeCell ref="G3:J3"/>
    <mergeCell ref="K3:N3"/>
    <mergeCell ref="O3:R3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J20"/>
  <sheetViews>
    <sheetView zoomScale="115" zoomScaleNormal="115" workbookViewId="0">
      <selection activeCell="G26" sqref="G26"/>
    </sheetView>
  </sheetViews>
  <sheetFormatPr defaultColWidth="8.796875" defaultRowHeight="9.6"/>
  <cols>
    <col min="1" max="1" width="11" style="3" customWidth="1"/>
    <col min="2" max="2" width="6.3984375" style="3" customWidth="1"/>
    <col min="3" max="3" width="9.19921875" style="3" customWidth="1"/>
    <col min="4" max="4" width="10.09765625" style="3" customWidth="1"/>
    <col min="5" max="5" width="10.59765625" style="3" customWidth="1"/>
    <col min="6" max="6" width="11.69921875" style="3" customWidth="1"/>
    <col min="7" max="7" width="9.69921875" style="3" customWidth="1"/>
    <col min="8" max="8" width="7.09765625" style="3" customWidth="1"/>
    <col min="9" max="9" width="6.09765625" style="3" customWidth="1"/>
    <col min="10" max="10" width="8.09765625" style="3" customWidth="1"/>
    <col min="11" max="32" width="9" style="3"/>
    <col min="33" max="16384" width="8.796875" style="3"/>
  </cols>
  <sheetData>
    <row r="2" spans="1:10" ht="67.05" customHeight="1">
      <c r="A2" s="62" t="s">
        <v>173</v>
      </c>
      <c r="B2" s="62"/>
      <c r="C2" s="62"/>
      <c r="D2" s="62"/>
      <c r="E2" s="62"/>
      <c r="F2" s="62"/>
      <c r="G2" s="62"/>
      <c r="H2" s="62"/>
      <c r="I2" s="62"/>
      <c r="J2" s="62"/>
    </row>
    <row r="3" spans="1:10">
      <c r="A3" s="63" t="s">
        <v>174</v>
      </c>
      <c r="B3" s="65"/>
      <c r="C3" s="63" t="s">
        <v>175</v>
      </c>
      <c r="D3" s="63"/>
      <c r="E3" s="63"/>
      <c r="F3" s="63"/>
      <c r="G3" s="63"/>
      <c r="H3" s="63" t="s">
        <v>176</v>
      </c>
      <c r="I3" s="63" t="s">
        <v>177</v>
      </c>
      <c r="J3" s="63"/>
    </row>
    <row r="4" spans="1:10" ht="25.95" customHeight="1">
      <c r="A4" s="65"/>
      <c r="B4" s="65"/>
      <c r="C4" s="63"/>
      <c r="D4" s="63"/>
      <c r="E4" s="63"/>
      <c r="F4" s="63"/>
      <c r="G4" s="63"/>
      <c r="H4" s="63"/>
      <c r="I4" s="63"/>
      <c r="J4" s="63"/>
    </row>
    <row r="5" spans="1:10">
      <c r="A5" s="63" t="s">
        <v>178</v>
      </c>
      <c r="B5" s="63" t="s">
        <v>168</v>
      </c>
      <c r="C5" s="63" t="s">
        <v>179</v>
      </c>
      <c r="D5" s="63" t="s">
        <v>180</v>
      </c>
      <c r="E5" s="63" t="s">
        <v>155</v>
      </c>
      <c r="F5" s="63" t="s">
        <v>181</v>
      </c>
      <c r="G5" s="63" t="s">
        <v>168</v>
      </c>
      <c r="H5" s="63"/>
      <c r="I5" s="63" t="s">
        <v>182</v>
      </c>
      <c r="J5" s="63" t="s">
        <v>181</v>
      </c>
    </row>
    <row r="6" spans="1:10">
      <c r="A6" s="65"/>
      <c r="B6" s="65"/>
      <c r="C6" s="65"/>
      <c r="D6" s="65"/>
      <c r="E6" s="65"/>
      <c r="F6" s="65"/>
      <c r="G6" s="65"/>
      <c r="H6" s="63"/>
      <c r="I6" s="65"/>
      <c r="J6" s="65"/>
    </row>
    <row r="7" spans="1:10" ht="30" customHeight="1">
      <c r="A7" s="65"/>
      <c r="B7" s="65"/>
      <c r="C7" s="65"/>
      <c r="D7" s="65"/>
      <c r="E7" s="65"/>
      <c r="F7" s="65"/>
      <c r="G7" s="65"/>
      <c r="H7" s="63"/>
      <c r="I7" s="65"/>
      <c r="J7" s="65"/>
    </row>
    <row r="8" spans="1:10" ht="14.4">
      <c r="A8" s="65" t="s">
        <v>183</v>
      </c>
      <c r="B8" s="63">
        <v>0.1</v>
      </c>
      <c r="C8" s="4" t="s">
        <v>184</v>
      </c>
      <c r="D8" s="4">
        <v>20</v>
      </c>
      <c r="E8" s="5">
        <v>15.2</v>
      </c>
      <c r="F8" s="5">
        <v>0.79</v>
      </c>
      <c r="G8" s="4">
        <v>0.2</v>
      </c>
      <c r="H8" s="64">
        <f>F8*G8+F10*G10+F9*G9</f>
        <v>0.82199999999999995</v>
      </c>
      <c r="I8" s="63">
        <v>1.4</v>
      </c>
      <c r="J8" s="64">
        <f>H8</f>
        <v>0.82199999999999995</v>
      </c>
    </row>
    <row r="9" spans="1:10" ht="14.4">
      <c r="A9" s="65"/>
      <c r="B9" s="63"/>
      <c r="C9" s="4" t="s">
        <v>185</v>
      </c>
      <c r="D9" s="4">
        <v>30</v>
      </c>
      <c r="E9" s="5">
        <v>26.4</v>
      </c>
      <c r="F9" s="5">
        <v>0.88</v>
      </c>
      <c r="G9" s="4">
        <v>0.3</v>
      </c>
      <c r="H9" s="64"/>
      <c r="I9" s="63"/>
      <c r="J9" s="64"/>
    </row>
    <row r="10" spans="1:10" ht="14.4">
      <c r="A10" s="65"/>
      <c r="B10" s="63"/>
      <c r="C10" s="4" t="s">
        <v>186</v>
      </c>
      <c r="D10" s="4">
        <v>50</v>
      </c>
      <c r="E10" s="5">
        <v>40</v>
      </c>
      <c r="F10" s="5">
        <v>0.8</v>
      </c>
      <c r="G10" s="4">
        <v>0.5</v>
      </c>
      <c r="H10" s="64"/>
      <c r="I10" s="63"/>
      <c r="J10" s="64"/>
    </row>
    <row r="11" spans="1:10" ht="14.4">
      <c r="A11" s="65" t="s">
        <v>187</v>
      </c>
      <c r="B11" s="63">
        <v>0.2</v>
      </c>
      <c r="C11" s="4" t="s">
        <v>184</v>
      </c>
      <c r="D11" s="4">
        <v>20</v>
      </c>
      <c r="E11" s="5">
        <v>19.8</v>
      </c>
      <c r="F11" s="5">
        <v>0.91</v>
      </c>
      <c r="G11" s="4">
        <v>0.2</v>
      </c>
      <c r="H11" s="64">
        <f>F11*G11+F13*G13+F12*G12</f>
        <v>0.82299999999999995</v>
      </c>
      <c r="I11" s="63">
        <v>3.2</v>
      </c>
      <c r="J11" s="64">
        <f>H11</f>
        <v>0.82299999999999995</v>
      </c>
    </row>
    <row r="12" spans="1:10" ht="14.4">
      <c r="A12" s="65"/>
      <c r="B12" s="63"/>
      <c r="C12" s="4" t="s">
        <v>185</v>
      </c>
      <c r="D12" s="4">
        <v>30</v>
      </c>
      <c r="E12" s="5">
        <v>26.1</v>
      </c>
      <c r="F12" s="5">
        <v>0.87</v>
      </c>
      <c r="G12" s="4">
        <v>0.3</v>
      </c>
      <c r="H12" s="64"/>
      <c r="I12" s="63"/>
      <c r="J12" s="64"/>
    </row>
    <row r="13" spans="1:10" ht="13.95" customHeight="1">
      <c r="A13" s="65"/>
      <c r="B13" s="63"/>
      <c r="C13" s="4" t="s">
        <v>186</v>
      </c>
      <c r="D13" s="4">
        <v>50</v>
      </c>
      <c r="E13" s="5">
        <v>38</v>
      </c>
      <c r="F13" s="5">
        <v>0.76</v>
      </c>
      <c r="G13" s="4">
        <v>0.5</v>
      </c>
      <c r="H13" s="64"/>
      <c r="I13" s="63"/>
      <c r="J13" s="64"/>
    </row>
    <row r="14" spans="1:10" ht="13.95" customHeight="1">
      <c r="A14" s="65" t="s">
        <v>188</v>
      </c>
      <c r="B14" s="63">
        <v>0.3</v>
      </c>
      <c r="C14" s="4" t="s">
        <v>184</v>
      </c>
      <c r="D14" s="4">
        <v>20</v>
      </c>
      <c r="E14" s="5">
        <v>0</v>
      </c>
      <c r="F14" s="5">
        <v>0</v>
      </c>
      <c r="G14" s="4">
        <v>0.2</v>
      </c>
      <c r="H14" s="64">
        <f>F14*G14+F16*G16+F15*G15</f>
        <v>0.61199999999999999</v>
      </c>
      <c r="I14" s="63">
        <v>4.2</v>
      </c>
      <c r="J14" s="64">
        <f>H14</f>
        <v>0.61199999999999999</v>
      </c>
    </row>
    <row r="15" spans="1:10" ht="13.95" customHeight="1">
      <c r="A15" s="65"/>
      <c r="B15" s="63"/>
      <c r="C15" s="4" t="s">
        <v>185</v>
      </c>
      <c r="D15" s="4">
        <v>30</v>
      </c>
      <c r="E15" s="5">
        <v>22.2</v>
      </c>
      <c r="F15" s="5">
        <v>0.74</v>
      </c>
      <c r="G15" s="4">
        <v>0.3</v>
      </c>
      <c r="H15" s="64"/>
      <c r="I15" s="63"/>
      <c r="J15" s="64"/>
    </row>
    <row r="16" spans="1:10" ht="13.5" customHeight="1">
      <c r="A16" s="65"/>
      <c r="B16" s="63"/>
      <c r="C16" s="4" t="s">
        <v>186</v>
      </c>
      <c r="D16" s="4">
        <v>50</v>
      </c>
      <c r="E16" s="5">
        <v>39</v>
      </c>
      <c r="F16" s="5">
        <v>0.78</v>
      </c>
      <c r="G16" s="4">
        <v>0.5</v>
      </c>
      <c r="H16" s="64"/>
      <c r="I16" s="63"/>
      <c r="J16" s="64"/>
    </row>
    <row r="17" spans="1:10" ht="13.5" customHeight="1">
      <c r="A17" s="65" t="s">
        <v>189</v>
      </c>
      <c r="B17" s="63">
        <v>0.4</v>
      </c>
      <c r="C17" s="4" t="s">
        <v>184</v>
      </c>
      <c r="D17" s="4">
        <v>20</v>
      </c>
      <c r="E17" s="5">
        <v>15</v>
      </c>
      <c r="F17" s="5">
        <v>0.79</v>
      </c>
      <c r="G17" s="4">
        <v>0.2</v>
      </c>
      <c r="H17" s="64">
        <f>F17*G17+F19*G19+F18*G18</f>
        <v>0.752</v>
      </c>
      <c r="I17" s="63">
        <v>5.0999999999999996</v>
      </c>
      <c r="J17" s="64">
        <f>H17</f>
        <v>0.752</v>
      </c>
    </row>
    <row r="18" spans="1:10" ht="13.5" customHeight="1">
      <c r="A18" s="65"/>
      <c r="B18" s="63"/>
      <c r="C18" s="4" t="s">
        <v>185</v>
      </c>
      <c r="D18" s="4">
        <v>30</v>
      </c>
      <c r="E18" s="5">
        <v>18.399999999999999</v>
      </c>
      <c r="F18" s="5">
        <v>0.68</v>
      </c>
      <c r="G18" s="4">
        <v>0.3</v>
      </c>
      <c r="H18" s="64"/>
      <c r="I18" s="63"/>
      <c r="J18" s="64"/>
    </row>
    <row r="19" spans="1:10" ht="14.4">
      <c r="A19" s="65"/>
      <c r="B19" s="63"/>
      <c r="C19" s="4" t="s">
        <v>186</v>
      </c>
      <c r="D19" s="4">
        <v>50</v>
      </c>
      <c r="E19" s="5">
        <v>39</v>
      </c>
      <c r="F19" s="5">
        <v>0.78</v>
      </c>
      <c r="G19" s="4">
        <v>0.5</v>
      </c>
      <c r="H19" s="64"/>
      <c r="I19" s="63"/>
      <c r="J19" s="64"/>
    </row>
    <row r="20" spans="1:10" ht="28.8">
      <c r="A20" s="4" t="s">
        <v>190</v>
      </c>
      <c r="B20" s="63">
        <v>0.6</v>
      </c>
      <c r="C20" s="63"/>
      <c r="D20" s="63"/>
      <c r="E20" s="63"/>
      <c r="F20" s="4" t="s">
        <v>191</v>
      </c>
      <c r="G20" s="64">
        <f>H8*B8+H11*B11+H14*B14+H17*B17</f>
        <v>0.73119999999999996</v>
      </c>
      <c r="H20" s="64"/>
      <c r="I20" s="64"/>
      <c r="J20" s="64"/>
    </row>
  </sheetData>
  <mergeCells count="36">
    <mergeCell ref="A3:B4"/>
    <mergeCell ref="I3:J4"/>
    <mergeCell ref="J5:J7"/>
    <mergeCell ref="J8:J10"/>
    <mergeCell ref="J11:J13"/>
    <mergeCell ref="F5:F7"/>
    <mergeCell ref="G5:G7"/>
    <mergeCell ref="C3:G4"/>
    <mergeCell ref="J14:J16"/>
    <mergeCell ref="J17:J19"/>
    <mergeCell ref="H14:H16"/>
    <mergeCell ref="H17:H19"/>
    <mergeCell ref="I5:I7"/>
    <mergeCell ref="I8:I10"/>
    <mergeCell ref="I11:I13"/>
    <mergeCell ref="I14:I16"/>
    <mergeCell ref="I17:I19"/>
    <mergeCell ref="H3:H7"/>
    <mergeCell ref="H8:H10"/>
    <mergeCell ref="H11:H13"/>
    <mergeCell ref="A2:J2"/>
    <mergeCell ref="B20:E20"/>
    <mergeCell ref="G20:J20"/>
    <mergeCell ref="A5:A7"/>
    <mergeCell ref="A8:A10"/>
    <mergeCell ref="A11:A13"/>
    <mergeCell ref="A14:A16"/>
    <mergeCell ref="A17:A19"/>
    <mergeCell ref="B5:B7"/>
    <mergeCell ref="B8:B10"/>
    <mergeCell ref="B11:B13"/>
    <mergeCell ref="B14:B16"/>
    <mergeCell ref="B17:B19"/>
    <mergeCell ref="C5:C7"/>
    <mergeCell ref="D5:D7"/>
    <mergeCell ref="E5:E7"/>
  </mergeCells>
  <phoneticPr fontId="25" type="noConversion"/>
  <pageMargins left="0.69930555555555596" right="0.69930555555555596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Equation.KSEE3" shapeId="8193" r:id="rId3">
          <objectPr defaultSize="0" altText="" r:id="rId4">
            <anchor moveWithCells="1" siz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632460</xdr:colOff>
                <xdr:row>23</xdr:row>
                <xdr:rowOff>76200</xdr:rowOff>
              </to>
            </anchor>
          </objectPr>
        </oleObject>
      </mc:Choice>
      <mc:Fallback>
        <oleObject progId="Equation.KSEE3" shapeId="8193" r:id="rId3"/>
      </mc:Fallback>
    </mc:AlternateContent>
    <mc:AlternateContent xmlns:mc="http://schemas.openxmlformats.org/markup-compatibility/2006">
      <mc:Choice Requires="x14">
        <oleObject progId="Equation.KSEE3" shapeId="8194" r:id="rId5">
          <objectPr defaultSize="0" altText="" r:id="rId6">
            <anchor moveWithCells="1" sizeWithCells="1">
              <from>
                <xdr:col>1</xdr:col>
                <xdr:colOff>274320</xdr:colOff>
                <xdr:row>20</xdr:row>
                <xdr:rowOff>121920</xdr:rowOff>
              </from>
              <to>
                <xdr:col>2</xdr:col>
                <xdr:colOff>381000</xdr:colOff>
                <xdr:row>23</xdr:row>
                <xdr:rowOff>68580</xdr:rowOff>
              </to>
            </anchor>
          </objectPr>
        </oleObject>
      </mc:Choice>
      <mc:Fallback>
        <oleObject progId="Equation.KSEE3" shapeId="8194" r:id="rId5"/>
      </mc:Fallback>
    </mc:AlternateContent>
    <mc:AlternateContent xmlns:mc="http://schemas.openxmlformats.org/markup-compatibility/2006">
      <mc:Choice Requires="x14">
        <oleObject progId="Equation.KSEE3" shapeId="8195" r:id="rId7">
          <objectPr defaultSize="0" altText="" r:id="rId8">
            <anchor moveWithCells="1" sizeWithCells="1">
              <from>
                <xdr:col>3</xdr:col>
                <xdr:colOff>167640</xdr:colOff>
                <xdr:row>21</xdr:row>
                <xdr:rowOff>22860</xdr:rowOff>
              </from>
              <to>
                <xdr:col>4</xdr:col>
                <xdr:colOff>312420</xdr:colOff>
                <xdr:row>22</xdr:row>
                <xdr:rowOff>121920</xdr:rowOff>
              </to>
            </anchor>
          </objectPr>
        </oleObject>
      </mc:Choice>
      <mc:Fallback>
        <oleObject progId="Equation.KSEE3" shapeId="8195" r:id="rId7"/>
      </mc:Fallback>
    </mc:AlternateContent>
    <mc:AlternateContent xmlns:mc="http://schemas.openxmlformats.org/markup-compatibility/2006">
      <mc:Choice Requires="x14">
        <oleObject progId="Equation.KSEE3" shapeId="8196" r:id="rId9">
          <objectPr defaultSize="0" altText="" r:id="rId10">
            <anchor moveWithCells="1" sizeWithCells="1">
              <from>
                <xdr:col>4</xdr:col>
                <xdr:colOff>594360</xdr:colOff>
                <xdr:row>20</xdr:row>
                <xdr:rowOff>99060</xdr:rowOff>
              </from>
              <to>
                <xdr:col>6</xdr:col>
                <xdr:colOff>45720</xdr:colOff>
                <xdr:row>23</xdr:row>
                <xdr:rowOff>60960</xdr:rowOff>
              </to>
            </anchor>
          </objectPr>
        </oleObject>
      </mc:Choice>
      <mc:Fallback>
        <oleObject progId="Equation.KSEE3" shapeId="8196" r:id="rId9"/>
      </mc:Fallback>
    </mc:AlternateContent>
    <mc:AlternateContent xmlns:mc="http://schemas.openxmlformats.org/markup-compatibility/2006">
      <mc:Choice Requires="x14">
        <oleObject progId="Equation.KSEE3" shapeId="8197" r:id="rId11">
          <objectPr defaultSize="0" altText="" r:id="rId12">
            <anchor moveWithCells="1" sizeWithCells="1">
              <from>
                <xdr:col>6</xdr:col>
                <xdr:colOff>312420</xdr:colOff>
                <xdr:row>20</xdr:row>
                <xdr:rowOff>83820</xdr:rowOff>
              </from>
              <to>
                <xdr:col>8</xdr:col>
                <xdr:colOff>30480</xdr:colOff>
                <xdr:row>23</xdr:row>
                <xdr:rowOff>30480</xdr:rowOff>
              </to>
            </anchor>
          </objectPr>
        </oleObject>
      </mc:Choice>
      <mc:Fallback>
        <oleObject progId="Equation.KSEE3" shapeId="8197" r:id="rId11"/>
      </mc:Fallback>
    </mc:AlternateContent>
    <mc:AlternateContent xmlns:mc="http://schemas.openxmlformats.org/markup-compatibility/2006">
      <mc:Choice Requires="x14">
        <oleObject progId="Equation.KSEE3" shapeId="8198" r:id="rId13">
          <objectPr defaultSize="0" altText="" r:id="rId14">
            <anchor moveWithCells="1" sizeWithCells="1">
              <from>
                <xdr:col>9</xdr:col>
                <xdr:colOff>0</xdr:colOff>
                <xdr:row>21</xdr:row>
                <xdr:rowOff>0</xdr:rowOff>
              </from>
              <to>
                <xdr:col>9</xdr:col>
                <xdr:colOff>723900</xdr:colOff>
                <xdr:row>23</xdr:row>
                <xdr:rowOff>76200</xdr:rowOff>
              </to>
            </anchor>
          </objectPr>
        </oleObject>
      </mc:Choice>
      <mc:Fallback>
        <oleObject progId="Equation.KSEE3" shapeId="8198" r:id="rId13"/>
      </mc:Fallback>
    </mc:AlternateContent>
    <mc:AlternateContent xmlns:mc="http://schemas.openxmlformats.org/markup-compatibility/2006">
      <mc:Choice Requires="x14">
        <oleObject progId="Equation.KSEE3" shapeId="8200" r:id="rId15">
          <objectPr defaultSize="0" altText="" r:id="rId16">
            <anchor moveWithCells="1" sizeWithCells="1">
              <from>
                <xdr:col>1</xdr:col>
                <xdr:colOff>129540</xdr:colOff>
                <xdr:row>6</xdr:row>
                <xdr:rowOff>121920</xdr:rowOff>
              </from>
              <to>
                <xdr:col>1</xdr:col>
                <xdr:colOff>373380</xdr:colOff>
                <xdr:row>6</xdr:row>
                <xdr:rowOff>350520</xdr:rowOff>
              </to>
            </anchor>
          </objectPr>
        </oleObject>
      </mc:Choice>
      <mc:Fallback>
        <oleObject progId="Equation.KSEE3" shapeId="8200" r:id="rId15"/>
      </mc:Fallback>
    </mc:AlternateContent>
    <mc:AlternateContent xmlns:mc="http://schemas.openxmlformats.org/markup-compatibility/2006">
      <mc:Choice Requires="x14">
        <oleObject progId="Equation.KSEE3" shapeId="8201" r:id="rId17">
          <objectPr defaultSize="0" altText="" r:id="rId18">
            <anchor moveWithCells="1" sizeWithCells="1">
              <from>
                <xdr:col>3</xdr:col>
                <xdr:colOff>281940</xdr:colOff>
                <xdr:row>6</xdr:row>
                <xdr:rowOff>91440</xdr:rowOff>
              </from>
              <to>
                <xdr:col>3</xdr:col>
                <xdr:colOff>441960</xdr:colOff>
                <xdr:row>6</xdr:row>
                <xdr:rowOff>335280</xdr:rowOff>
              </to>
            </anchor>
          </objectPr>
        </oleObject>
      </mc:Choice>
      <mc:Fallback>
        <oleObject progId="Equation.KSEE3" shapeId="8201" r:id="rId17"/>
      </mc:Fallback>
    </mc:AlternateContent>
    <mc:AlternateContent xmlns:mc="http://schemas.openxmlformats.org/markup-compatibility/2006">
      <mc:Choice Requires="x14">
        <oleObject progId="Equation.KSEE3" shapeId="8202" r:id="rId19">
          <objectPr defaultSize="0" altText="" r:id="rId20">
            <anchor moveWithCells="1" sizeWithCells="1">
              <from>
                <xdr:col>4</xdr:col>
                <xdr:colOff>236220</xdr:colOff>
                <xdr:row>6</xdr:row>
                <xdr:rowOff>121920</xdr:rowOff>
              </from>
              <to>
                <xdr:col>4</xdr:col>
                <xdr:colOff>563880</xdr:colOff>
                <xdr:row>6</xdr:row>
                <xdr:rowOff>365760</xdr:rowOff>
              </to>
            </anchor>
          </objectPr>
        </oleObject>
      </mc:Choice>
      <mc:Fallback>
        <oleObject progId="Equation.KSEE3" shapeId="8202" r:id="rId19"/>
      </mc:Fallback>
    </mc:AlternateContent>
    <mc:AlternateContent xmlns:mc="http://schemas.openxmlformats.org/markup-compatibility/2006">
      <mc:Choice Requires="x14">
        <oleObject progId="Equation.KSEE3" shapeId="8203" r:id="rId21">
          <objectPr defaultSize="0" altText="" r:id="rId22">
            <anchor moveWithCells="1" sizeWithCells="1">
              <from>
                <xdr:col>5</xdr:col>
                <xdr:colOff>251460</xdr:colOff>
                <xdr:row>6</xdr:row>
                <xdr:rowOff>137160</xdr:rowOff>
              </from>
              <to>
                <xdr:col>5</xdr:col>
                <xdr:colOff>495300</xdr:colOff>
                <xdr:row>7</xdr:row>
                <xdr:rowOff>0</xdr:rowOff>
              </to>
            </anchor>
          </objectPr>
        </oleObject>
      </mc:Choice>
      <mc:Fallback>
        <oleObject progId="Equation.KSEE3" shapeId="8203" r:id="rId21"/>
      </mc:Fallback>
    </mc:AlternateContent>
    <mc:AlternateContent xmlns:mc="http://schemas.openxmlformats.org/markup-compatibility/2006">
      <mc:Choice Requires="x14">
        <oleObject progId="Equation.KSEE3" shapeId="8204" r:id="rId23">
          <objectPr defaultSize="0" altText="" r:id="rId24">
            <anchor moveWithCells="1" sizeWithCells="1">
              <from>
                <xdr:col>6</xdr:col>
                <xdr:colOff>259080</xdr:colOff>
                <xdr:row>6</xdr:row>
                <xdr:rowOff>144780</xdr:rowOff>
              </from>
              <to>
                <xdr:col>6</xdr:col>
                <xdr:colOff>464820</xdr:colOff>
                <xdr:row>7</xdr:row>
                <xdr:rowOff>7620</xdr:rowOff>
              </to>
            </anchor>
          </objectPr>
        </oleObject>
      </mc:Choice>
      <mc:Fallback>
        <oleObject progId="Equation.KSEE3" shapeId="8204" r:id="rId23"/>
      </mc:Fallback>
    </mc:AlternateContent>
    <mc:AlternateContent xmlns:mc="http://schemas.openxmlformats.org/markup-compatibility/2006">
      <mc:Choice Requires="x14">
        <oleObject progId="Equation.KSEE3" shapeId="8205" r:id="rId25">
          <objectPr defaultSize="0" altText="" r:id="rId26">
            <anchor moveWithCells="1" sizeWithCells="1">
              <from>
                <xdr:col>7</xdr:col>
                <xdr:colOff>190500</xdr:colOff>
                <xdr:row>6</xdr:row>
                <xdr:rowOff>121920</xdr:rowOff>
              </from>
              <to>
                <xdr:col>7</xdr:col>
                <xdr:colOff>403860</xdr:colOff>
                <xdr:row>6</xdr:row>
                <xdr:rowOff>350520</xdr:rowOff>
              </to>
            </anchor>
          </objectPr>
        </oleObject>
      </mc:Choice>
      <mc:Fallback>
        <oleObject progId="Equation.KSEE3" shapeId="8205" r:id="rId25"/>
      </mc:Fallback>
    </mc:AlternateContent>
    <mc:AlternateContent xmlns:mc="http://schemas.openxmlformats.org/markup-compatibility/2006">
      <mc:Choice Requires="x14">
        <oleObject progId="Equation.KSEE3" shapeId="8206" r:id="rId27">
          <objectPr defaultSize="0" altText="" r:id="rId24">
            <anchor moveWithCells="1" sizeWithCells="1">
              <from>
                <xdr:col>6</xdr:col>
                <xdr:colOff>259080</xdr:colOff>
                <xdr:row>9</xdr:row>
                <xdr:rowOff>144780</xdr:rowOff>
              </from>
              <to>
                <xdr:col>6</xdr:col>
                <xdr:colOff>464820</xdr:colOff>
                <xdr:row>10</xdr:row>
                <xdr:rowOff>7620</xdr:rowOff>
              </to>
            </anchor>
          </objectPr>
        </oleObject>
      </mc:Choice>
      <mc:Fallback>
        <oleObject progId="Equation.KSEE3" shapeId="8206" r:id="rId27"/>
      </mc:Fallback>
    </mc:AlternateContent>
    <mc:AlternateContent xmlns:mc="http://schemas.openxmlformats.org/markup-compatibility/2006">
      <mc:Choice Requires="x14">
        <oleObject progId="Equation.KSEE3" shapeId="8207" r:id="rId28">
          <objectPr defaultSize="0" altText="" r:id="rId24">
            <anchor moveWithCells="1" sizeWithCells="1">
              <from>
                <xdr:col>6</xdr:col>
                <xdr:colOff>259080</xdr:colOff>
                <xdr:row>12</xdr:row>
                <xdr:rowOff>144780</xdr:rowOff>
              </from>
              <to>
                <xdr:col>6</xdr:col>
                <xdr:colOff>464820</xdr:colOff>
                <xdr:row>13</xdr:row>
                <xdr:rowOff>7620</xdr:rowOff>
              </to>
            </anchor>
          </objectPr>
        </oleObject>
      </mc:Choice>
      <mc:Fallback>
        <oleObject progId="Equation.KSEE3" shapeId="8207" r:id="rId28"/>
      </mc:Fallback>
    </mc:AlternateContent>
    <mc:AlternateContent xmlns:mc="http://schemas.openxmlformats.org/markup-compatibility/2006">
      <mc:Choice Requires="x14">
        <oleObject progId="Equation.KSEE3" shapeId="8208" r:id="rId29">
          <objectPr defaultSize="0" altText="" r:id="rId24">
            <anchor moveWithCells="1" sizeWithCells="1">
              <from>
                <xdr:col>6</xdr:col>
                <xdr:colOff>259080</xdr:colOff>
                <xdr:row>15</xdr:row>
                <xdr:rowOff>144780</xdr:rowOff>
              </from>
              <to>
                <xdr:col>6</xdr:col>
                <xdr:colOff>464820</xdr:colOff>
                <xdr:row>16</xdr:row>
                <xdr:rowOff>7620</xdr:rowOff>
              </to>
            </anchor>
          </objectPr>
        </oleObject>
      </mc:Choice>
      <mc:Fallback>
        <oleObject progId="Equation.KSEE3" shapeId="8208" r:id="rId29"/>
      </mc:Fallback>
    </mc:AlternateContent>
    <mc:AlternateContent xmlns:mc="http://schemas.openxmlformats.org/markup-compatibility/2006">
      <mc:Choice Requires="x14">
        <oleObject progId="Equation.KSEE3" shapeId="8209" r:id="rId30">
          <objectPr defaultSize="0" altText="" r:id="rId24">
            <anchor moveWithCells="1" sizeWithCells="1">
              <from>
                <xdr:col>6</xdr:col>
                <xdr:colOff>259080</xdr:colOff>
                <xdr:row>15</xdr:row>
                <xdr:rowOff>144780</xdr:rowOff>
              </from>
              <to>
                <xdr:col>6</xdr:col>
                <xdr:colOff>464820</xdr:colOff>
                <xdr:row>16</xdr:row>
                <xdr:rowOff>7620</xdr:rowOff>
              </to>
            </anchor>
          </objectPr>
        </oleObject>
      </mc:Choice>
      <mc:Fallback>
        <oleObject progId="Equation.KSEE3" shapeId="8209" r:id="rId30"/>
      </mc:Fallback>
    </mc:AlternateContent>
    <mc:AlternateContent xmlns:mc="http://schemas.openxmlformats.org/markup-compatibility/2006">
      <mc:Choice Requires="x14">
        <oleObject progId="Equation.KSEE3" shapeId="8210" r:id="rId31">
          <objectPr defaultSize="0" altText="" r:id="rId24">
            <anchor moveWithCells="1" sizeWithCells="1">
              <from>
                <xdr:col>6</xdr:col>
                <xdr:colOff>259080</xdr:colOff>
                <xdr:row>18</xdr:row>
                <xdr:rowOff>144780</xdr:rowOff>
              </from>
              <to>
                <xdr:col>6</xdr:col>
                <xdr:colOff>464820</xdr:colOff>
                <xdr:row>19</xdr:row>
                <xdr:rowOff>7620</xdr:rowOff>
              </to>
            </anchor>
          </objectPr>
        </oleObject>
      </mc:Choice>
      <mc:Fallback>
        <oleObject progId="Equation.KSEE3" shapeId="8210" r:id="rId31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7:C12"/>
  <sheetViews>
    <sheetView zoomScale="70" zoomScaleNormal="70" workbookViewId="0">
      <selection activeCell="F29" sqref="F29"/>
    </sheetView>
  </sheetViews>
  <sheetFormatPr defaultColWidth="8.796875" defaultRowHeight="15.6"/>
  <cols>
    <col min="2" max="2" width="11.296875" customWidth="1"/>
    <col min="3" max="3" width="7.19921875" customWidth="1"/>
  </cols>
  <sheetData>
    <row r="7" spans="2:3">
      <c r="B7" t="s">
        <v>192</v>
      </c>
      <c r="C7" s="2">
        <v>0.82</v>
      </c>
    </row>
    <row r="8" spans="2:3">
      <c r="B8" t="s">
        <v>193</v>
      </c>
      <c r="C8" s="2">
        <v>0.82</v>
      </c>
    </row>
    <row r="9" spans="2:3">
      <c r="B9" t="s">
        <v>194</v>
      </c>
      <c r="C9" s="2">
        <v>0.61</v>
      </c>
    </row>
    <row r="10" spans="2:3">
      <c r="B10" t="s">
        <v>195</v>
      </c>
      <c r="C10" s="2">
        <v>0.75</v>
      </c>
    </row>
    <row r="12" spans="2:3">
      <c r="C12" s="2"/>
    </row>
  </sheetData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B1:E48"/>
  <sheetViews>
    <sheetView workbookViewId="0">
      <selection activeCell="D1" sqref="D1:E1"/>
    </sheetView>
  </sheetViews>
  <sheetFormatPr defaultColWidth="8.796875" defaultRowHeight="15.6"/>
  <sheetData>
    <row r="1" spans="2:5">
      <c r="B1">
        <v>1</v>
      </c>
      <c r="C1" s="1">
        <v>0.748</v>
      </c>
      <c r="D1" s="1">
        <v>0.82</v>
      </c>
      <c r="E1" s="1">
        <v>0.6</v>
      </c>
    </row>
    <row r="2" spans="2:5">
      <c r="B2">
        <v>2</v>
      </c>
      <c r="C2" s="1">
        <v>0.81200000000000006</v>
      </c>
      <c r="D2" s="1">
        <v>0.82</v>
      </c>
      <c r="E2" s="1">
        <v>0.6</v>
      </c>
    </row>
    <row r="3" spans="2:5">
      <c r="B3">
        <v>3</v>
      </c>
      <c r="C3" s="1">
        <v>0.77300000000000002</v>
      </c>
      <c r="D3" s="1">
        <v>0.82</v>
      </c>
      <c r="E3" s="1">
        <v>0.6</v>
      </c>
    </row>
    <row r="4" spans="2:5">
      <c r="B4">
        <v>4</v>
      </c>
      <c r="C4" s="1">
        <v>0.92300000000000004</v>
      </c>
      <c r="D4" s="1">
        <v>0.82</v>
      </c>
      <c r="E4" s="1">
        <v>0.6</v>
      </c>
    </row>
    <row r="5" spans="2:5">
      <c r="B5">
        <v>5</v>
      </c>
      <c r="C5" s="1">
        <v>0.86199999999999999</v>
      </c>
      <c r="D5" s="1">
        <v>0.82</v>
      </c>
      <c r="E5" s="1">
        <v>0.6</v>
      </c>
    </row>
    <row r="6" spans="2:5">
      <c r="B6">
        <v>6</v>
      </c>
      <c r="C6" s="1">
        <v>0.83799999999999997</v>
      </c>
      <c r="D6" s="1">
        <v>0.82</v>
      </c>
      <c r="E6" s="1">
        <v>0.6</v>
      </c>
    </row>
    <row r="7" spans="2:5">
      <c r="B7">
        <v>7</v>
      </c>
      <c r="C7" s="1">
        <v>0.69699999999999995</v>
      </c>
      <c r="D7" s="1">
        <v>0.82</v>
      </c>
      <c r="E7" s="1">
        <v>0.6</v>
      </c>
    </row>
    <row r="8" spans="2:5">
      <c r="B8">
        <v>8</v>
      </c>
      <c r="C8" s="1">
        <v>0.88800000000000001</v>
      </c>
      <c r="D8" s="1">
        <v>0.82</v>
      </c>
      <c r="E8" s="1">
        <v>0.6</v>
      </c>
    </row>
    <row r="9" spans="2:5">
      <c r="B9">
        <v>9</v>
      </c>
      <c r="C9" s="1">
        <v>0.84799999999999998</v>
      </c>
      <c r="D9" s="1">
        <v>0.82</v>
      </c>
      <c r="E9" s="1">
        <v>0.6</v>
      </c>
    </row>
    <row r="10" spans="2:5">
      <c r="B10">
        <v>10</v>
      </c>
      <c r="C10" s="1">
        <v>0.93200000000000005</v>
      </c>
      <c r="D10" s="1">
        <v>0.82</v>
      </c>
      <c r="E10" s="1">
        <v>0.6</v>
      </c>
    </row>
    <row r="11" spans="2:5">
      <c r="B11">
        <v>11</v>
      </c>
      <c r="C11" s="1">
        <v>0.89800000000000002</v>
      </c>
      <c r="D11" s="1">
        <v>0.82</v>
      </c>
      <c r="E11" s="1">
        <v>0.6</v>
      </c>
    </row>
    <row r="12" spans="2:5">
      <c r="B12">
        <v>12</v>
      </c>
      <c r="C12" s="1">
        <v>0.86299999999999999</v>
      </c>
      <c r="D12" s="1">
        <v>0.82</v>
      </c>
      <c r="E12" s="1">
        <v>0.6</v>
      </c>
    </row>
    <row r="13" spans="2:5">
      <c r="B13">
        <v>13</v>
      </c>
      <c r="C13" s="1">
        <v>0.91200000000000003</v>
      </c>
      <c r="D13" s="1">
        <v>0.82</v>
      </c>
      <c r="E13" s="1">
        <v>0.6</v>
      </c>
    </row>
    <row r="14" spans="2:5">
      <c r="B14">
        <v>14</v>
      </c>
      <c r="C14" s="1">
        <v>0.877</v>
      </c>
      <c r="D14" s="1">
        <v>0.82</v>
      </c>
      <c r="E14" s="1">
        <v>0.6</v>
      </c>
    </row>
    <row r="15" spans="2:5">
      <c r="B15">
        <v>15</v>
      </c>
      <c r="C15" s="1">
        <v>0.83199999999999996</v>
      </c>
      <c r="D15" s="1">
        <v>0.82</v>
      </c>
      <c r="E15" s="1">
        <v>0.6</v>
      </c>
    </row>
    <row r="16" spans="2:5">
      <c r="B16">
        <v>16</v>
      </c>
      <c r="C16" s="1">
        <v>0.83799999999999997</v>
      </c>
      <c r="D16" s="1">
        <v>0.82</v>
      </c>
      <c r="E16" s="1">
        <v>0.6</v>
      </c>
    </row>
    <row r="17" spans="2:5">
      <c r="B17">
        <v>17</v>
      </c>
      <c r="C17" s="1">
        <v>0.51</v>
      </c>
      <c r="D17" s="1">
        <v>0.82</v>
      </c>
      <c r="E17" s="1">
        <v>0.6</v>
      </c>
    </row>
    <row r="18" spans="2:5">
      <c r="B18">
        <v>18</v>
      </c>
      <c r="C18" s="1">
        <v>0.82050000000000001</v>
      </c>
      <c r="D18" s="1">
        <v>0.82</v>
      </c>
      <c r="E18" s="1">
        <v>0.6</v>
      </c>
    </row>
    <row r="19" spans="2:5">
      <c r="B19">
        <v>19</v>
      </c>
      <c r="C19" s="1">
        <v>0.879</v>
      </c>
      <c r="D19" s="1">
        <v>0.82</v>
      </c>
      <c r="E19" s="1">
        <v>0.6</v>
      </c>
    </row>
    <row r="20" spans="2:5">
      <c r="B20">
        <v>20</v>
      </c>
      <c r="C20" s="1">
        <v>0.73</v>
      </c>
      <c r="D20" s="1">
        <v>0.82</v>
      </c>
      <c r="E20" s="1">
        <v>0.6</v>
      </c>
    </row>
    <row r="21" spans="2:5">
      <c r="B21">
        <v>21</v>
      </c>
      <c r="C21" s="1">
        <v>0.88300000000000001</v>
      </c>
      <c r="D21" s="1">
        <v>0.82</v>
      </c>
      <c r="E21" s="1">
        <v>0.6</v>
      </c>
    </row>
    <row r="22" spans="2:5">
      <c r="B22">
        <v>22</v>
      </c>
      <c r="C22" s="1">
        <v>0.81699999999999995</v>
      </c>
      <c r="D22" s="1">
        <v>0.82</v>
      </c>
      <c r="E22" s="1">
        <v>0.6</v>
      </c>
    </row>
    <row r="23" spans="2:5">
      <c r="B23">
        <v>23</v>
      </c>
      <c r="C23" s="1">
        <v>0.82799999999999996</v>
      </c>
      <c r="D23" s="1">
        <v>0.82</v>
      </c>
      <c r="E23" s="1">
        <v>0.6</v>
      </c>
    </row>
    <row r="24" spans="2:5">
      <c r="B24">
        <v>24</v>
      </c>
      <c r="C24" s="1">
        <v>0.876</v>
      </c>
      <c r="D24" s="1">
        <v>0.82</v>
      </c>
      <c r="E24" s="1">
        <v>0.6</v>
      </c>
    </row>
    <row r="25" spans="2:5">
      <c r="B25">
        <v>25</v>
      </c>
      <c r="C25" s="1">
        <v>0.79700000000000004</v>
      </c>
      <c r="D25" s="1">
        <v>0.82</v>
      </c>
      <c r="E25" s="1">
        <v>0.6</v>
      </c>
    </row>
    <row r="26" spans="2:5">
      <c r="B26">
        <v>26</v>
      </c>
      <c r="C26" s="1">
        <v>0.85799999999999998</v>
      </c>
      <c r="D26" s="1">
        <v>0.82</v>
      </c>
      <c r="E26" s="1">
        <v>0.6</v>
      </c>
    </row>
    <row r="27" spans="2:5">
      <c r="B27">
        <v>27</v>
      </c>
      <c r="C27" s="1">
        <v>0.76800000000000002</v>
      </c>
      <c r="D27" s="1">
        <v>0.82</v>
      </c>
      <c r="E27" s="1">
        <v>0.6</v>
      </c>
    </row>
    <row r="28" spans="2:5">
      <c r="B28">
        <v>28</v>
      </c>
      <c r="C28" s="1">
        <v>0.79700000000000004</v>
      </c>
      <c r="D28" s="1">
        <v>0.82</v>
      </c>
      <c r="E28" s="1">
        <v>0.6</v>
      </c>
    </row>
    <row r="29" spans="2:5">
      <c r="B29">
        <v>29</v>
      </c>
      <c r="C29" s="1">
        <v>0.81599999999999995</v>
      </c>
      <c r="D29" s="1">
        <v>0.82</v>
      </c>
      <c r="E29" s="1">
        <v>0.6</v>
      </c>
    </row>
    <row r="30" spans="2:5">
      <c r="B30">
        <v>30</v>
      </c>
      <c r="C30" s="1">
        <v>0.86699999999999999</v>
      </c>
      <c r="D30" s="1">
        <v>0.82</v>
      </c>
      <c r="E30" s="1">
        <v>0.6</v>
      </c>
    </row>
    <row r="31" spans="2:5">
      <c r="B31">
        <v>31</v>
      </c>
      <c r="C31" s="1">
        <v>0.73</v>
      </c>
      <c r="D31" s="1">
        <v>0.82</v>
      </c>
      <c r="E31" s="1">
        <v>0.6</v>
      </c>
    </row>
    <row r="32" spans="2:5">
      <c r="B32">
        <v>32</v>
      </c>
      <c r="C32" s="1">
        <v>0.86799999999999999</v>
      </c>
      <c r="D32" s="1">
        <v>0.82</v>
      </c>
      <c r="E32" s="1">
        <v>0.6</v>
      </c>
    </row>
    <row r="33" spans="2:5">
      <c r="B33">
        <v>33</v>
      </c>
      <c r="C33" s="1">
        <v>0.88600000000000001</v>
      </c>
      <c r="D33" s="1">
        <v>0.82</v>
      </c>
      <c r="E33" s="1">
        <v>0.6</v>
      </c>
    </row>
    <row r="34" spans="2:5">
      <c r="B34">
        <v>34</v>
      </c>
      <c r="C34" s="1">
        <v>0.80800000000000005</v>
      </c>
      <c r="D34" s="1">
        <v>0.82</v>
      </c>
      <c r="E34" s="1">
        <v>0.6</v>
      </c>
    </row>
    <row r="35" spans="2:5">
      <c r="B35">
        <v>35</v>
      </c>
      <c r="C35" s="1">
        <v>0.91700000000000004</v>
      </c>
      <c r="D35" s="1">
        <v>0.82</v>
      </c>
      <c r="E35" s="1">
        <v>0.6</v>
      </c>
    </row>
    <row r="36" spans="2:5">
      <c r="B36">
        <v>36</v>
      </c>
      <c r="C36" s="1">
        <v>0.77300000000000002</v>
      </c>
      <c r="D36" s="1">
        <v>0.82</v>
      </c>
      <c r="E36" s="1">
        <v>0.6</v>
      </c>
    </row>
    <row r="37" spans="2:5">
      <c r="B37">
        <v>37</v>
      </c>
      <c r="C37" s="1">
        <v>0.86099999999999999</v>
      </c>
      <c r="D37" s="1">
        <v>0.82</v>
      </c>
      <c r="E37" s="1">
        <v>0.6</v>
      </c>
    </row>
    <row r="38" spans="2:5">
      <c r="B38">
        <v>38</v>
      </c>
      <c r="C38" s="1">
        <v>0.82250000000000001</v>
      </c>
      <c r="D38" s="1">
        <v>0.82</v>
      </c>
      <c r="E38" s="1">
        <v>0.6</v>
      </c>
    </row>
    <row r="39" spans="2:5">
      <c r="B39">
        <v>39</v>
      </c>
      <c r="C39" s="1">
        <v>0.85299999999999998</v>
      </c>
      <c r="D39" s="1">
        <v>0.82</v>
      </c>
      <c r="E39" s="1">
        <v>0.6</v>
      </c>
    </row>
    <row r="40" spans="2:5">
      <c r="B40">
        <v>40</v>
      </c>
      <c r="C40" s="1">
        <v>0.64800000000000002</v>
      </c>
      <c r="D40" s="1">
        <v>0.82</v>
      </c>
      <c r="E40" s="1">
        <v>0.6</v>
      </c>
    </row>
    <row r="41" spans="2:5">
      <c r="B41">
        <v>41</v>
      </c>
      <c r="C41" s="1">
        <v>0.86650000000000005</v>
      </c>
      <c r="D41" s="1">
        <v>0.82</v>
      </c>
      <c r="E41" s="1">
        <v>0.6</v>
      </c>
    </row>
    <row r="42" spans="2:5">
      <c r="B42">
        <v>42</v>
      </c>
      <c r="C42" s="1">
        <v>0.70299999999999996</v>
      </c>
      <c r="D42" s="1">
        <v>0.82</v>
      </c>
      <c r="E42" s="1">
        <v>0.6</v>
      </c>
    </row>
    <row r="43" spans="2:5">
      <c r="B43">
        <v>43</v>
      </c>
      <c r="C43" s="1">
        <v>0.75</v>
      </c>
      <c r="D43" s="1">
        <v>0.82</v>
      </c>
      <c r="E43" s="1">
        <v>0.6</v>
      </c>
    </row>
    <row r="44" spans="2:5">
      <c r="B44">
        <v>44</v>
      </c>
      <c r="C44" s="1">
        <v>0.83199999999999996</v>
      </c>
      <c r="D44" s="1">
        <v>0.82</v>
      </c>
      <c r="E44" s="1">
        <v>0.6</v>
      </c>
    </row>
    <row r="45" spans="2:5">
      <c r="B45">
        <v>45</v>
      </c>
      <c r="C45" s="1">
        <v>0.73199999999999998</v>
      </c>
      <c r="D45" s="1">
        <v>0.82</v>
      </c>
      <c r="E45" s="1">
        <v>0.6</v>
      </c>
    </row>
    <row r="46" spans="2:5">
      <c r="B46">
        <v>46</v>
      </c>
      <c r="C46" s="1">
        <v>0.78900000000000003</v>
      </c>
      <c r="D46" s="1">
        <v>0.82</v>
      </c>
      <c r="E46" s="1">
        <v>0.6</v>
      </c>
    </row>
    <row r="47" spans="2:5">
      <c r="B47">
        <v>47</v>
      </c>
      <c r="C47" s="1">
        <v>0.79800000000000004</v>
      </c>
      <c r="D47" s="1">
        <v>0.82</v>
      </c>
      <c r="E47" s="1">
        <v>0.6</v>
      </c>
    </row>
    <row r="48" spans="2:5">
      <c r="B48">
        <v>48</v>
      </c>
      <c r="C48" s="1">
        <v>0.91449999999999998</v>
      </c>
      <c r="D48" s="1">
        <v>0.82</v>
      </c>
      <c r="E48" s="1">
        <v>0.6</v>
      </c>
    </row>
  </sheetData>
  <phoneticPr fontId="25" type="noConversion"/>
  <pageMargins left="0.75" right="0.75" top="1" bottom="1" header="0.51180555555555596" footer="0.5118055555555559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B1:E48"/>
  <sheetViews>
    <sheetView zoomScale="70" zoomScaleNormal="70" workbookViewId="0">
      <selection activeCell="D1" sqref="D1:E48"/>
    </sheetView>
  </sheetViews>
  <sheetFormatPr defaultColWidth="8.796875" defaultRowHeight="15.6"/>
  <sheetData>
    <row r="1" spans="2:5">
      <c r="B1">
        <v>1</v>
      </c>
      <c r="C1" s="1">
        <v>0.76500000000000001</v>
      </c>
      <c r="D1" s="1">
        <v>0.82</v>
      </c>
      <c r="E1" s="1">
        <v>0.6</v>
      </c>
    </row>
    <row r="2" spans="2:5">
      <c r="B2">
        <v>2</v>
      </c>
      <c r="C2" s="1">
        <v>0.81799999999999995</v>
      </c>
      <c r="D2" s="1">
        <v>0.82</v>
      </c>
      <c r="E2" s="1">
        <v>0.6</v>
      </c>
    </row>
    <row r="3" spans="2:5">
      <c r="B3">
        <v>3</v>
      </c>
      <c r="C3" s="1">
        <v>0.74199999999999999</v>
      </c>
      <c r="D3" s="1">
        <v>0.82</v>
      </c>
      <c r="E3" s="1">
        <v>0.6</v>
      </c>
    </row>
    <row r="4" spans="2:5">
      <c r="B4">
        <v>4</v>
      </c>
      <c r="C4" s="1">
        <v>0.91</v>
      </c>
      <c r="D4" s="1">
        <v>0.82</v>
      </c>
      <c r="E4" s="1">
        <v>0.6</v>
      </c>
    </row>
    <row r="5" spans="2:5">
      <c r="B5">
        <v>5</v>
      </c>
      <c r="C5" s="1">
        <v>0.85</v>
      </c>
      <c r="D5" s="1">
        <v>0.82</v>
      </c>
      <c r="E5" s="1">
        <v>0.6</v>
      </c>
    </row>
    <row r="6" spans="2:5">
      <c r="B6">
        <v>6</v>
      </c>
      <c r="C6" s="1">
        <v>0.88800000000000001</v>
      </c>
      <c r="D6" s="1">
        <v>0.82</v>
      </c>
      <c r="E6" s="1">
        <v>0.6</v>
      </c>
    </row>
    <row r="7" spans="2:5">
      <c r="B7">
        <v>7</v>
      </c>
      <c r="C7" s="1">
        <v>0.69199999999999995</v>
      </c>
      <c r="D7" s="1">
        <v>0.82</v>
      </c>
      <c r="E7" s="1">
        <v>0.6</v>
      </c>
    </row>
    <row r="8" spans="2:5">
      <c r="B8">
        <v>8</v>
      </c>
      <c r="C8" s="1">
        <v>0.86550000000000005</v>
      </c>
      <c r="D8" s="1">
        <v>0.82</v>
      </c>
      <c r="E8" s="1">
        <v>0.6</v>
      </c>
    </row>
    <row r="9" spans="2:5">
      <c r="B9">
        <v>9</v>
      </c>
      <c r="C9" s="1">
        <v>0.79900000000000004</v>
      </c>
      <c r="D9" s="1">
        <v>0.82</v>
      </c>
      <c r="E9" s="1">
        <v>0.6</v>
      </c>
    </row>
    <row r="10" spans="2:5">
      <c r="B10">
        <v>10</v>
      </c>
      <c r="C10" s="1">
        <v>0.91800000000000004</v>
      </c>
      <c r="D10" s="1">
        <v>0.82</v>
      </c>
      <c r="E10" s="1">
        <v>0.6</v>
      </c>
    </row>
    <row r="11" spans="2:5">
      <c r="B11">
        <v>11</v>
      </c>
      <c r="C11" s="1">
        <v>0.92749999999999999</v>
      </c>
      <c r="D11" s="1">
        <v>0.82</v>
      </c>
      <c r="E11" s="1">
        <v>0.6</v>
      </c>
    </row>
    <row r="12" spans="2:5">
      <c r="B12">
        <v>12</v>
      </c>
      <c r="C12" s="1">
        <v>0.78700000000000003</v>
      </c>
      <c r="D12" s="1">
        <v>0.82</v>
      </c>
      <c r="E12" s="1">
        <v>0.6</v>
      </c>
    </row>
    <row r="13" spans="2:5">
      <c r="B13">
        <v>13</v>
      </c>
      <c r="C13" s="1">
        <v>0.90400000000000003</v>
      </c>
      <c r="D13" s="1">
        <v>0.82</v>
      </c>
      <c r="E13" s="1">
        <v>0.6</v>
      </c>
    </row>
    <row r="14" spans="2:5">
      <c r="B14">
        <v>14</v>
      </c>
      <c r="C14" s="1">
        <v>0.89549999999999996</v>
      </c>
      <c r="D14" s="1">
        <v>0.82</v>
      </c>
      <c r="E14" s="1">
        <v>0.6</v>
      </c>
    </row>
    <row r="15" spans="2:5">
      <c r="B15">
        <v>15</v>
      </c>
      <c r="C15" s="1">
        <v>0.82299999999999995</v>
      </c>
      <c r="D15" s="1">
        <v>0.82</v>
      </c>
      <c r="E15" s="1">
        <v>0.6</v>
      </c>
    </row>
    <row r="16" spans="2:5">
      <c r="B16">
        <v>16</v>
      </c>
      <c r="C16" s="1">
        <v>0.87</v>
      </c>
      <c r="D16" s="1">
        <v>0.82</v>
      </c>
      <c r="E16" s="1">
        <v>0.6</v>
      </c>
    </row>
    <row r="17" spans="2:5">
      <c r="B17">
        <v>17</v>
      </c>
      <c r="C17" s="1">
        <v>0.35</v>
      </c>
      <c r="D17" s="1">
        <v>0.82</v>
      </c>
      <c r="E17" s="1">
        <v>0.6</v>
      </c>
    </row>
    <row r="18" spans="2:5">
      <c r="B18">
        <v>18</v>
      </c>
      <c r="C18" s="1">
        <v>0.8</v>
      </c>
      <c r="D18" s="1">
        <v>0.82</v>
      </c>
      <c r="E18" s="1">
        <v>0.6</v>
      </c>
    </row>
    <row r="19" spans="2:5">
      <c r="B19">
        <v>19</v>
      </c>
      <c r="C19" s="1">
        <v>0.89800000000000002</v>
      </c>
      <c r="D19" s="1">
        <v>0.82</v>
      </c>
      <c r="E19" s="1">
        <v>0.6</v>
      </c>
    </row>
    <row r="20" spans="2:5">
      <c r="B20">
        <v>20</v>
      </c>
      <c r="C20" s="1">
        <v>0.77</v>
      </c>
      <c r="D20" s="1">
        <v>0.82</v>
      </c>
      <c r="E20" s="1">
        <v>0.6</v>
      </c>
    </row>
    <row r="21" spans="2:5">
      <c r="B21">
        <v>21</v>
      </c>
      <c r="C21" s="1">
        <v>0.9</v>
      </c>
      <c r="D21" s="1">
        <v>0.82</v>
      </c>
      <c r="E21" s="1">
        <v>0.6</v>
      </c>
    </row>
    <row r="22" spans="2:5">
      <c r="B22">
        <v>22</v>
      </c>
      <c r="C22" s="1">
        <v>0.86899999999999999</v>
      </c>
      <c r="D22" s="1">
        <v>0.82</v>
      </c>
      <c r="E22" s="1">
        <v>0.6</v>
      </c>
    </row>
    <row r="23" spans="2:5">
      <c r="B23">
        <v>23</v>
      </c>
      <c r="C23" s="1">
        <v>0.84050000000000002</v>
      </c>
      <c r="D23" s="1">
        <v>0.82</v>
      </c>
      <c r="E23" s="1">
        <v>0.6</v>
      </c>
    </row>
    <row r="24" spans="2:5">
      <c r="B24">
        <v>24</v>
      </c>
      <c r="C24" s="1">
        <v>0.91300000000000003</v>
      </c>
      <c r="D24" s="1">
        <v>0.82</v>
      </c>
      <c r="E24" s="1">
        <v>0.6</v>
      </c>
    </row>
    <row r="25" spans="2:5">
      <c r="B25">
        <v>25</v>
      </c>
      <c r="C25" s="1">
        <v>0.80400000000000005</v>
      </c>
      <c r="D25" s="1">
        <v>0.82</v>
      </c>
      <c r="E25" s="1">
        <v>0.6</v>
      </c>
    </row>
    <row r="26" spans="2:5">
      <c r="B26">
        <v>26</v>
      </c>
      <c r="C26" s="1">
        <v>0.85299999999999998</v>
      </c>
      <c r="D26" s="1">
        <v>0.82</v>
      </c>
      <c r="E26" s="1">
        <v>0.6</v>
      </c>
    </row>
    <row r="27" spans="2:5">
      <c r="B27">
        <v>27</v>
      </c>
      <c r="C27" s="1">
        <v>0.77200000000000002</v>
      </c>
      <c r="D27" s="1">
        <v>0.82</v>
      </c>
      <c r="E27" s="1">
        <v>0.6</v>
      </c>
    </row>
    <row r="28" spans="2:5">
      <c r="B28">
        <v>28</v>
      </c>
      <c r="C28" s="1">
        <v>0.85199999999999998</v>
      </c>
      <c r="D28" s="1">
        <v>0.82</v>
      </c>
      <c r="E28" s="1">
        <v>0.6</v>
      </c>
    </row>
    <row r="29" spans="2:5">
      <c r="B29">
        <v>29</v>
      </c>
      <c r="C29" s="1">
        <v>0.80600000000000005</v>
      </c>
      <c r="D29" s="1">
        <v>0.82</v>
      </c>
      <c r="E29" s="1">
        <v>0.6</v>
      </c>
    </row>
    <row r="30" spans="2:5">
      <c r="B30">
        <v>30</v>
      </c>
      <c r="C30" s="1">
        <v>0.90400000000000003</v>
      </c>
      <c r="D30" s="1">
        <v>0.82</v>
      </c>
      <c r="E30" s="1">
        <v>0.6</v>
      </c>
    </row>
    <row r="31" spans="2:5">
      <c r="B31">
        <v>31</v>
      </c>
      <c r="C31" s="1">
        <v>0.77600000000000002</v>
      </c>
      <c r="D31" s="1">
        <v>0.82</v>
      </c>
      <c r="E31" s="1">
        <v>0.6</v>
      </c>
    </row>
    <row r="32" spans="2:5">
      <c r="B32">
        <v>32</v>
      </c>
      <c r="C32" s="1">
        <v>0.82699999999999996</v>
      </c>
      <c r="D32" s="1">
        <v>0.82</v>
      </c>
      <c r="E32" s="1">
        <v>0.6</v>
      </c>
    </row>
    <row r="33" spans="2:5">
      <c r="B33">
        <v>33</v>
      </c>
      <c r="C33" s="1">
        <v>0.82</v>
      </c>
      <c r="D33" s="1">
        <v>0.82</v>
      </c>
      <c r="E33" s="1">
        <v>0.6</v>
      </c>
    </row>
    <row r="34" spans="2:5">
      <c r="B34">
        <v>34</v>
      </c>
      <c r="C34" s="1">
        <v>0.84</v>
      </c>
      <c r="D34" s="1">
        <v>0.82</v>
      </c>
      <c r="E34" s="1">
        <v>0.6</v>
      </c>
    </row>
    <row r="35" spans="2:5">
      <c r="B35">
        <v>35</v>
      </c>
      <c r="C35" s="1">
        <v>0.88400000000000001</v>
      </c>
      <c r="D35" s="1">
        <v>0.82</v>
      </c>
      <c r="E35" s="1">
        <v>0.6</v>
      </c>
    </row>
    <row r="36" spans="2:5">
      <c r="B36">
        <v>36</v>
      </c>
      <c r="C36" s="1">
        <v>0.83199999999999996</v>
      </c>
      <c r="D36" s="1">
        <v>0.82</v>
      </c>
      <c r="E36" s="1">
        <v>0.6</v>
      </c>
    </row>
    <row r="37" spans="2:5">
      <c r="B37">
        <v>37</v>
      </c>
      <c r="C37" s="1">
        <v>0.89300000000000002</v>
      </c>
      <c r="D37" s="1">
        <v>0.82</v>
      </c>
      <c r="E37" s="1">
        <v>0.6</v>
      </c>
    </row>
    <row r="38" spans="2:5">
      <c r="B38">
        <v>38</v>
      </c>
      <c r="C38" s="1">
        <v>0.83850000000000002</v>
      </c>
      <c r="D38" s="1">
        <v>0.82</v>
      </c>
      <c r="E38" s="1">
        <v>0.6</v>
      </c>
    </row>
    <row r="39" spans="2:5">
      <c r="B39">
        <v>39</v>
      </c>
      <c r="C39" s="1">
        <v>0.82899999999999996</v>
      </c>
      <c r="D39" s="1">
        <v>0.82</v>
      </c>
      <c r="E39" s="1">
        <v>0.6</v>
      </c>
    </row>
    <row r="40" spans="2:5">
      <c r="B40">
        <v>40</v>
      </c>
      <c r="C40" s="1">
        <v>0.71799999999999997</v>
      </c>
      <c r="D40" s="1">
        <v>0.82</v>
      </c>
      <c r="E40" s="1">
        <v>0.6</v>
      </c>
    </row>
    <row r="41" spans="2:5">
      <c r="B41">
        <v>41</v>
      </c>
      <c r="C41" s="1">
        <v>0.86199999999999999</v>
      </c>
      <c r="D41" s="1">
        <v>0.82</v>
      </c>
      <c r="E41" s="1">
        <v>0.6</v>
      </c>
    </row>
    <row r="42" spans="2:5">
      <c r="B42">
        <v>42</v>
      </c>
      <c r="C42" s="1">
        <v>0.71399999999999997</v>
      </c>
      <c r="D42" s="1">
        <v>0.82</v>
      </c>
      <c r="E42" s="1">
        <v>0.6</v>
      </c>
    </row>
    <row r="43" spans="2:5">
      <c r="B43">
        <v>43</v>
      </c>
      <c r="C43" s="1">
        <v>0.84199999999999997</v>
      </c>
      <c r="D43" s="1">
        <v>0.82</v>
      </c>
      <c r="E43" s="1">
        <v>0.6</v>
      </c>
    </row>
    <row r="44" spans="2:5">
      <c r="B44">
        <v>44</v>
      </c>
      <c r="C44" s="1">
        <v>0.83799999999999997</v>
      </c>
      <c r="D44" s="1">
        <v>0.82</v>
      </c>
      <c r="E44" s="1">
        <v>0.6</v>
      </c>
    </row>
    <row r="45" spans="2:5">
      <c r="B45">
        <v>45</v>
      </c>
      <c r="C45" s="1">
        <v>0.77700000000000002</v>
      </c>
      <c r="D45" s="1">
        <v>0.82</v>
      </c>
      <c r="E45" s="1">
        <v>0.6</v>
      </c>
    </row>
    <row r="46" spans="2:5">
      <c r="B46">
        <v>46</v>
      </c>
      <c r="C46" s="1">
        <v>0.76100000000000001</v>
      </c>
      <c r="D46" s="1">
        <v>0.82</v>
      </c>
      <c r="E46" s="1">
        <v>0.6</v>
      </c>
    </row>
    <row r="47" spans="2:5">
      <c r="B47">
        <v>47</v>
      </c>
      <c r="C47" s="1">
        <v>0.83599999999999997</v>
      </c>
      <c r="D47" s="1">
        <v>0.82</v>
      </c>
      <c r="E47" s="1">
        <v>0.6</v>
      </c>
    </row>
    <row r="48" spans="2:5">
      <c r="B48">
        <v>48</v>
      </c>
      <c r="C48" s="1">
        <v>0.88700000000000001</v>
      </c>
      <c r="D48" s="1">
        <v>0.82</v>
      </c>
      <c r="E48" s="1">
        <v>0.6</v>
      </c>
    </row>
  </sheetData>
  <phoneticPr fontId="25" type="noConversion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48"/>
  <sheetViews>
    <sheetView topLeftCell="H13" zoomScale="115" zoomScaleNormal="115" workbookViewId="0">
      <selection activeCell="D1" sqref="D1:E48"/>
    </sheetView>
  </sheetViews>
  <sheetFormatPr defaultColWidth="8.796875" defaultRowHeight="15.6"/>
  <sheetData>
    <row r="1" spans="2:5">
      <c r="B1">
        <v>1</v>
      </c>
      <c r="C1" s="1">
        <v>0.56999999999999995</v>
      </c>
      <c r="D1" s="1">
        <v>0.61</v>
      </c>
      <c r="E1" s="1">
        <v>0.6</v>
      </c>
    </row>
    <row r="2" spans="2:5">
      <c r="B2">
        <v>2</v>
      </c>
      <c r="C2" s="1">
        <v>0.47499999999999998</v>
      </c>
      <c r="D2" s="1">
        <v>0.61</v>
      </c>
      <c r="E2" s="1">
        <v>0.6</v>
      </c>
    </row>
    <row r="3" spans="2:5">
      <c r="B3">
        <v>3</v>
      </c>
      <c r="C3" s="1">
        <v>0.47499999999999998</v>
      </c>
      <c r="D3" s="1">
        <v>0.61</v>
      </c>
      <c r="E3" s="1">
        <v>0.6</v>
      </c>
    </row>
    <row r="4" spans="2:5">
      <c r="B4">
        <v>4</v>
      </c>
      <c r="C4" s="1">
        <v>0.71499999999999997</v>
      </c>
      <c r="D4" s="1">
        <v>0.61</v>
      </c>
      <c r="E4" s="1">
        <v>0.6</v>
      </c>
    </row>
    <row r="5" spans="2:5">
      <c r="B5">
        <v>5</v>
      </c>
      <c r="C5" s="1">
        <v>0.73750000000000004</v>
      </c>
      <c r="D5" s="1">
        <v>0.61</v>
      </c>
      <c r="E5" s="1">
        <v>0.6</v>
      </c>
    </row>
    <row r="6" spans="2:5">
      <c r="B6">
        <v>6</v>
      </c>
      <c r="C6" s="1">
        <v>0.67</v>
      </c>
      <c r="D6" s="1">
        <v>0.61</v>
      </c>
      <c r="E6" s="1">
        <v>0.6</v>
      </c>
    </row>
    <row r="7" spans="2:5">
      <c r="B7">
        <v>7</v>
      </c>
      <c r="C7" s="1">
        <v>0.57499999999999996</v>
      </c>
      <c r="D7" s="1">
        <v>0.61</v>
      </c>
      <c r="E7" s="1">
        <v>0.6</v>
      </c>
    </row>
    <row r="8" spans="2:5">
      <c r="B8">
        <v>8</v>
      </c>
      <c r="C8" s="1">
        <v>0.66</v>
      </c>
      <c r="D8" s="1">
        <v>0.61</v>
      </c>
      <c r="E8" s="1">
        <v>0.6</v>
      </c>
    </row>
    <row r="9" spans="2:5">
      <c r="B9">
        <v>9</v>
      </c>
      <c r="C9" s="1">
        <v>0.58499999999999996</v>
      </c>
      <c r="D9" s="1">
        <v>0.61</v>
      </c>
      <c r="E9" s="1">
        <v>0.6</v>
      </c>
    </row>
    <row r="10" spans="2:5">
      <c r="B10">
        <v>10</v>
      </c>
      <c r="C10" s="1">
        <v>0.71</v>
      </c>
      <c r="D10" s="1">
        <v>0.61</v>
      </c>
      <c r="E10" s="1">
        <v>0.6</v>
      </c>
    </row>
    <row r="11" spans="2:5">
      <c r="B11">
        <v>11</v>
      </c>
      <c r="C11" s="1">
        <v>0.71</v>
      </c>
      <c r="D11" s="1">
        <v>0.61</v>
      </c>
      <c r="E11" s="1">
        <v>0.6</v>
      </c>
    </row>
    <row r="12" spans="2:5">
      <c r="B12">
        <v>12</v>
      </c>
      <c r="C12" s="1">
        <v>0.57499999999999996</v>
      </c>
      <c r="D12" s="1">
        <v>0.61</v>
      </c>
      <c r="E12" s="1">
        <v>0.6</v>
      </c>
    </row>
    <row r="13" spans="2:5">
      <c r="B13">
        <v>13</v>
      </c>
      <c r="C13" s="1">
        <v>0.67500000000000004</v>
      </c>
      <c r="D13" s="1">
        <v>0.61</v>
      </c>
      <c r="E13" s="1">
        <v>0.6</v>
      </c>
    </row>
    <row r="14" spans="2:5">
      <c r="B14">
        <v>14</v>
      </c>
      <c r="C14" s="1">
        <v>0.69499999999999995</v>
      </c>
      <c r="D14" s="1">
        <v>0.61</v>
      </c>
      <c r="E14" s="1">
        <v>0.6</v>
      </c>
    </row>
    <row r="15" spans="2:5">
      <c r="B15">
        <v>15</v>
      </c>
      <c r="C15" s="1">
        <v>0.625</v>
      </c>
      <c r="D15" s="1">
        <v>0.61</v>
      </c>
      <c r="E15" s="1">
        <v>0.6</v>
      </c>
    </row>
    <row r="16" spans="2:5">
      <c r="B16">
        <v>16</v>
      </c>
      <c r="C16" s="1">
        <v>0.65500000000000003</v>
      </c>
      <c r="D16" s="1">
        <v>0.61</v>
      </c>
      <c r="E16" s="1">
        <v>0.6</v>
      </c>
    </row>
    <row r="17" spans="2:5">
      <c r="B17">
        <v>17</v>
      </c>
      <c r="C17" s="1">
        <v>0.4</v>
      </c>
      <c r="D17" s="1">
        <v>0.61</v>
      </c>
      <c r="E17" s="1">
        <v>0.6</v>
      </c>
    </row>
    <row r="18" spans="2:5">
      <c r="B18">
        <v>18</v>
      </c>
      <c r="C18" s="1">
        <v>0.59499999999999997</v>
      </c>
      <c r="D18" s="1">
        <v>0.61</v>
      </c>
      <c r="E18" s="1">
        <v>0.6</v>
      </c>
    </row>
    <row r="19" spans="2:5">
      <c r="B19">
        <v>19</v>
      </c>
      <c r="C19" s="1">
        <v>0.56999999999999995</v>
      </c>
      <c r="D19" s="1">
        <v>0.61</v>
      </c>
      <c r="E19" s="1">
        <v>0.6</v>
      </c>
    </row>
    <row r="20" spans="2:5">
      <c r="B20">
        <v>20</v>
      </c>
      <c r="C20" s="1">
        <v>0.51500000000000001</v>
      </c>
      <c r="D20" s="1">
        <v>0.61</v>
      </c>
      <c r="E20" s="1">
        <v>0.6</v>
      </c>
    </row>
    <row r="21" spans="2:5">
      <c r="B21">
        <v>21</v>
      </c>
      <c r="C21" s="1">
        <v>0.68500000000000005</v>
      </c>
      <c r="D21" s="1">
        <v>0.61</v>
      </c>
      <c r="E21" s="1">
        <v>0.6</v>
      </c>
    </row>
    <row r="22" spans="2:5">
      <c r="B22">
        <v>22</v>
      </c>
      <c r="C22" s="1">
        <v>0.6</v>
      </c>
      <c r="D22" s="1">
        <v>0.61</v>
      </c>
      <c r="E22" s="1">
        <v>0.6</v>
      </c>
    </row>
    <row r="23" spans="2:5">
      <c r="B23">
        <v>23</v>
      </c>
      <c r="C23" s="1">
        <v>0.60499999999999998</v>
      </c>
      <c r="D23" s="1">
        <v>0.61</v>
      </c>
      <c r="E23" s="1">
        <v>0.6</v>
      </c>
    </row>
    <row r="24" spans="2:5">
      <c r="B24">
        <v>24</v>
      </c>
      <c r="C24" s="1">
        <v>0.7</v>
      </c>
      <c r="D24" s="1">
        <v>0.61</v>
      </c>
      <c r="E24" s="1">
        <v>0.6</v>
      </c>
    </row>
    <row r="25" spans="2:5">
      <c r="B25">
        <v>25</v>
      </c>
      <c r="C25" s="1">
        <v>0.57250000000000001</v>
      </c>
      <c r="D25" s="1">
        <v>0.61</v>
      </c>
      <c r="E25" s="1">
        <v>0.6</v>
      </c>
    </row>
    <row r="26" spans="2:5">
      <c r="B26">
        <v>26</v>
      </c>
      <c r="C26" s="1">
        <v>0.65</v>
      </c>
      <c r="D26" s="1">
        <v>0.61</v>
      </c>
      <c r="E26" s="1">
        <v>0.6</v>
      </c>
    </row>
    <row r="27" spans="2:5">
      <c r="B27">
        <v>27</v>
      </c>
      <c r="C27" s="1">
        <v>0.55000000000000004</v>
      </c>
      <c r="D27" s="1">
        <v>0.61</v>
      </c>
      <c r="E27" s="1">
        <v>0.6</v>
      </c>
    </row>
    <row r="28" spans="2:5">
      <c r="B28">
        <v>28</v>
      </c>
      <c r="C28" s="1">
        <v>0.59</v>
      </c>
      <c r="D28" s="1">
        <v>0.61</v>
      </c>
      <c r="E28" s="1">
        <v>0.6</v>
      </c>
    </row>
    <row r="29" spans="2:5">
      <c r="B29">
        <v>29</v>
      </c>
      <c r="C29" s="1">
        <v>0.63</v>
      </c>
      <c r="D29" s="1">
        <v>0.61</v>
      </c>
      <c r="E29" s="1">
        <v>0.6</v>
      </c>
    </row>
    <row r="30" spans="2:5">
      <c r="B30">
        <v>30</v>
      </c>
      <c r="C30" s="1">
        <v>0.70499999999999996</v>
      </c>
      <c r="D30" s="1">
        <v>0.61</v>
      </c>
      <c r="E30" s="1">
        <v>0.6</v>
      </c>
    </row>
    <row r="31" spans="2:5">
      <c r="B31">
        <v>31</v>
      </c>
      <c r="C31" s="1">
        <v>0.55000000000000004</v>
      </c>
      <c r="D31" s="1">
        <v>0.61</v>
      </c>
      <c r="E31" s="1">
        <v>0.6</v>
      </c>
    </row>
    <row r="32" spans="2:5">
      <c r="B32">
        <v>32</v>
      </c>
      <c r="C32" s="1">
        <v>0.62</v>
      </c>
      <c r="D32" s="1">
        <v>0.61</v>
      </c>
      <c r="E32" s="1">
        <v>0.6</v>
      </c>
    </row>
    <row r="33" spans="2:5">
      <c r="B33">
        <v>33</v>
      </c>
      <c r="C33" s="1">
        <v>0.63</v>
      </c>
      <c r="D33" s="1">
        <v>0.61</v>
      </c>
      <c r="E33" s="1">
        <v>0.6</v>
      </c>
    </row>
    <row r="34" spans="2:5">
      <c r="B34">
        <v>34</v>
      </c>
      <c r="C34" s="1">
        <v>0.62</v>
      </c>
      <c r="D34" s="1">
        <v>0.61</v>
      </c>
      <c r="E34" s="1">
        <v>0.6</v>
      </c>
    </row>
    <row r="35" spans="2:5">
      <c r="B35">
        <v>35</v>
      </c>
      <c r="C35" s="1">
        <v>0.70499999999999996</v>
      </c>
      <c r="D35" s="1">
        <v>0.61</v>
      </c>
      <c r="E35" s="1">
        <v>0.6</v>
      </c>
    </row>
    <row r="36" spans="2:5">
      <c r="B36">
        <v>36</v>
      </c>
      <c r="C36" s="1">
        <v>0.59499999999999997</v>
      </c>
      <c r="D36" s="1">
        <v>0.61</v>
      </c>
      <c r="E36" s="1">
        <v>0.6</v>
      </c>
    </row>
    <row r="37" spans="2:5">
      <c r="B37">
        <v>37</v>
      </c>
      <c r="C37" s="1">
        <v>0.66500000000000004</v>
      </c>
      <c r="D37" s="1">
        <v>0.61</v>
      </c>
      <c r="E37" s="1">
        <v>0.6</v>
      </c>
    </row>
    <row r="38" spans="2:5">
      <c r="B38">
        <v>38</v>
      </c>
      <c r="C38" s="1">
        <v>0.64</v>
      </c>
      <c r="D38" s="1">
        <v>0.61</v>
      </c>
      <c r="E38" s="1">
        <v>0.6</v>
      </c>
    </row>
    <row r="39" spans="2:5">
      <c r="B39">
        <v>39</v>
      </c>
      <c r="C39" s="1">
        <v>0.64</v>
      </c>
      <c r="D39" s="1">
        <v>0.61</v>
      </c>
      <c r="E39" s="1">
        <v>0.6</v>
      </c>
    </row>
    <row r="40" spans="2:5">
      <c r="B40">
        <v>40</v>
      </c>
      <c r="C40" s="1">
        <v>0.505</v>
      </c>
      <c r="D40" s="1">
        <v>0.61</v>
      </c>
      <c r="E40" s="1">
        <v>0.6</v>
      </c>
    </row>
    <row r="41" spans="2:5">
      <c r="B41">
        <v>41</v>
      </c>
      <c r="C41" s="1">
        <v>0.625</v>
      </c>
      <c r="D41" s="1">
        <v>0.61</v>
      </c>
      <c r="E41" s="1">
        <v>0.6</v>
      </c>
    </row>
    <row r="42" spans="2:5">
      <c r="B42">
        <v>42</v>
      </c>
      <c r="C42" s="1">
        <v>0.55000000000000004</v>
      </c>
      <c r="D42" s="1">
        <v>0.61</v>
      </c>
      <c r="E42" s="1">
        <v>0.6</v>
      </c>
    </row>
    <row r="43" spans="2:5">
      <c r="B43">
        <v>43</v>
      </c>
      <c r="C43" s="1">
        <v>0.61499999999999999</v>
      </c>
      <c r="D43" s="1">
        <v>0.61</v>
      </c>
      <c r="E43" s="1">
        <v>0.6</v>
      </c>
    </row>
    <row r="44" spans="2:5">
      <c r="B44">
        <v>44</v>
      </c>
      <c r="C44" s="1">
        <v>0.57499999999999996</v>
      </c>
      <c r="D44" s="1">
        <v>0.61</v>
      </c>
      <c r="E44" s="1">
        <v>0.6</v>
      </c>
    </row>
    <row r="45" spans="2:5">
      <c r="B45">
        <v>45</v>
      </c>
      <c r="C45" s="1">
        <v>0.49</v>
      </c>
      <c r="D45" s="1">
        <v>0.61</v>
      </c>
      <c r="E45" s="1">
        <v>0.6</v>
      </c>
    </row>
    <row r="46" spans="2:5">
      <c r="B46">
        <v>46</v>
      </c>
      <c r="C46" s="1">
        <v>0.495</v>
      </c>
      <c r="D46" s="1">
        <v>0.61</v>
      </c>
      <c r="E46" s="1">
        <v>0.6</v>
      </c>
    </row>
    <row r="47" spans="2:5">
      <c r="B47">
        <v>47</v>
      </c>
      <c r="C47" s="1">
        <v>0.52500000000000002</v>
      </c>
      <c r="D47" s="1">
        <v>0.61</v>
      </c>
      <c r="E47" s="1">
        <v>0.6</v>
      </c>
    </row>
    <row r="48" spans="2:5">
      <c r="B48">
        <v>48</v>
      </c>
      <c r="C48" s="1">
        <v>0.72499999999999998</v>
      </c>
      <c r="D48" s="1">
        <v>0.61</v>
      </c>
      <c r="E48" s="1">
        <v>0.6</v>
      </c>
    </row>
  </sheetData>
  <phoneticPr fontId="25" type="noConversion"/>
  <pageMargins left="0.7" right="0.7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48"/>
  <sheetViews>
    <sheetView tabSelected="1" topLeftCell="E1" workbookViewId="0">
      <selection activeCell="Q39" sqref="Q39"/>
    </sheetView>
  </sheetViews>
  <sheetFormatPr defaultColWidth="8.796875" defaultRowHeight="15.6"/>
  <sheetData>
    <row r="1" spans="2:5">
      <c r="B1">
        <v>1</v>
      </c>
      <c r="C1" s="1">
        <v>0.69666666666666699</v>
      </c>
      <c r="D1" s="1">
        <v>0.75</v>
      </c>
      <c r="E1" s="1">
        <v>0.6</v>
      </c>
    </row>
    <row r="2" spans="2:5">
      <c r="B2">
        <v>2</v>
      </c>
      <c r="C2" s="1">
        <v>0.74555555555555597</v>
      </c>
      <c r="D2" s="1">
        <v>0.75</v>
      </c>
      <c r="E2" s="1">
        <v>0.6</v>
      </c>
    </row>
    <row r="3" spans="2:5">
      <c r="B3">
        <v>3</v>
      </c>
      <c r="C3" s="1">
        <v>0.67222222222222205</v>
      </c>
      <c r="D3" s="1">
        <v>0.75</v>
      </c>
      <c r="E3" s="1">
        <v>0.6</v>
      </c>
    </row>
    <row r="4" spans="2:5">
      <c r="B4">
        <v>4</v>
      </c>
      <c r="C4" s="1">
        <v>0.82277777777777805</v>
      </c>
      <c r="D4" s="1">
        <v>0.75</v>
      </c>
      <c r="E4" s="1">
        <v>0.6</v>
      </c>
    </row>
    <row r="5" spans="2:5">
      <c r="B5">
        <v>5</v>
      </c>
      <c r="C5" s="1">
        <v>0.82499999999999996</v>
      </c>
      <c r="D5" s="1">
        <v>0.75</v>
      </c>
      <c r="E5" s="1">
        <v>0.6</v>
      </c>
    </row>
    <row r="6" spans="2:5">
      <c r="B6">
        <v>6</v>
      </c>
      <c r="C6" s="1">
        <v>0.84166666666666701</v>
      </c>
      <c r="D6" s="1">
        <v>0.75</v>
      </c>
      <c r="E6" s="1">
        <v>0.6</v>
      </c>
    </row>
    <row r="7" spans="2:5">
      <c r="B7">
        <v>7</v>
      </c>
      <c r="C7" s="1">
        <v>0.67905555555555597</v>
      </c>
      <c r="D7" s="1">
        <v>0.75</v>
      </c>
      <c r="E7" s="1">
        <v>0.6</v>
      </c>
    </row>
    <row r="8" spans="2:5">
      <c r="B8">
        <v>8</v>
      </c>
      <c r="C8" s="1">
        <v>0.74222222222222201</v>
      </c>
      <c r="D8" s="1">
        <v>0.75</v>
      </c>
      <c r="E8" s="1">
        <v>0.6</v>
      </c>
    </row>
    <row r="9" spans="2:5">
      <c r="B9">
        <v>9</v>
      </c>
      <c r="C9" s="1">
        <v>0.75777777777777799</v>
      </c>
      <c r="D9" s="1">
        <v>0.75</v>
      </c>
      <c r="E9" s="1">
        <v>0.6</v>
      </c>
    </row>
    <row r="10" spans="2:5">
      <c r="B10">
        <v>10</v>
      </c>
      <c r="C10" s="1">
        <v>0.86627777777777804</v>
      </c>
      <c r="D10" s="1">
        <v>0.75</v>
      </c>
      <c r="E10" s="1">
        <v>0.6</v>
      </c>
    </row>
    <row r="11" spans="2:5">
      <c r="B11">
        <v>11</v>
      </c>
      <c r="C11" s="1">
        <v>0.83111111111111102</v>
      </c>
      <c r="D11" s="1">
        <v>0.75</v>
      </c>
      <c r="E11" s="1">
        <v>0.6</v>
      </c>
    </row>
    <row r="12" spans="2:5">
      <c r="B12">
        <v>12</v>
      </c>
      <c r="C12" s="1">
        <v>0.78649999999999998</v>
      </c>
      <c r="D12" s="1">
        <v>0.75</v>
      </c>
      <c r="E12" s="1">
        <v>0.6</v>
      </c>
    </row>
    <row r="13" spans="2:5">
      <c r="B13">
        <v>13</v>
      </c>
      <c r="C13" s="1">
        <v>0.91222222222222205</v>
      </c>
      <c r="D13" s="1">
        <v>0.75</v>
      </c>
      <c r="E13" s="1">
        <v>0.6</v>
      </c>
    </row>
    <row r="14" spans="2:5">
      <c r="B14">
        <v>14</v>
      </c>
      <c r="C14" s="1">
        <v>0.77888888888888896</v>
      </c>
      <c r="D14" s="1">
        <v>0.75</v>
      </c>
      <c r="E14" s="1">
        <v>0.6</v>
      </c>
    </row>
    <row r="15" spans="2:5">
      <c r="B15">
        <v>15</v>
      </c>
      <c r="C15" s="1">
        <v>0.793333333333333</v>
      </c>
      <c r="D15" s="1">
        <v>0.75</v>
      </c>
      <c r="E15" s="1">
        <v>0.6</v>
      </c>
    </row>
    <row r="16" spans="2:5">
      <c r="B16">
        <v>16</v>
      </c>
      <c r="C16" s="1">
        <v>0.801111111111111</v>
      </c>
      <c r="D16" s="1">
        <v>0.75</v>
      </c>
      <c r="E16" s="1">
        <v>0.6</v>
      </c>
    </row>
    <row r="17" spans="2:5">
      <c r="B17">
        <v>17</v>
      </c>
      <c r="C17" s="1">
        <v>0.54316666666666702</v>
      </c>
      <c r="D17" s="1">
        <v>0.75</v>
      </c>
      <c r="E17" s="1">
        <v>0.6</v>
      </c>
    </row>
    <row r="18" spans="2:5">
      <c r="B18">
        <v>18</v>
      </c>
      <c r="C18" s="1">
        <v>0.73111111111111104</v>
      </c>
      <c r="D18" s="1">
        <v>0.75</v>
      </c>
      <c r="E18" s="1">
        <v>0.6</v>
      </c>
    </row>
    <row r="19" spans="2:5">
      <c r="B19">
        <v>19</v>
      </c>
      <c r="C19" s="1">
        <v>0.78683333333333305</v>
      </c>
      <c r="D19" s="1">
        <v>0.75</v>
      </c>
      <c r="E19" s="1">
        <v>0.6</v>
      </c>
    </row>
    <row r="20" spans="2:5">
      <c r="B20">
        <v>20</v>
      </c>
      <c r="C20" s="1">
        <v>0.612222222222222</v>
      </c>
      <c r="D20" s="1">
        <v>0.75</v>
      </c>
      <c r="E20" s="1">
        <v>0.6</v>
      </c>
    </row>
    <row r="21" spans="2:5">
      <c r="B21">
        <v>21</v>
      </c>
      <c r="C21" s="1">
        <v>0.73166666666666702</v>
      </c>
      <c r="D21" s="1">
        <v>0.75</v>
      </c>
      <c r="E21" s="1">
        <v>0.6</v>
      </c>
    </row>
    <row r="22" spans="2:5">
      <c r="B22">
        <v>22</v>
      </c>
      <c r="C22" s="1">
        <v>0.73666666666666702</v>
      </c>
      <c r="D22" s="1">
        <v>0.75</v>
      </c>
      <c r="E22" s="1">
        <v>0.6</v>
      </c>
    </row>
    <row r="23" spans="2:5">
      <c r="B23">
        <v>23</v>
      </c>
      <c r="C23" s="1">
        <v>0.8</v>
      </c>
      <c r="D23" s="1">
        <v>0.75</v>
      </c>
      <c r="E23" s="1">
        <v>0.6</v>
      </c>
    </row>
    <row r="24" spans="2:5">
      <c r="B24">
        <v>24</v>
      </c>
      <c r="C24" s="1">
        <v>0.93183333333333296</v>
      </c>
      <c r="D24" s="1">
        <v>0.75</v>
      </c>
      <c r="E24" s="1">
        <v>0.6</v>
      </c>
    </row>
    <row r="25" spans="2:5">
      <c r="B25">
        <v>25</v>
      </c>
      <c r="C25" s="1">
        <v>0.81666666666666698</v>
      </c>
      <c r="D25" s="1">
        <v>0.75</v>
      </c>
      <c r="E25" s="1">
        <v>0.6</v>
      </c>
    </row>
    <row r="26" spans="2:5">
      <c r="B26">
        <v>26</v>
      </c>
      <c r="C26" s="1">
        <v>0.70055555555555604</v>
      </c>
      <c r="D26" s="1">
        <v>0.75</v>
      </c>
      <c r="E26" s="1">
        <v>0.6</v>
      </c>
    </row>
    <row r="27" spans="2:5">
      <c r="B27">
        <v>27</v>
      </c>
      <c r="C27" s="1">
        <v>0.729833333333333</v>
      </c>
      <c r="D27" s="1">
        <v>0.75</v>
      </c>
      <c r="E27" s="1">
        <v>0.6</v>
      </c>
    </row>
    <row r="28" spans="2:5">
      <c r="B28">
        <v>28</v>
      </c>
      <c r="C28" s="1">
        <v>0.69</v>
      </c>
      <c r="D28" s="1">
        <v>0.75</v>
      </c>
      <c r="E28" s="1">
        <v>0.6</v>
      </c>
    </row>
    <row r="29" spans="2:5">
      <c r="B29">
        <v>29</v>
      </c>
      <c r="C29" s="1">
        <v>0.68055555555555602</v>
      </c>
      <c r="D29" s="1">
        <v>0.75</v>
      </c>
      <c r="E29" s="1">
        <v>0.6</v>
      </c>
    </row>
    <row r="30" spans="2:5">
      <c r="B30">
        <v>30</v>
      </c>
      <c r="C30" s="1">
        <v>0.79183333333333294</v>
      </c>
      <c r="D30" s="1">
        <v>0.75</v>
      </c>
      <c r="E30" s="1">
        <v>0.6</v>
      </c>
    </row>
    <row r="31" spans="2:5">
      <c r="B31">
        <v>31</v>
      </c>
      <c r="C31" s="1">
        <v>0.72722222222222199</v>
      </c>
      <c r="D31" s="1">
        <v>0.75</v>
      </c>
      <c r="E31" s="1">
        <v>0.6</v>
      </c>
    </row>
    <row r="32" spans="2:5">
      <c r="B32">
        <v>32</v>
      </c>
      <c r="C32" s="1">
        <v>0.737222222222222</v>
      </c>
      <c r="D32" s="1">
        <v>0.75</v>
      </c>
      <c r="E32" s="1">
        <v>0.6</v>
      </c>
    </row>
    <row r="33" spans="2:5">
      <c r="B33">
        <v>33</v>
      </c>
      <c r="C33" s="1">
        <v>0.80500000000000005</v>
      </c>
      <c r="D33" s="1">
        <v>0.75</v>
      </c>
      <c r="E33" s="1">
        <v>0.6</v>
      </c>
    </row>
    <row r="34" spans="2:5">
      <c r="B34">
        <v>34</v>
      </c>
      <c r="C34" s="1">
        <v>0.79149999999999998</v>
      </c>
      <c r="D34" s="1">
        <v>0.75</v>
      </c>
      <c r="E34" s="1">
        <v>0.6</v>
      </c>
    </row>
    <row r="35" spans="2:5">
      <c r="B35">
        <v>35</v>
      </c>
      <c r="C35" s="1">
        <v>0.836666666666667</v>
      </c>
      <c r="D35" s="1">
        <v>0.75</v>
      </c>
      <c r="E35" s="1">
        <v>0.6</v>
      </c>
    </row>
    <row r="36" spans="2:5">
      <c r="B36">
        <v>36</v>
      </c>
      <c r="C36" s="1">
        <v>0.73650000000000004</v>
      </c>
      <c r="D36" s="1">
        <v>0.75</v>
      </c>
      <c r="E36" s="1">
        <v>0.6</v>
      </c>
    </row>
    <row r="37" spans="2:5">
      <c r="B37">
        <v>37</v>
      </c>
      <c r="C37" s="1">
        <v>0.83</v>
      </c>
      <c r="D37" s="1">
        <v>0.75</v>
      </c>
      <c r="E37" s="1">
        <v>0.6</v>
      </c>
    </row>
    <row r="38" spans="2:5">
      <c r="B38">
        <v>38</v>
      </c>
      <c r="C38" s="1">
        <v>0.62222222222222201</v>
      </c>
      <c r="D38" s="1">
        <v>0.75</v>
      </c>
      <c r="E38" s="1">
        <v>0.6</v>
      </c>
    </row>
    <row r="39" spans="2:5">
      <c r="B39">
        <v>39</v>
      </c>
      <c r="C39" s="1">
        <v>0.82444444444444498</v>
      </c>
      <c r="D39" s="1">
        <v>0.75</v>
      </c>
      <c r="E39" s="1">
        <v>0.6</v>
      </c>
    </row>
    <row r="40" spans="2:5">
      <c r="B40">
        <v>40</v>
      </c>
      <c r="C40" s="1">
        <v>0.70888888888888901</v>
      </c>
      <c r="D40" s="1">
        <v>0.75</v>
      </c>
      <c r="E40" s="1">
        <v>0.6</v>
      </c>
    </row>
    <row r="41" spans="2:5">
      <c r="B41">
        <v>41</v>
      </c>
      <c r="C41" s="1">
        <v>0.77055555555555599</v>
      </c>
      <c r="D41" s="1">
        <v>0.75</v>
      </c>
      <c r="E41" s="1">
        <v>0.6</v>
      </c>
    </row>
    <row r="42" spans="2:5">
      <c r="B42">
        <v>42</v>
      </c>
      <c r="C42" s="1">
        <v>0.67649999999999999</v>
      </c>
      <c r="D42" s="1">
        <v>0.75</v>
      </c>
      <c r="E42" s="1">
        <v>0.6</v>
      </c>
    </row>
    <row r="43" spans="2:5">
      <c r="B43">
        <v>43</v>
      </c>
      <c r="C43" s="1">
        <v>0.51222222222222202</v>
      </c>
      <c r="D43" s="1">
        <v>0.75</v>
      </c>
      <c r="E43" s="1">
        <v>0.6</v>
      </c>
    </row>
    <row r="44" spans="2:5">
      <c r="B44">
        <v>44</v>
      </c>
      <c r="C44" s="1">
        <v>0.73572222222222206</v>
      </c>
      <c r="D44" s="1">
        <v>0.75</v>
      </c>
      <c r="E44" s="1">
        <v>0.6</v>
      </c>
    </row>
    <row r="45" spans="2:5">
      <c r="B45">
        <v>45</v>
      </c>
      <c r="C45" s="1">
        <v>0.67222222222222205</v>
      </c>
      <c r="D45" s="1">
        <v>0.75</v>
      </c>
      <c r="E45" s="1">
        <v>0.6</v>
      </c>
    </row>
    <row r="46" spans="2:5">
      <c r="B46">
        <v>46</v>
      </c>
      <c r="C46" s="1">
        <v>0.74722222222222201</v>
      </c>
      <c r="D46" s="1">
        <v>0.75</v>
      </c>
      <c r="E46" s="1">
        <v>0.6</v>
      </c>
    </row>
    <row r="47" spans="2:5">
      <c r="B47">
        <v>47</v>
      </c>
      <c r="C47" s="1">
        <v>0.663333333333333</v>
      </c>
      <c r="D47" s="1">
        <v>0.75</v>
      </c>
      <c r="E47" s="1">
        <v>0.6</v>
      </c>
    </row>
    <row r="48" spans="2:5">
      <c r="B48">
        <v>48</v>
      </c>
      <c r="C48" s="1">
        <v>0.82</v>
      </c>
      <c r="D48" s="1">
        <v>0.75</v>
      </c>
      <c r="E48" s="1">
        <v>0.6</v>
      </c>
    </row>
  </sheetData>
  <phoneticPr fontId="25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期末成绩</vt:lpstr>
      <vt:lpstr>实验成绩</vt:lpstr>
      <vt:lpstr>平时成绩</vt:lpstr>
      <vt:lpstr>学生个体课程目标达成度</vt:lpstr>
      <vt:lpstr>课程目标点达成度</vt:lpstr>
      <vt:lpstr>课程目标条形图</vt:lpstr>
      <vt:lpstr>目标1散点趋势图</vt:lpstr>
      <vt:lpstr>目标2散点趋势图</vt:lpstr>
      <vt:lpstr>目标3散点趋势图</vt:lpstr>
      <vt:lpstr>目标4散点趋势图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</dc:creator>
  <cp:lastModifiedBy>东良 刘</cp:lastModifiedBy>
  <cp:lastPrinted>2016-01-08T02:03:00Z</cp:lastPrinted>
  <dcterms:created xsi:type="dcterms:W3CDTF">1996-12-17T01:32:00Z</dcterms:created>
  <dcterms:modified xsi:type="dcterms:W3CDTF">2026-06-10T05:51:18Z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5D68EACBB1374769AEB7C9F0F76BABEB_13</vt:lpwstr>
  </property>
  <property fmtid="{D5CDD505-2E9C-101B-9397-08002B2CF9AE}" pid="4" name="CalculationRule">
    <vt:i4>0</vt:i4>
  </property>
</Properties>
</file>