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tabRatio="807" firstSheet="4" activeTab="9"/>
  </bookViews>
  <sheets>
    <sheet name="期末成绩" sheetId="11" r:id="rId1"/>
    <sheet name="实验成绩" sheetId="10" r:id="rId2"/>
    <sheet name="平时成绩" sheetId="12" r:id="rId3"/>
    <sheet name="学生个体课程目标达成度" sheetId="9" r:id="rId4"/>
    <sheet name="课程目标点达成度" sheetId="5" r:id="rId5"/>
    <sheet name="Sheet1" sheetId="13" r:id="rId6"/>
    <sheet name="Sheet2(1)" sheetId="14" r:id="rId7"/>
    <sheet name="Sheet2(2)" sheetId="18" r:id="rId8"/>
    <sheet name="Sheet2(3)" sheetId="22" r:id="rId9"/>
    <sheet name="Sheet2(4)" sheetId="2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<sst xmlns="http://schemas.openxmlformats.org/spreadsheetml/2006/main" count="543" uniqueCount="199">
  <si>
    <r>
      <t xml:space="preserve">2025- 2026 </t>
    </r>
    <r>
      <rPr>
        <sz val="12"/>
        <rFont val="宋体"/>
        <charset val="134"/>
      </rPr>
      <t>学年第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学期计科</t>
    </r>
    <r>
      <rPr>
        <sz val="12"/>
        <rFont val="Times New Roman"/>
        <charset val="134"/>
      </rPr>
      <t>22</t>
    </r>
    <r>
      <rPr>
        <sz val="12"/>
        <rFont val="宋体"/>
        <charset val="134"/>
      </rPr>
      <t>《移动应用开发》课程目标达成度计算表（期末考核）</t>
    </r>
  </si>
  <si>
    <r>
      <t>班级：计科</t>
    </r>
    <r>
      <rPr>
        <sz val="12"/>
        <rFont val="Times New Roman"/>
        <charset val="134"/>
      </rPr>
      <t>22</t>
    </r>
  </si>
  <si>
    <r>
      <t>评价方式</t>
    </r>
    <r>
      <rPr>
        <sz val="12"/>
        <rFont val="Times New Roman"/>
        <charset val="134"/>
      </rPr>
      <t>:</t>
    </r>
    <r>
      <rPr>
        <sz val="12"/>
        <rFont val="宋体"/>
        <charset val="134"/>
      </rPr>
      <t>期末考核（大作业）</t>
    </r>
  </si>
  <si>
    <r>
      <t>满分值：</t>
    </r>
    <r>
      <rPr>
        <sz val="12"/>
        <rFont val="Times New Roman"/>
        <charset val="134"/>
      </rPr>
      <t>100</t>
    </r>
    <r>
      <rPr>
        <sz val="12"/>
        <rFont val="宋体"/>
        <charset val="134"/>
      </rPr>
      <t>分</t>
    </r>
  </si>
  <si>
    <t>课程目标</t>
  </si>
  <si>
    <t xml:space="preserve">3
4 </t>
  </si>
  <si>
    <t>总评</t>
  </si>
  <si>
    <t>学号</t>
  </si>
  <si>
    <t>满分10</t>
  </si>
  <si>
    <t>满分20</t>
  </si>
  <si>
    <t>满分30</t>
  </si>
  <si>
    <t>满分40</t>
  </si>
  <si>
    <t>项目（30%）</t>
  </si>
  <si>
    <t>指标点达成度</t>
  </si>
  <si>
    <t>小组（20%）</t>
  </si>
  <si>
    <t>个人（20%）</t>
  </si>
  <si>
    <t>答辩（30%）</t>
  </si>
  <si>
    <t>得分</t>
  </si>
  <si>
    <t>2020211034</t>
  </si>
  <si>
    <t>张梦杰</t>
  </si>
  <si>
    <t>2020213700</t>
  </si>
  <si>
    <t>童其凡</t>
  </si>
  <si>
    <t>2022210331</t>
  </si>
  <si>
    <t>曹安晨</t>
  </si>
  <si>
    <t>2022210332</t>
  </si>
  <si>
    <t>陈晨</t>
  </si>
  <si>
    <t>2022210333</t>
  </si>
  <si>
    <t>陈创东</t>
  </si>
  <si>
    <t>2022210334</t>
  </si>
  <si>
    <t>程纪阳</t>
  </si>
  <si>
    <t>2022210335</t>
  </si>
  <si>
    <t>程梦圆</t>
  </si>
  <si>
    <t>2022210337</t>
  </si>
  <si>
    <t>邓慧茹</t>
  </si>
  <si>
    <t>2022210339</t>
  </si>
  <si>
    <t>范鑫蕊</t>
  </si>
  <si>
    <t>2022210342</t>
  </si>
  <si>
    <t>高恩鹏</t>
  </si>
  <si>
    <t>2022210343</t>
  </si>
  <si>
    <t>关雪艳</t>
  </si>
  <si>
    <t>2022210344</t>
  </si>
  <si>
    <t>郭新杰</t>
  </si>
  <si>
    <t>2022210346</t>
  </si>
  <si>
    <t>洪晓瑞</t>
  </si>
  <si>
    <t>2022210347</t>
  </si>
  <si>
    <t>胡步兴</t>
  </si>
  <si>
    <t>2022210348</t>
  </si>
  <si>
    <t>胡昊泱</t>
  </si>
  <si>
    <t>2022210351</t>
  </si>
  <si>
    <t>季玮</t>
  </si>
  <si>
    <t>2022210359</t>
  </si>
  <si>
    <t>李宝航</t>
  </si>
  <si>
    <t>2022210360</t>
  </si>
  <si>
    <t>李浩</t>
  </si>
  <si>
    <t>2022210361</t>
  </si>
  <si>
    <t>李今朝</t>
  </si>
  <si>
    <t>2022210362</t>
  </si>
  <si>
    <t>李良辰</t>
  </si>
  <si>
    <t>2022210367</t>
  </si>
  <si>
    <t>梁平</t>
  </si>
  <si>
    <t>2022210371</t>
  </si>
  <si>
    <t>陆征宇</t>
  </si>
  <si>
    <t>2022210374</t>
  </si>
  <si>
    <t>苗佳宇</t>
  </si>
  <si>
    <t>2022210376</t>
  </si>
  <si>
    <t>庞雨俊</t>
  </si>
  <si>
    <t>2022210378</t>
  </si>
  <si>
    <t>戚锐</t>
  </si>
  <si>
    <t>2022210380</t>
  </si>
  <si>
    <t>任奕凯</t>
  </si>
  <si>
    <t>2022210381</t>
  </si>
  <si>
    <t>阮珧</t>
  </si>
  <si>
    <t>2022210384</t>
  </si>
  <si>
    <t>孙嘉婧</t>
  </si>
  <si>
    <t>2022210385</t>
  </si>
  <si>
    <t>孙锦年</t>
  </si>
  <si>
    <t>2022210387</t>
  </si>
  <si>
    <t>唐蕊</t>
  </si>
  <si>
    <t>2022210389</t>
  </si>
  <si>
    <t>汪海洋</t>
  </si>
  <si>
    <t>2022210392</t>
  </si>
  <si>
    <t>王瑞</t>
  </si>
  <si>
    <t>2022210393</t>
  </si>
  <si>
    <t>王鑫玥</t>
  </si>
  <si>
    <t>2022210394</t>
  </si>
  <si>
    <t>王志成</t>
  </si>
  <si>
    <t>2022210400</t>
  </si>
  <si>
    <t>闫鹏飞</t>
  </si>
  <si>
    <t>2022210401</t>
  </si>
  <si>
    <t>杨浩天</t>
  </si>
  <si>
    <t>2022210402</t>
  </si>
  <si>
    <t>杨龙</t>
  </si>
  <si>
    <t>2022210404</t>
  </si>
  <si>
    <t>詹庆</t>
  </si>
  <si>
    <t>2022210405</t>
  </si>
  <si>
    <t>张金龙</t>
  </si>
  <si>
    <t>2022210411</t>
  </si>
  <si>
    <t>张文抱</t>
  </si>
  <si>
    <t>2022210414</t>
  </si>
  <si>
    <t>张玉妍</t>
  </si>
  <si>
    <t>2022210416</t>
  </si>
  <si>
    <t>赵杰</t>
  </si>
  <si>
    <t>2022210417</t>
  </si>
  <si>
    <t>郑存耀</t>
  </si>
  <si>
    <t>2022210422</t>
  </si>
  <si>
    <t>周宇</t>
  </si>
  <si>
    <t>2022210423</t>
  </si>
  <si>
    <t>朱传双</t>
  </si>
  <si>
    <t>2022210428</t>
  </si>
  <si>
    <t>朱世俊</t>
  </si>
  <si>
    <t>2022210429</t>
  </si>
  <si>
    <t>祝文耿</t>
  </si>
  <si>
    <t>2022210430</t>
  </si>
  <si>
    <t>宗梦晴</t>
  </si>
  <si>
    <t>班平均值</t>
  </si>
  <si>
    <t>课程目标达成度</t>
  </si>
  <si>
    <r>
      <t xml:space="preserve">2025- 2026 </t>
    </r>
    <r>
      <rPr>
        <sz val="12"/>
        <rFont val="宋体"/>
        <charset val="134"/>
      </rPr>
      <t>学年第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学期计科</t>
    </r>
    <r>
      <rPr>
        <sz val="12"/>
        <rFont val="Times New Roman"/>
        <charset val="134"/>
      </rPr>
      <t>22</t>
    </r>
    <r>
      <rPr>
        <sz val="12"/>
        <rFont val="宋体"/>
        <charset val="134"/>
      </rPr>
      <t>《移动应用开发》课程目标达成度计算表（实验）</t>
    </r>
  </si>
  <si>
    <r>
      <t>评价方式</t>
    </r>
    <r>
      <rPr>
        <sz val="12"/>
        <rFont val="Times New Roman"/>
        <charset val="134"/>
      </rPr>
      <t>:</t>
    </r>
    <r>
      <rPr>
        <sz val="12"/>
        <rFont val="宋体"/>
        <charset val="134"/>
      </rPr>
      <t>实验</t>
    </r>
  </si>
  <si>
    <r>
      <t>满分1</t>
    </r>
    <r>
      <rPr>
        <sz val="12"/>
        <rFont val="Times New Roman"/>
        <charset val="134"/>
      </rPr>
      <t>0</t>
    </r>
  </si>
  <si>
    <r>
      <t>满分</t>
    </r>
    <r>
      <rPr>
        <sz val="12"/>
        <rFont val="Times New Roman"/>
        <charset val="134"/>
      </rPr>
      <t xml:space="preserve"> 20</t>
    </r>
  </si>
  <si>
    <r>
      <t>满分</t>
    </r>
    <r>
      <rPr>
        <sz val="12"/>
        <rFont val="Times New Roman"/>
        <charset val="134"/>
      </rPr>
      <t xml:space="preserve"> 30</t>
    </r>
  </si>
  <si>
    <r>
      <t>满分</t>
    </r>
    <r>
      <rPr>
        <sz val="12"/>
        <rFont val="Times New Roman"/>
        <charset val="134"/>
      </rPr>
      <t>40</t>
    </r>
  </si>
  <si>
    <r>
      <t>实验1得分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（满分5分）</t>
    </r>
  </si>
  <si>
    <r>
      <t>实验2得分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（满分5分）</t>
    </r>
  </si>
  <si>
    <r>
      <t>实验3得分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（满分10分）</t>
    </r>
  </si>
  <si>
    <r>
      <t>实验4得分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（满分10分）</t>
    </r>
  </si>
  <si>
    <r>
      <t>实验5得分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（满分15分）</t>
    </r>
  </si>
  <si>
    <r>
      <t>实验6得分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（满分15分）</t>
    </r>
  </si>
  <si>
    <r>
      <t>实验7得分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（满分40分）</t>
    </r>
  </si>
  <si>
    <t>2025- 2026 学年第1学期计科22《移动应用开发》课程目标达成度计算表（平时）</t>
  </si>
  <si>
    <t>班级：计科22</t>
  </si>
  <si>
    <t>评价方式:平时</t>
  </si>
  <si>
    <t>满分值：100分</t>
  </si>
  <si>
    <t>课堂表现 满分20</t>
  </si>
  <si>
    <t>期间测验 满分30</t>
  </si>
  <si>
    <t>课外学习 满分50</t>
  </si>
  <si>
    <t>知识图谱</t>
  </si>
  <si>
    <t>TRAE</t>
  </si>
  <si>
    <t>原生</t>
  </si>
  <si>
    <t>AS</t>
  </si>
  <si>
    <t>iOS</t>
  </si>
  <si>
    <t>Typora</t>
  </si>
  <si>
    <t>混合</t>
  </si>
  <si>
    <t>小程序</t>
  </si>
  <si>
    <t>PUML</t>
  </si>
  <si>
    <t>开发计划</t>
  </si>
  <si>
    <t>原始分</t>
  </si>
  <si>
    <t>最后得分</t>
  </si>
  <si>
    <t>作业1概述</t>
  </si>
  <si>
    <t>作业2原生Android</t>
  </si>
  <si>
    <t>作业3原生iOS</t>
  </si>
  <si>
    <t>作业4原生应用开发</t>
  </si>
  <si>
    <t>作业5Flutter混合应用</t>
  </si>
  <si>
    <t>作业6Cordova&amp;UniApp混合应用</t>
  </si>
  <si>
    <t>作业7 MAUI&amp;&amp;WXMiniApp</t>
  </si>
  <si>
    <t>作业8小程序2</t>
  </si>
  <si>
    <t>作业9华为多端应用开发1</t>
  </si>
  <si>
    <t>作业10华为多端应用开发2</t>
  </si>
  <si>
    <t>平均分</t>
  </si>
  <si>
    <t>课程考核大作业1——项目启动</t>
  </si>
  <si>
    <t>课程考核大作业2——核心开发</t>
  </si>
  <si>
    <t>课程考核大作业3——系统整合</t>
  </si>
  <si>
    <t>课程考核大作业4——测试交付</t>
  </si>
  <si>
    <t>考核报告1——答辩报告</t>
  </si>
  <si>
    <t>考核报告2——个人报告</t>
  </si>
  <si>
    <t>考核报告3——小组报告</t>
  </si>
  <si>
    <t>考核报告4——项目报告</t>
  </si>
  <si>
    <t>课程考试大作业</t>
  </si>
  <si>
    <t/>
  </si>
  <si>
    <t>2023- 2024 学年第二学期计科231 《数据结构》学生个体课程目标达成度计算表</t>
  </si>
  <si>
    <t>支撑的毕业要求指标点</t>
  </si>
  <si>
    <t>权重</t>
  </si>
  <si>
    <t>姓名</t>
  </si>
  <si>
    <t>平时评价达成度</t>
  </si>
  <si>
    <t>实验评价达成度</t>
  </si>
  <si>
    <t>期末考核评价达成度</t>
  </si>
  <si>
    <t>2025- 2026 学年第1学期计科22《移动应用开发》课程目标达成度计算表</t>
  </si>
  <si>
    <t>课程目标及权重</t>
  </si>
  <si>
    <t>评价方式</t>
  </si>
  <si>
    <t>课成目标达成度</t>
  </si>
  <si>
    <t>毕业要求指标点达成度</t>
  </si>
  <si>
    <r>
      <rPr>
        <sz val="10.5"/>
        <rFont val="宋体"/>
        <charset val="134"/>
      </rPr>
      <t>课程目标</t>
    </r>
    <r>
      <rPr>
        <i/>
        <sz val="10.5"/>
        <rFont val="Times New Roman"/>
        <charset val="134"/>
      </rPr>
      <t>i</t>
    </r>
  </si>
  <si>
    <r>
      <rPr>
        <sz val="10.5"/>
        <rFont val="宋体"/>
        <charset val="134"/>
      </rPr>
      <t>评价环节</t>
    </r>
    <r>
      <rPr>
        <i/>
        <sz val="10.5"/>
        <rFont val="Times New Roman"/>
        <charset val="134"/>
      </rPr>
      <t>j</t>
    </r>
  </si>
  <si>
    <t>满分</t>
  </si>
  <si>
    <t>达成度</t>
  </si>
  <si>
    <t>指标点</t>
  </si>
  <si>
    <t>目标1</t>
  </si>
  <si>
    <t>平时</t>
  </si>
  <si>
    <t>实验</t>
  </si>
  <si>
    <t>期末考试</t>
  </si>
  <si>
    <t>目标2</t>
  </si>
  <si>
    <r>
      <rPr>
        <sz val="10.5"/>
        <rFont val="宋体"/>
        <charset val="134"/>
      </rPr>
      <t>目标</t>
    </r>
    <r>
      <rPr>
        <sz val="10.5"/>
        <rFont val="Times New Roman"/>
        <charset val="134"/>
      </rPr>
      <t>3</t>
    </r>
  </si>
  <si>
    <r>
      <rPr>
        <sz val="10.5"/>
        <rFont val="宋体"/>
        <charset val="134"/>
      </rPr>
      <t>目标</t>
    </r>
    <r>
      <rPr>
        <sz val="10.5"/>
        <rFont val="Times New Roman"/>
        <charset val="134"/>
      </rPr>
      <t>4</t>
    </r>
  </si>
  <si>
    <t>课程总体目标期望值</t>
  </si>
  <si>
    <r>
      <rPr>
        <sz val="10.5"/>
        <rFont val="宋体"/>
        <charset val="134"/>
      </rPr>
      <t>课程总体目标达成度(</t>
    </r>
    <r>
      <rPr>
        <i/>
        <sz val="10.5"/>
        <rFont val="Times New Roman"/>
        <charset val="134"/>
      </rPr>
      <t>cc</t>
    </r>
    <r>
      <rPr>
        <sz val="10.5"/>
        <rFont val="宋体"/>
        <charset val="134"/>
      </rPr>
      <t>)</t>
    </r>
  </si>
  <si>
    <t>课程目标1</t>
  </si>
  <si>
    <t>课程目标2</t>
  </si>
  <si>
    <t>课程目标3</t>
  </si>
  <si>
    <t>课程目标4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</si>
</sst>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);[Red]\(0.0\)"/>
    <numFmt numFmtId="179" formatCode="0_ "/>
    <numFmt numFmtId="180" formatCode="0.0_ ;[Red]\-0.0\ "/>
    <numFmt numFmtId="181" formatCode="0.000_ "/>
    <numFmt numFmtId="182" formatCode="0.0_ "/>
  </numFmts>
  <fonts count="44">
    <font>
      <sz val="12"/>
      <name val="宋体"/>
      <charset val="134"/>
    </font>
    <font>
      <b/>
      <sz val="8"/>
      <name val="Arial Unicode MS"/>
      <charset val="134"/>
    </font>
    <font>
      <sz val="8"/>
      <name val="宋体"/>
      <charset val="134"/>
    </font>
    <font>
      <b/>
      <sz val="14"/>
      <name val="宋体"/>
      <charset val="134"/>
    </font>
    <font>
      <sz val="10.5"/>
      <name val="宋体"/>
      <charset val="134"/>
    </font>
    <font>
      <sz val="10.5"/>
      <name val="Times New Roman"/>
      <charset val="134"/>
    </font>
    <font>
      <b/>
      <sz val="8"/>
      <name val="宋体"/>
      <charset val="134"/>
    </font>
    <font>
      <sz val="11"/>
      <name val="Arial"/>
      <charset val="0"/>
    </font>
    <font>
      <sz val="11"/>
      <name val="宋体"/>
      <charset val="0"/>
    </font>
    <font>
      <sz val="10"/>
      <name val="宋体"/>
      <charset val="134"/>
    </font>
    <font>
      <b/>
      <sz val="10"/>
      <name val="宋体"/>
      <charset val="134"/>
    </font>
    <font>
      <sz val="12"/>
      <color indexed="8"/>
      <name val="宋体"/>
      <charset val="134"/>
      <scheme val="minor"/>
    </font>
    <font>
      <sz val="12"/>
      <name val="Arial"/>
      <charset val="0"/>
    </font>
    <font>
      <sz val="12"/>
      <name val="宋体"/>
      <charset val="0"/>
    </font>
    <font>
      <sz val="12"/>
      <name val="Arial Unicode MS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sz val="12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b/>
      <sz val="11"/>
      <color rgb="FF3F3F3F"/>
      <name val="宋体"/>
      <charset val="134"/>
      <scheme val="minor"/>
    </font>
    <font>
      <sz val="11"/>
      <name val="Arial"/>
      <charset val="134"/>
    </font>
    <font>
      <i/>
      <sz val="10.5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8" applyNumberFormat="0" applyAlignment="0" applyProtection="0">
      <alignment vertical="center"/>
    </xf>
    <xf numFmtId="0" fontId="29" fillId="5" borderId="9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0"/>
    <xf numFmtId="0" fontId="0" fillId="0" borderId="0">
      <alignment vertical="center"/>
    </xf>
    <xf numFmtId="0" fontId="4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5" borderId="9" applyNumberFormat="0" applyAlignment="0" applyProtection="0">
      <alignment vertical="center"/>
    </xf>
    <xf numFmtId="0" fontId="42" fillId="0" borderId="0"/>
  </cellStyleXfs>
  <cellXfs count="114">
    <xf numFmtId="0" fontId="0" fillId="0" borderId="0" xfId="0"/>
    <xf numFmtId="176" fontId="1" fillId="0" borderId="1" xfId="60" applyNumberFormat="1" applyFont="1" applyBorder="1" applyAlignment="1">
      <alignment horizontal="center" vertical="center"/>
    </xf>
    <xf numFmtId="176" fontId="0" fillId="0" borderId="0" xfId="0" applyNumberFormat="1"/>
    <xf numFmtId="0" fontId="0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58" applyFont="1" applyBorder="1" applyAlignment="1">
      <alignment horizontal="center" vertical="center" wrapText="1"/>
    </xf>
    <xf numFmtId="0" fontId="3" fillId="2" borderId="1" xfId="58" applyFont="1" applyFill="1" applyBorder="1" applyAlignment="1">
      <alignment horizontal="right" vertical="center" wrapText="1"/>
    </xf>
    <xf numFmtId="0" fontId="3" fillId="2" borderId="1" xfId="58" applyFont="1" applyFill="1" applyBorder="1" applyAlignment="1">
      <alignment horizontal="center" vertical="center"/>
    </xf>
    <xf numFmtId="0" fontId="0" fillId="2" borderId="1" xfId="58" applyFont="1" applyFill="1" applyBorder="1" applyAlignment="1">
      <alignment horizontal="center" vertical="center" wrapText="1"/>
    </xf>
    <xf numFmtId="0" fontId="0" fillId="0" borderId="1" xfId="58" applyFont="1" applyBorder="1" applyAlignment="1">
      <alignment horizontal="center" vertical="center"/>
    </xf>
    <xf numFmtId="0" fontId="0" fillId="0" borderId="1" xfId="58" applyNumberFormat="1" applyFont="1" applyBorder="1" applyAlignment="1">
      <alignment horizontal="center" vertical="center"/>
    </xf>
    <xf numFmtId="176" fontId="0" fillId="0" borderId="1" xfId="58" applyNumberFormat="1" applyFont="1" applyBorder="1" applyAlignment="1">
      <alignment horizontal="center" vertical="center"/>
    </xf>
    <xf numFmtId="0" fontId="0" fillId="0" borderId="1" xfId="58" applyFont="1" applyBorder="1" applyAlignment="1">
      <alignment horizontal="center"/>
    </xf>
    <xf numFmtId="0" fontId="6" fillId="2" borderId="1" xfId="58" applyFont="1" applyFill="1" applyBorder="1" applyAlignment="1">
      <alignment horizontal="center" vertical="center" wrapText="1"/>
    </xf>
    <xf numFmtId="9" fontId="6" fillId="2" borderId="1" xfId="58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177" fontId="1" fillId="0" borderId="1" xfId="58" applyNumberFormat="1" applyFont="1" applyBorder="1" applyAlignment="1">
      <alignment horizontal="center" vertical="center"/>
    </xf>
    <xf numFmtId="0" fontId="9" fillId="0" borderId="2" xfId="58" applyFont="1" applyBorder="1" applyAlignment="1">
      <alignment horizontal="center" vertical="center" wrapText="1"/>
    </xf>
    <xf numFmtId="0" fontId="9" fillId="0" borderId="3" xfId="58" applyFont="1" applyBorder="1" applyAlignment="1">
      <alignment horizontal="center" vertical="center" wrapText="1"/>
    </xf>
    <xf numFmtId="177" fontId="10" fillId="0" borderId="1" xfId="58" applyNumberFormat="1" applyFont="1" applyBorder="1" applyAlignment="1">
      <alignment horizontal="center" vertical="center"/>
    </xf>
    <xf numFmtId="177" fontId="10" fillId="0" borderId="2" xfId="58" applyNumberFormat="1" applyFont="1" applyBorder="1" applyAlignment="1">
      <alignment horizontal="center" vertical="center"/>
    </xf>
    <xf numFmtId="177" fontId="10" fillId="0" borderId="4" xfId="58" applyNumberFormat="1" applyFont="1" applyBorder="1" applyAlignment="1">
      <alignment horizontal="center" vertical="center"/>
    </xf>
    <xf numFmtId="177" fontId="10" fillId="0" borderId="3" xfId="58" applyNumberFormat="1" applyFont="1" applyBorder="1" applyAlignment="1">
      <alignment horizontal="center" vertical="center"/>
    </xf>
    <xf numFmtId="178" fontId="0" fillId="0" borderId="0" xfId="0" applyNumberFormat="1"/>
    <xf numFmtId="179" fontId="0" fillId="0" borderId="0" xfId="0" applyNumberFormat="1"/>
    <xf numFmtId="0" fontId="0" fillId="0" borderId="1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/>
    <xf numFmtId="0" fontId="0" fillId="0" borderId="1" xfId="0" applyFont="1" applyBorder="1" applyAlignment="1"/>
    <xf numFmtId="0" fontId="0" fillId="2" borderId="1" xfId="58" applyFont="1" applyFill="1" applyBorder="1" applyAlignment="1">
      <alignment horizontal="center" vertical="center"/>
    </xf>
    <xf numFmtId="179" fontId="0" fillId="0" borderId="1" xfId="58" applyNumberFormat="1" applyFont="1" applyFill="1" applyBorder="1" applyAlignment="1">
      <alignment horizontal="center" vertical="center"/>
    </xf>
    <xf numFmtId="0" fontId="0" fillId="0" borderId="1" xfId="58" applyFont="1" applyBorder="1" applyAlignment="1">
      <alignment horizontal="center" vertical="center"/>
    </xf>
    <xf numFmtId="179" fontId="0" fillId="0" borderId="1" xfId="58" applyNumberFormat="1" applyFont="1" applyFill="1" applyBorder="1" applyAlignment="1">
      <alignment horizontal="center" vertical="center"/>
    </xf>
    <xf numFmtId="0" fontId="0" fillId="0" borderId="1" xfId="0" applyFont="1" applyBorder="1" applyAlignment="1"/>
    <xf numFmtId="9" fontId="0" fillId="2" borderId="1" xfId="58" applyNumberFormat="1" applyFont="1" applyFill="1" applyBorder="1" applyAlignment="1">
      <alignment horizontal="center" vertical="center" wrapText="1"/>
    </xf>
    <xf numFmtId="179" fontId="0" fillId="0" borderId="1" xfId="0" applyNumberFormat="1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/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vertical="center"/>
    </xf>
    <xf numFmtId="4" fontId="11" fillId="0" borderId="1" xfId="0" applyNumberFormat="1" applyFont="1" applyFill="1" applyBorder="1" applyAlignment="1">
      <alignment horizontal="right" vertical="center"/>
    </xf>
    <xf numFmtId="3" fontId="11" fillId="0" borderId="1" xfId="0" applyNumberFormat="1" applyFont="1" applyFill="1" applyBorder="1" applyAlignment="1">
      <alignment horizontal="right" vertical="center"/>
    </xf>
    <xf numFmtId="179" fontId="11" fillId="0" borderId="1" xfId="0" applyNumberFormat="1" applyFont="1" applyFill="1" applyBorder="1" applyAlignment="1">
      <alignment horizontal="right" vertical="center"/>
    </xf>
    <xf numFmtId="176" fontId="14" fillId="0" borderId="1" xfId="53" applyNumberFormat="1" applyFont="1" applyFill="1" applyBorder="1" applyAlignment="1">
      <alignment horizontal="center" vertical="center"/>
    </xf>
    <xf numFmtId="179" fontId="14" fillId="0" borderId="1" xfId="53" applyNumberFormat="1" applyFont="1" applyFill="1" applyBorder="1" applyAlignment="1">
      <alignment horizontal="center" vertical="center"/>
    </xf>
    <xf numFmtId="0" fontId="0" fillId="0" borderId="1" xfId="58" applyFont="1" applyBorder="1" applyAlignment="1">
      <alignment horizontal="center" vertical="center" wrapText="1"/>
    </xf>
    <xf numFmtId="178" fontId="0" fillId="0" borderId="1" xfId="58" applyNumberFormat="1" applyFont="1" applyBorder="1" applyAlignment="1">
      <alignment horizontal="center" vertical="center"/>
    </xf>
    <xf numFmtId="177" fontId="0" fillId="0" borderId="1" xfId="58" applyNumberFormat="1" applyFont="1" applyBorder="1" applyAlignment="1">
      <alignment vertical="center"/>
    </xf>
    <xf numFmtId="177" fontId="0" fillId="0" borderId="1" xfId="58" applyNumberFormat="1" applyFont="1" applyBorder="1" applyAlignment="1">
      <alignment horizontal="center" vertical="center"/>
    </xf>
    <xf numFmtId="180" fontId="14" fillId="0" borderId="1" xfId="53" applyNumberFormat="1" applyFont="1" applyFill="1" applyBorder="1" applyAlignment="1">
      <alignment horizontal="center" vertical="center"/>
    </xf>
    <xf numFmtId="179" fontId="0" fillId="0" borderId="1" xfId="58" applyNumberFormat="1" applyFont="1" applyFill="1" applyBorder="1"/>
    <xf numFmtId="43" fontId="0" fillId="0" borderId="1" xfId="58" applyNumberFormat="1" applyFont="1" applyFill="1" applyBorder="1" applyAlignment="1"/>
    <xf numFmtId="176" fontId="0" fillId="0" borderId="1" xfId="58" applyNumberFormat="1" applyFont="1" applyFill="1" applyBorder="1" applyAlignment="1">
      <alignment horizontal="center"/>
    </xf>
    <xf numFmtId="181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0" fontId="15" fillId="2" borderId="1" xfId="58" applyFont="1" applyFill="1" applyBorder="1" applyAlignment="1">
      <alignment horizontal="center" vertical="center"/>
    </xf>
    <xf numFmtId="0" fontId="15" fillId="0" borderId="1" xfId="58" applyNumberFormat="1" applyFont="1" applyBorder="1" applyAlignment="1">
      <alignment horizontal="center" vertical="center"/>
    </xf>
    <xf numFmtId="0" fontId="15" fillId="2" borderId="1" xfId="58" applyFont="1" applyFill="1" applyBorder="1" applyAlignment="1">
      <alignment horizontal="center" vertical="center" wrapText="1"/>
    </xf>
    <xf numFmtId="176" fontId="0" fillId="2" borderId="1" xfId="58" applyNumberFormat="1" applyFont="1" applyFill="1" applyBorder="1" applyAlignment="1">
      <alignment horizontal="center" vertical="center"/>
    </xf>
    <xf numFmtId="176" fontId="15" fillId="2" borderId="1" xfId="58" applyNumberFormat="1" applyFont="1" applyFill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/>
    <xf numFmtId="9" fontId="0" fillId="2" borderId="1" xfId="58" applyNumberFormat="1" applyFont="1" applyFill="1" applyBorder="1" applyAlignment="1">
      <alignment horizontal="center" vertical="center" wrapText="1"/>
    </xf>
    <xf numFmtId="176" fontId="0" fillId="2" borderId="1" xfId="58" applyNumberFormat="1" applyFont="1" applyFill="1" applyBorder="1" applyAlignment="1">
      <alignment horizontal="center" vertical="center" wrapText="1"/>
    </xf>
    <xf numFmtId="0" fontId="0" fillId="0" borderId="1" xfId="0" applyFont="1" applyBorder="1"/>
    <xf numFmtId="179" fontId="0" fillId="0" borderId="1" xfId="0" applyNumberFormat="1" applyFont="1" applyBorder="1"/>
    <xf numFmtId="176" fontId="0" fillId="0" borderId="1" xfId="0" applyNumberFormat="1" applyFont="1" applyBorder="1"/>
    <xf numFmtId="179" fontId="15" fillId="0" borderId="1" xfId="58" applyNumberFormat="1" applyFont="1" applyFill="1" applyBorder="1" applyAlignment="1">
      <alignment horizontal="center" vertical="center"/>
    </xf>
    <xf numFmtId="176" fontId="15" fillId="0" borderId="1" xfId="58" applyNumberFormat="1" applyFont="1" applyFill="1" applyBorder="1" applyAlignment="1">
      <alignment horizontal="center" vertical="center"/>
    </xf>
    <xf numFmtId="179" fontId="15" fillId="0" borderId="1" xfId="53" applyNumberFormat="1" applyFont="1" applyFill="1" applyBorder="1" applyAlignment="1">
      <alignment horizontal="center" vertical="center"/>
    </xf>
    <xf numFmtId="182" fontId="0" fillId="0" borderId="1" xfId="0" applyNumberFormat="1" applyFont="1" applyBorder="1"/>
    <xf numFmtId="0" fontId="0" fillId="0" borderId="2" xfId="58" applyFont="1" applyBorder="1" applyAlignment="1">
      <alignment horizontal="center" vertical="center" wrapText="1"/>
    </xf>
    <xf numFmtId="0" fontId="0" fillId="0" borderId="3" xfId="58" applyFont="1" applyBorder="1" applyAlignment="1">
      <alignment horizontal="center" vertical="center" wrapText="1"/>
    </xf>
    <xf numFmtId="178" fontId="0" fillId="0" borderId="0" xfId="0" applyNumberForma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176" fontId="15" fillId="0" borderId="0" xfId="0" applyNumberFormat="1" applyFont="1"/>
    <xf numFmtId="179" fontId="15" fillId="0" borderId="0" xfId="0" applyNumberFormat="1" applyFont="1"/>
    <xf numFmtId="176" fontId="15" fillId="0" borderId="1" xfId="0" applyNumberFormat="1" applyFon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58" applyNumberFormat="1" applyFont="1" applyBorder="1" applyAlignment="1">
      <alignment horizontal="center" vertical="center" wrapText="1"/>
    </xf>
    <xf numFmtId="0" fontId="0" fillId="0" borderId="1" xfId="58" applyNumberFormat="1" applyFont="1" applyFill="1" applyBorder="1" applyAlignment="1">
      <alignment horizontal="center" vertical="center" wrapText="1"/>
    </xf>
    <xf numFmtId="0" fontId="15" fillId="0" borderId="1" xfId="58" applyFont="1" applyBorder="1" applyAlignment="1">
      <alignment horizontal="center" vertical="center"/>
    </xf>
    <xf numFmtId="0" fontId="15" fillId="0" borderId="1" xfId="58" applyFont="1" applyBorder="1" applyAlignment="1">
      <alignment horizontal="center" vertical="center" wrapText="1"/>
    </xf>
    <xf numFmtId="0" fontId="15" fillId="0" borderId="1" xfId="58" applyNumberFormat="1" applyFont="1" applyBorder="1" applyAlignment="1">
      <alignment horizontal="center" vertical="center"/>
    </xf>
    <xf numFmtId="176" fontId="16" fillId="0" borderId="1" xfId="58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/>
    <xf numFmtId="176" fontId="12" fillId="0" borderId="1" xfId="0" applyNumberFormat="1" applyFont="1" applyFill="1" applyBorder="1" applyAlignment="1"/>
    <xf numFmtId="182" fontId="17" fillId="0" borderId="1" xfId="0" applyNumberFormat="1" applyFont="1" applyFill="1" applyBorder="1" applyAlignment="1"/>
    <xf numFmtId="0" fontId="15" fillId="0" borderId="3" xfId="58" applyFont="1" applyBorder="1" applyAlignment="1">
      <alignment horizontal="center" vertical="center" wrapText="1"/>
    </xf>
    <xf numFmtId="178" fontId="15" fillId="0" borderId="1" xfId="58" applyNumberFormat="1" applyFont="1" applyBorder="1" applyAlignment="1">
      <alignment horizontal="center" vertical="center"/>
    </xf>
    <xf numFmtId="43" fontId="12" fillId="0" borderId="1" xfId="0" applyNumberFormat="1" applyFont="1" applyFill="1" applyBorder="1" applyAlignment="1"/>
    <xf numFmtId="182" fontId="15" fillId="0" borderId="1" xfId="58" applyNumberFormat="1" applyFont="1" applyBorder="1" applyAlignment="1">
      <alignment horizontal="center" vertical="center"/>
    </xf>
    <xf numFmtId="177" fontId="15" fillId="0" borderId="1" xfId="58" applyNumberFormat="1" applyFont="1" applyBorder="1" applyAlignment="1">
      <alignment horizontal="center" vertical="center"/>
    </xf>
    <xf numFmtId="177" fontId="18" fillId="0" borderId="1" xfId="58" applyNumberFormat="1" applyFont="1" applyBorder="1" applyAlignment="1">
      <alignment horizontal="center" vertical="center"/>
    </xf>
    <xf numFmtId="176" fontId="15" fillId="0" borderId="1" xfId="58" applyNumberFormat="1" applyFont="1" applyFill="1" applyBorder="1" applyAlignment="1">
      <alignment horizontal="center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4" xfId="52"/>
    <cellStyle name="常规 16" xfId="53"/>
    <cellStyle name="常规 17" xfId="54"/>
    <cellStyle name="常规 2" xfId="55"/>
    <cellStyle name="常规 2 2" xfId="56"/>
    <cellStyle name="常规 3" xfId="57"/>
    <cellStyle name="常规 4" xfId="58"/>
    <cellStyle name="常规 5" xfId="59"/>
    <cellStyle name="常规 6" xfId="60"/>
    <cellStyle name="常规 7" xfId="61"/>
    <cellStyle name="常规 8" xfId="62"/>
    <cellStyle name="常规 9" xfId="63"/>
    <cellStyle name="输出 2" xfId="64"/>
    <cellStyle name="Normal" xfId="65"/>
  </cellStyles>
  <tableStyles count="0" defaultTableStyle="TableStyleMedium9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课程目标达成评价结果</a:t>
            </a:r>
            <a:endParaRPr lang="zh-CN" altLang="en-US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Sheet1!$B$7:$B$10</c:f>
              <c:strCache>
                <c:ptCount val="4"/>
                <c:pt idx="0">
                  <c:v>课程目标1</c:v>
                </c:pt>
                <c:pt idx="1">
                  <c:v>课程目标2</c:v>
                </c:pt>
                <c:pt idx="2">
                  <c:v>课程目标3</c:v>
                </c:pt>
                <c:pt idx="3">
                  <c:v>课程目标4</c:v>
                </c:pt>
              </c:strCache>
            </c:strRef>
          </c:cat>
          <c:val>
            <c:numRef>
              <c:f>Sheet1!$C$7:$C$10</c:f>
              <c:numCache>
                <c:formatCode>0.00_ </c:formatCode>
                <c:ptCount val="4"/>
                <c:pt idx="0">
                  <c:v>0.82</c:v>
                </c:pt>
                <c:pt idx="1">
                  <c:v>0.82</c:v>
                </c:pt>
                <c:pt idx="2">
                  <c:v>0.61</c:v>
                </c:pt>
                <c:pt idx="3">
                  <c:v>0.75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44286592"/>
        <c:axId val="244288896"/>
      </c:barChart>
      <c:catAx>
        <c:axId val="2442865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课程目标</a:t>
                </a:r>
                <a:endParaRPr lang="zh-CN" altLang="en-US" sz="16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288896"/>
        <c:crosses val="autoZero"/>
        <c:auto val="1"/>
        <c:lblAlgn val="ctr"/>
        <c:lblOffset val="100"/>
        <c:noMultiLvlLbl val="0"/>
      </c:catAx>
      <c:valAx>
        <c:axId val="2442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/>
                  <a:t>达成度</a:t>
                </a:r>
                <a:endParaRPr lang="zh-CN" altLang="en-US" sz="16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28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3db9af5-0680-4655-bead-dfca110bf7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1</a:t>
            </a:r>
            <a:r>
              <a:rPr lang="zh-CN" altLang="en-US" sz="1600" b="1"/>
              <a:t>达成评价结果</a:t>
            </a:r>
            <a:endParaRPr lang="zh-CN" altLang="en-US" sz="1600" b="1"/>
          </a:p>
        </c:rich>
      </c:tx>
      <c:layout>
        <c:manualLayout>
          <c:xMode val="edge"/>
          <c:yMode val="edge"/>
          <c:x val="0.316383924521455"/>
          <c:y val="0.0797975866095757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741775772912"/>
          <c:y val="0.178116791270964"/>
          <c:w val="0.871537022774783"/>
          <c:h val="0.695271772075167"/>
        </c:manualLayout>
      </c:layout>
      <c:lineChart>
        <c:grouping val="standard"/>
        <c:varyColors val="0"/>
        <c:ser>
          <c:idx val="1"/>
          <c:order val="1"/>
          <c:tx>
            <c:strRef>
              <c:f>"平均达成度(0.7)"</c:f>
              <c:strCache>
                <c:ptCount val="1"/>
                <c:pt idx="0">
                  <c:v>平均达成度(0.7)</c:v>
                </c:pt>
              </c:strCache>
            </c:strRef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'Sheet2(1)'!$B$1:$B$48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'Sheet2(1)'!$D$1:$D$48</c:f>
              <c:numCache>
                <c:formatCode>0.00_ </c:formatCode>
                <c:ptCount val="48"/>
                <c:pt idx="0">
                  <c:v>0.82</c:v>
                </c:pt>
                <c:pt idx="1">
                  <c:v>0.82</c:v>
                </c:pt>
                <c:pt idx="2">
                  <c:v>0.82</c:v>
                </c:pt>
                <c:pt idx="3">
                  <c:v>0.82</c:v>
                </c:pt>
                <c:pt idx="4">
                  <c:v>0.82</c:v>
                </c:pt>
                <c:pt idx="5">
                  <c:v>0.82</c:v>
                </c:pt>
                <c:pt idx="6">
                  <c:v>0.82</c:v>
                </c:pt>
                <c:pt idx="7">
                  <c:v>0.82</c:v>
                </c:pt>
                <c:pt idx="8">
                  <c:v>0.82</c:v>
                </c:pt>
                <c:pt idx="9">
                  <c:v>0.82</c:v>
                </c:pt>
                <c:pt idx="10">
                  <c:v>0.82</c:v>
                </c:pt>
                <c:pt idx="11">
                  <c:v>0.82</c:v>
                </c:pt>
                <c:pt idx="12">
                  <c:v>0.82</c:v>
                </c:pt>
                <c:pt idx="13">
                  <c:v>0.82</c:v>
                </c:pt>
                <c:pt idx="14">
                  <c:v>0.82</c:v>
                </c:pt>
                <c:pt idx="15">
                  <c:v>0.82</c:v>
                </c:pt>
                <c:pt idx="16">
                  <c:v>0.82</c:v>
                </c:pt>
                <c:pt idx="17">
                  <c:v>0.82</c:v>
                </c:pt>
                <c:pt idx="18">
                  <c:v>0.82</c:v>
                </c:pt>
                <c:pt idx="19">
                  <c:v>0.82</c:v>
                </c:pt>
                <c:pt idx="20">
                  <c:v>0.82</c:v>
                </c:pt>
                <c:pt idx="21">
                  <c:v>0.82</c:v>
                </c:pt>
                <c:pt idx="22">
                  <c:v>0.82</c:v>
                </c:pt>
                <c:pt idx="23">
                  <c:v>0.82</c:v>
                </c:pt>
                <c:pt idx="24">
                  <c:v>0.82</c:v>
                </c:pt>
                <c:pt idx="25">
                  <c:v>0.82</c:v>
                </c:pt>
                <c:pt idx="26">
                  <c:v>0.82</c:v>
                </c:pt>
                <c:pt idx="27">
                  <c:v>0.82</c:v>
                </c:pt>
                <c:pt idx="28">
                  <c:v>0.82</c:v>
                </c:pt>
                <c:pt idx="29">
                  <c:v>0.82</c:v>
                </c:pt>
                <c:pt idx="30">
                  <c:v>0.82</c:v>
                </c:pt>
                <c:pt idx="31">
                  <c:v>0.82</c:v>
                </c:pt>
                <c:pt idx="32">
                  <c:v>0.82</c:v>
                </c:pt>
                <c:pt idx="33">
                  <c:v>0.82</c:v>
                </c:pt>
                <c:pt idx="34">
                  <c:v>0.82</c:v>
                </c:pt>
                <c:pt idx="35">
                  <c:v>0.82</c:v>
                </c:pt>
                <c:pt idx="36">
                  <c:v>0.82</c:v>
                </c:pt>
                <c:pt idx="37">
                  <c:v>0.82</c:v>
                </c:pt>
                <c:pt idx="38">
                  <c:v>0.82</c:v>
                </c:pt>
                <c:pt idx="39">
                  <c:v>0.82</c:v>
                </c:pt>
                <c:pt idx="40">
                  <c:v>0.82</c:v>
                </c:pt>
                <c:pt idx="41">
                  <c:v>0.82</c:v>
                </c:pt>
                <c:pt idx="42">
                  <c:v>0.82</c:v>
                </c:pt>
                <c:pt idx="43">
                  <c:v>0.82</c:v>
                </c:pt>
                <c:pt idx="44">
                  <c:v>0.82</c:v>
                </c:pt>
                <c:pt idx="45">
                  <c:v>0.82</c:v>
                </c:pt>
                <c:pt idx="46">
                  <c:v>0.82</c:v>
                </c:pt>
                <c:pt idx="47">
                  <c:v>0.82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"期望达成度(0.6)"</c:f>
              <c:strCache>
                <c:ptCount val="1"/>
                <c:pt idx="0">
                  <c:v>期望达成度(0.6)</c:v>
                </c:pt>
              </c:strCache>
            </c:strRef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'Sheet2(1)'!$B$1:$B$48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'Sheet2(1)'!$E$1:$E$48</c:f>
              <c:numCache>
                <c:formatCode>0.00_ </c:formatCode>
                <c:ptCount val="4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223808"/>
        <c:axId val="251851136"/>
      </c:lineChart>
      <c:scatterChart>
        <c:scatterStyle val="marker"/>
        <c:varyColors val="0"/>
        <c:ser>
          <c:idx val="0"/>
          <c:order val="0"/>
          <c:tx>
            <c:strRef>
              <c:f>"个体达成度"</c:f>
              <c:strCache>
                <c:ptCount val="1"/>
                <c:pt idx="0">
                  <c:v>个体达成度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numRef>
              <c:f>'Sheet2(1)'!$B$1:$B$48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'Sheet2(1)'!$C$1:$C$48</c:f>
              <c:numCache>
                <c:formatCode>0.00_ </c:formatCode>
                <c:ptCount val="48"/>
                <c:pt idx="0">
                  <c:v>0.748</c:v>
                </c:pt>
                <c:pt idx="1">
                  <c:v>0.812</c:v>
                </c:pt>
                <c:pt idx="2">
                  <c:v>0.773</c:v>
                </c:pt>
                <c:pt idx="3">
                  <c:v>0.923</c:v>
                </c:pt>
                <c:pt idx="4">
                  <c:v>0.862</c:v>
                </c:pt>
                <c:pt idx="5">
                  <c:v>0.838</c:v>
                </c:pt>
                <c:pt idx="6">
                  <c:v>0.697</c:v>
                </c:pt>
                <c:pt idx="7">
                  <c:v>0.888</c:v>
                </c:pt>
                <c:pt idx="8">
                  <c:v>0.848</c:v>
                </c:pt>
                <c:pt idx="9">
                  <c:v>0.932</c:v>
                </c:pt>
                <c:pt idx="10">
                  <c:v>0.898</c:v>
                </c:pt>
                <c:pt idx="11">
                  <c:v>0.863</c:v>
                </c:pt>
                <c:pt idx="12">
                  <c:v>0.912</c:v>
                </c:pt>
                <c:pt idx="13">
                  <c:v>0.877</c:v>
                </c:pt>
                <c:pt idx="14">
                  <c:v>0.832</c:v>
                </c:pt>
                <c:pt idx="15">
                  <c:v>0.838</c:v>
                </c:pt>
                <c:pt idx="16">
                  <c:v>0.51</c:v>
                </c:pt>
                <c:pt idx="17">
                  <c:v>0.8205</c:v>
                </c:pt>
                <c:pt idx="18">
                  <c:v>0.879</c:v>
                </c:pt>
                <c:pt idx="19">
                  <c:v>0.73</c:v>
                </c:pt>
                <c:pt idx="20">
                  <c:v>0.883</c:v>
                </c:pt>
                <c:pt idx="21">
                  <c:v>0.817</c:v>
                </c:pt>
                <c:pt idx="22">
                  <c:v>0.828</c:v>
                </c:pt>
                <c:pt idx="23">
                  <c:v>0.876</c:v>
                </c:pt>
                <c:pt idx="24">
                  <c:v>0.797</c:v>
                </c:pt>
                <c:pt idx="25">
                  <c:v>0.858</c:v>
                </c:pt>
                <c:pt idx="26">
                  <c:v>0.768</c:v>
                </c:pt>
                <c:pt idx="27">
                  <c:v>0.797</c:v>
                </c:pt>
                <c:pt idx="28">
                  <c:v>0.816</c:v>
                </c:pt>
                <c:pt idx="29">
                  <c:v>0.867</c:v>
                </c:pt>
                <c:pt idx="30">
                  <c:v>0.73</c:v>
                </c:pt>
                <c:pt idx="31">
                  <c:v>0.868</c:v>
                </c:pt>
                <c:pt idx="32">
                  <c:v>0.886</c:v>
                </c:pt>
                <c:pt idx="33">
                  <c:v>0.808</c:v>
                </c:pt>
                <c:pt idx="34">
                  <c:v>0.917</c:v>
                </c:pt>
                <c:pt idx="35">
                  <c:v>0.773</c:v>
                </c:pt>
                <c:pt idx="36">
                  <c:v>0.861</c:v>
                </c:pt>
                <c:pt idx="37">
                  <c:v>0.8225</c:v>
                </c:pt>
                <c:pt idx="38">
                  <c:v>0.853</c:v>
                </c:pt>
                <c:pt idx="39">
                  <c:v>0.648</c:v>
                </c:pt>
                <c:pt idx="40">
                  <c:v>0.8665</c:v>
                </c:pt>
                <c:pt idx="41">
                  <c:v>0.703</c:v>
                </c:pt>
                <c:pt idx="42">
                  <c:v>0.75</c:v>
                </c:pt>
                <c:pt idx="43">
                  <c:v>0.832</c:v>
                </c:pt>
                <c:pt idx="44">
                  <c:v>0.732</c:v>
                </c:pt>
                <c:pt idx="45">
                  <c:v>0.789</c:v>
                </c:pt>
                <c:pt idx="46">
                  <c:v>0.798</c:v>
                </c:pt>
                <c:pt idx="47">
                  <c:v>0.9145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223808"/>
        <c:axId val="251851136"/>
      </c:scatterChart>
      <c:catAx>
        <c:axId val="245223808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  <a:endParaRPr lang="zh-CN" altLang="en-US" sz="16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851136"/>
        <c:crosses val="autoZero"/>
        <c:auto val="1"/>
        <c:lblAlgn val="ctr"/>
        <c:lblOffset val="10"/>
        <c:tickLblSkip val="3"/>
        <c:noMultiLvlLbl val="0"/>
      </c:catAx>
      <c:valAx>
        <c:axId val="2518511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  <a:endParaRPr lang="zh-CN" altLang="en-US" sz="16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22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47199174635872"/>
          <c:y val="0.672898063865866"/>
          <c:w val="0.62759684296471"/>
          <c:h val="0.044013419461669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d82679b6-efd1-4bd3-af42-e7e7c9b11f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2</a:t>
            </a:r>
            <a:r>
              <a:rPr lang="zh-CN" altLang="en-US" sz="1600" b="1"/>
              <a:t>达成评价结果</a:t>
            </a:r>
            <a:endParaRPr lang="zh-CN" altLang="en-US" sz="1600" b="1"/>
          </a:p>
        </c:rich>
      </c:tx>
      <c:layout>
        <c:manualLayout>
          <c:xMode val="edge"/>
          <c:yMode val="edge"/>
          <c:x val="0.316383924521455"/>
          <c:y val="0.0797975866095757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1"/>
          <c:y val="0.180584250592282"/>
          <c:w val="0.871537022774783"/>
          <c:h val="0.695271772075167"/>
        </c:manualLayout>
      </c:layout>
      <c:lineChart>
        <c:grouping val="standard"/>
        <c:varyColors val="0"/>
        <c:ser>
          <c:idx val="1"/>
          <c:order val="1"/>
          <c:tx>
            <c:strRef>
              <c:f>"平均达成度(0.76)"</c:f>
              <c:strCache>
                <c:ptCount val="1"/>
                <c:pt idx="0">
                  <c:v>平均达成度(0.76)</c:v>
                </c:pt>
              </c:strCache>
            </c:strRef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'Sheet2(2)'!$B$1:$B$50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'Sheet2(2)'!$D$1:$D$48</c:f>
              <c:numCache>
                <c:formatCode>0.00_ </c:formatCode>
                <c:ptCount val="48"/>
                <c:pt idx="0">
                  <c:v>0.82</c:v>
                </c:pt>
                <c:pt idx="1">
                  <c:v>0.82</c:v>
                </c:pt>
                <c:pt idx="2">
                  <c:v>0.82</c:v>
                </c:pt>
                <c:pt idx="3">
                  <c:v>0.82</c:v>
                </c:pt>
                <c:pt idx="4">
                  <c:v>0.82</c:v>
                </c:pt>
                <c:pt idx="5">
                  <c:v>0.82</c:v>
                </c:pt>
                <c:pt idx="6">
                  <c:v>0.82</c:v>
                </c:pt>
                <c:pt idx="7">
                  <c:v>0.82</c:v>
                </c:pt>
                <c:pt idx="8">
                  <c:v>0.82</c:v>
                </c:pt>
                <c:pt idx="9">
                  <c:v>0.82</c:v>
                </c:pt>
                <c:pt idx="10">
                  <c:v>0.82</c:v>
                </c:pt>
                <c:pt idx="11">
                  <c:v>0.82</c:v>
                </c:pt>
                <c:pt idx="12">
                  <c:v>0.82</c:v>
                </c:pt>
                <c:pt idx="13">
                  <c:v>0.82</c:v>
                </c:pt>
                <c:pt idx="14">
                  <c:v>0.82</c:v>
                </c:pt>
                <c:pt idx="15">
                  <c:v>0.82</c:v>
                </c:pt>
                <c:pt idx="16">
                  <c:v>0.82</c:v>
                </c:pt>
                <c:pt idx="17">
                  <c:v>0.82</c:v>
                </c:pt>
                <c:pt idx="18">
                  <c:v>0.82</c:v>
                </c:pt>
                <c:pt idx="19">
                  <c:v>0.82</c:v>
                </c:pt>
                <c:pt idx="20">
                  <c:v>0.82</c:v>
                </c:pt>
                <c:pt idx="21">
                  <c:v>0.82</c:v>
                </c:pt>
                <c:pt idx="22">
                  <c:v>0.82</c:v>
                </c:pt>
                <c:pt idx="23">
                  <c:v>0.82</c:v>
                </c:pt>
                <c:pt idx="24">
                  <c:v>0.82</c:v>
                </c:pt>
                <c:pt idx="25">
                  <c:v>0.82</c:v>
                </c:pt>
                <c:pt idx="26">
                  <c:v>0.82</c:v>
                </c:pt>
                <c:pt idx="27">
                  <c:v>0.82</c:v>
                </c:pt>
                <c:pt idx="28">
                  <c:v>0.82</c:v>
                </c:pt>
                <c:pt idx="29">
                  <c:v>0.82</c:v>
                </c:pt>
                <c:pt idx="30">
                  <c:v>0.82</c:v>
                </c:pt>
                <c:pt idx="31">
                  <c:v>0.82</c:v>
                </c:pt>
                <c:pt idx="32">
                  <c:v>0.82</c:v>
                </c:pt>
                <c:pt idx="33">
                  <c:v>0.82</c:v>
                </c:pt>
                <c:pt idx="34">
                  <c:v>0.82</c:v>
                </c:pt>
                <c:pt idx="35">
                  <c:v>0.82</c:v>
                </c:pt>
                <c:pt idx="36">
                  <c:v>0.82</c:v>
                </c:pt>
                <c:pt idx="37">
                  <c:v>0.82</c:v>
                </c:pt>
                <c:pt idx="38">
                  <c:v>0.82</c:v>
                </c:pt>
                <c:pt idx="39">
                  <c:v>0.82</c:v>
                </c:pt>
                <c:pt idx="40">
                  <c:v>0.82</c:v>
                </c:pt>
                <c:pt idx="41">
                  <c:v>0.82</c:v>
                </c:pt>
                <c:pt idx="42">
                  <c:v>0.82</c:v>
                </c:pt>
                <c:pt idx="43">
                  <c:v>0.82</c:v>
                </c:pt>
                <c:pt idx="44">
                  <c:v>0.82</c:v>
                </c:pt>
                <c:pt idx="45">
                  <c:v>0.82</c:v>
                </c:pt>
                <c:pt idx="46">
                  <c:v>0.82</c:v>
                </c:pt>
                <c:pt idx="47">
                  <c:v>0.82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"期望达成度(0.6)"</c:f>
              <c:strCache>
                <c:ptCount val="1"/>
                <c:pt idx="0">
                  <c:v>期望达成度(0.6)</c:v>
                </c:pt>
              </c:strCache>
            </c:strRef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'Sheet2(2)'!$B$1:$B$50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'Sheet2(2)'!$E$1:$E$48</c:f>
              <c:numCache>
                <c:formatCode>0.00_ </c:formatCode>
                <c:ptCount val="4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3681536"/>
        <c:axId val="243684096"/>
      </c:lineChart>
      <c:scatterChart>
        <c:scatterStyle val="marker"/>
        <c:varyColors val="0"/>
        <c:ser>
          <c:idx val="0"/>
          <c:order val="0"/>
          <c:tx>
            <c:strRef>
              <c:f>"个体达成度"</c:f>
              <c:strCache>
                <c:ptCount val="1"/>
                <c:pt idx="0">
                  <c:v>个体达成度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numRef>
              <c:f>'Sheet2(2)'!$B$1:$B$50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'Sheet2(2)'!$C$1:$C$48</c:f>
              <c:numCache>
                <c:formatCode>0.00_ </c:formatCode>
                <c:ptCount val="48"/>
                <c:pt idx="0">
                  <c:v>0.765</c:v>
                </c:pt>
                <c:pt idx="1">
                  <c:v>0.818</c:v>
                </c:pt>
                <c:pt idx="2">
                  <c:v>0.742</c:v>
                </c:pt>
                <c:pt idx="3">
                  <c:v>0.91</c:v>
                </c:pt>
                <c:pt idx="4">
                  <c:v>0.85</c:v>
                </c:pt>
                <c:pt idx="5">
                  <c:v>0.888</c:v>
                </c:pt>
                <c:pt idx="6">
                  <c:v>0.692</c:v>
                </c:pt>
                <c:pt idx="7">
                  <c:v>0.8655</c:v>
                </c:pt>
                <c:pt idx="8">
                  <c:v>0.799</c:v>
                </c:pt>
                <c:pt idx="9">
                  <c:v>0.918</c:v>
                </c:pt>
                <c:pt idx="10">
                  <c:v>0.9275</c:v>
                </c:pt>
                <c:pt idx="11">
                  <c:v>0.787</c:v>
                </c:pt>
                <c:pt idx="12">
                  <c:v>0.904</c:v>
                </c:pt>
                <c:pt idx="13">
                  <c:v>0.8955</c:v>
                </c:pt>
                <c:pt idx="14">
                  <c:v>0.823</c:v>
                </c:pt>
                <c:pt idx="15">
                  <c:v>0.87</c:v>
                </c:pt>
                <c:pt idx="16">
                  <c:v>0.35</c:v>
                </c:pt>
                <c:pt idx="17">
                  <c:v>0.8</c:v>
                </c:pt>
                <c:pt idx="18">
                  <c:v>0.898</c:v>
                </c:pt>
                <c:pt idx="19">
                  <c:v>0.77</c:v>
                </c:pt>
                <c:pt idx="20">
                  <c:v>0.9</c:v>
                </c:pt>
                <c:pt idx="21">
                  <c:v>0.869</c:v>
                </c:pt>
                <c:pt idx="22">
                  <c:v>0.8405</c:v>
                </c:pt>
                <c:pt idx="23">
                  <c:v>0.913</c:v>
                </c:pt>
                <c:pt idx="24">
                  <c:v>0.804</c:v>
                </c:pt>
                <c:pt idx="25">
                  <c:v>0.853</c:v>
                </c:pt>
                <c:pt idx="26">
                  <c:v>0.772</c:v>
                </c:pt>
                <c:pt idx="27">
                  <c:v>0.852</c:v>
                </c:pt>
                <c:pt idx="28">
                  <c:v>0.806</c:v>
                </c:pt>
                <c:pt idx="29">
                  <c:v>0.904</c:v>
                </c:pt>
                <c:pt idx="30">
                  <c:v>0.776</c:v>
                </c:pt>
                <c:pt idx="31">
                  <c:v>0.827</c:v>
                </c:pt>
                <c:pt idx="32">
                  <c:v>0.82</c:v>
                </c:pt>
                <c:pt idx="33">
                  <c:v>0.84</c:v>
                </c:pt>
                <c:pt idx="34">
                  <c:v>0.884</c:v>
                </c:pt>
                <c:pt idx="35">
                  <c:v>0.832</c:v>
                </c:pt>
                <c:pt idx="36">
                  <c:v>0.893</c:v>
                </c:pt>
                <c:pt idx="37">
                  <c:v>0.8385</c:v>
                </c:pt>
                <c:pt idx="38">
                  <c:v>0.829</c:v>
                </c:pt>
                <c:pt idx="39">
                  <c:v>0.718</c:v>
                </c:pt>
                <c:pt idx="40">
                  <c:v>0.862</c:v>
                </c:pt>
                <c:pt idx="41">
                  <c:v>0.714</c:v>
                </c:pt>
                <c:pt idx="42">
                  <c:v>0.842</c:v>
                </c:pt>
                <c:pt idx="43">
                  <c:v>0.838</c:v>
                </c:pt>
                <c:pt idx="44">
                  <c:v>0.777</c:v>
                </c:pt>
                <c:pt idx="45">
                  <c:v>0.761</c:v>
                </c:pt>
                <c:pt idx="46">
                  <c:v>0.836</c:v>
                </c:pt>
                <c:pt idx="47">
                  <c:v>0.887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81536"/>
        <c:axId val="243684096"/>
      </c:scatterChart>
      <c:catAx>
        <c:axId val="243681536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  <a:endParaRPr lang="zh-CN" altLang="en-US" sz="16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684096"/>
        <c:crosses val="autoZero"/>
        <c:auto val="1"/>
        <c:lblAlgn val="ctr"/>
        <c:lblOffset val="100"/>
        <c:tickLblSkip val="3"/>
        <c:noMultiLvlLbl val="0"/>
      </c:catAx>
      <c:valAx>
        <c:axId val="2436840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  <a:endParaRPr lang="zh-CN" altLang="en-US" sz="16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68153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5318895103991"/>
          <c:y val="0.663540553848467"/>
          <c:w val="0.62759684296471"/>
          <c:h val="0.044013419461669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209cbd-4a8d-4421-a85e-189b791342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3</a:t>
            </a:r>
            <a:r>
              <a:rPr lang="zh-CN" altLang="en-US" sz="1600" b="1"/>
              <a:t>达成评价结果</a:t>
            </a:r>
            <a:endParaRPr lang="zh-CN" altLang="en-US" sz="1600" b="1"/>
          </a:p>
        </c:rich>
      </c:tx>
      <c:layout>
        <c:manualLayout>
          <c:xMode val="edge"/>
          <c:yMode val="edge"/>
          <c:x val="0.316383924521455"/>
          <c:y val="0.0797975866095757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1"/>
          <c:y val="0.180584250592282"/>
          <c:w val="0.871537022774783"/>
          <c:h val="0.695271772075167"/>
        </c:manualLayout>
      </c:layout>
      <c:lineChart>
        <c:grouping val="standard"/>
        <c:varyColors val="0"/>
        <c:ser>
          <c:idx val="1"/>
          <c:order val="1"/>
          <c:tx>
            <c:strRef>
              <c:f>"平均达成度(0.71)"</c:f>
              <c:strCache>
                <c:ptCount val="1"/>
                <c:pt idx="0">
                  <c:v>平均达成度(0.71)</c:v>
                </c:pt>
              </c:strCache>
            </c:strRef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'Sheet2(3)'!$B$1:$B$50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'Sheet2(3)'!$D$1:$D$48</c:f>
              <c:numCache>
                <c:formatCode>0.00_ </c:formatCode>
                <c:ptCount val="48"/>
                <c:pt idx="0">
                  <c:v>0.61</c:v>
                </c:pt>
                <c:pt idx="1">
                  <c:v>0.61</c:v>
                </c:pt>
                <c:pt idx="2">
                  <c:v>0.61</c:v>
                </c:pt>
                <c:pt idx="3">
                  <c:v>0.61</c:v>
                </c:pt>
                <c:pt idx="4">
                  <c:v>0.61</c:v>
                </c:pt>
                <c:pt idx="5">
                  <c:v>0.61</c:v>
                </c:pt>
                <c:pt idx="6">
                  <c:v>0.61</c:v>
                </c:pt>
                <c:pt idx="7">
                  <c:v>0.61</c:v>
                </c:pt>
                <c:pt idx="8">
                  <c:v>0.61</c:v>
                </c:pt>
                <c:pt idx="9">
                  <c:v>0.61</c:v>
                </c:pt>
                <c:pt idx="10">
                  <c:v>0.61</c:v>
                </c:pt>
                <c:pt idx="11">
                  <c:v>0.61</c:v>
                </c:pt>
                <c:pt idx="12">
                  <c:v>0.61</c:v>
                </c:pt>
                <c:pt idx="13">
                  <c:v>0.61</c:v>
                </c:pt>
                <c:pt idx="14">
                  <c:v>0.61</c:v>
                </c:pt>
                <c:pt idx="15">
                  <c:v>0.61</c:v>
                </c:pt>
                <c:pt idx="16">
                  <c:v>0.61</c:v>
                </c:pt>
                <c:pt idx="17">
                  <c:v>0.61</c:v>
                </c:pt>
                <c:pt idx="18">
                  <c:v>0.61</c:v>
                </c:pt>
                <c:pt idx="19">
                  <c:v>0.61</c:v>
                </c:pt>
                <c:pt idx="20">
                  <c:v>0.61</c:v>
                </c:pt>
                <c:pt idx="21">
                  <c:v>0.61</c:v>
                </c:pt>
                <c:pt idx="22">
                  <c:v>0.61</c:v>
                </c:pt>
                <c:pt idx="23">
                  <c:v>0.61</c:v>
                </c:pt>
                <c:pt idx="24">
                  <c:v>0.61</c:v>
                </c:pt>
                <c:pt idx="25">
                  <c:v>0.61</c:v>
                </c:pt>
                <c:pt idx="26">
                  <c:v>0.61</c:v>
                </c:pt>
                <c:pt idx="27">
                  <c:v>0.61</c:v>
                </c:pt>
                <c:pt idx="28">
                  <c:v>0.61</c:v>
                </c:pt>
                <c:pt idx="29">
                  <c:v>0.61</c:v>
                </c:pt>
                <c:pt idx="30">
                  <c:v>0.61</c:v>
                </c:pt>
                <c:pt idx="31">
                  <c:v>0.61</c:v>
                </c:pt>
                <c:pt idx="32">
                  <c:v>0.61</c:v>
                </c:pt>
                <c:pt idx="33">
                  <c:v>0.61</c:v>
                </c:pt>
                <c:pt idx="34">
                  <c:v>0.61</c:v>
                </c:pt>
                <c:pt idx="35">
                  <c:v>0.61</c:v>
                </c:pt>
                <c:pt idx="36">
                  <c:v>0.61</c:v>
                </c:pt>
                <c:pt idx="37">
                  <c:v>0.61</c:v>
                </c:pt>
                <c:pt idx="38">
                  <c:v>0.61</c:v>
                </c:pt>
                <c:pt idx="39">
                  <c:v>0.61</c:v>
                </c:pt>
                <c:pt idx="40">
                  <c:v>0.61</c:v>
                </c:pt>
                <c:pt idx="41">
                  <c:v>0.61</c:v>
                </c:pt>
                <c:pt idx="42">
                  <c:v>0.61</c:v>
                </c:pt>
                <c:pt idx="43">
                  <c:v>0.61</c:v>
                </c:pt>
                <c:pt idx="44">
                  <c:v>0.61</c:v>
                </c:pt>
                <c:pt idx="45">
                  <c:v>0.61</c:v>
                </c:pt>
                <c:pt idx="46">
                  <c:v>0.61</c:v>
                </c:pt>
                <c:pt idx="47">
                  <c:v>0.61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"期望达成度(0.6)"</c:f>
              <c:strCache>
                <c:ptCount val="1"/>
                <c:pt idx="0">
                  <c:v>期望达成度(0.6)</c:v>
                </c:pt>
              </c:strCache>
            </c:strRef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'Sheet2(3)'!$B$1:$B$50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'Sheet2(3)'!$E$1:$E$48</c:f>
              <c:numCache>
                <c:formatCode>0.00_ </c:formatCode>
                <c:ptCount val="4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19916032"/>
        <c:axId val="420528896"/>
      </c:lineChart>
      <c:scatterChart>
        <c:scatterStyle val="marker"/>
        <c:varyColors val="0"/>
        <c:ser>
          <c:idx val="0"/>
          <c:order val="0"/>
          <c:tx>
            <c:strRef>
              <c:f>"个体达成度"</c:f>
              <c:strCache>
                <c:ptCount val="1"/>
                <c:pt idx="0">
                  <c:v>个体达成度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numRef>
              <c:f>'Sheet2(3)'!$B$1:$B$50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'Sheet2(3)'!$C$1:$C$48</c:f>
              <c:numCache>
                <c:formatCode>0.00_ </c:formatCode>
                <c:ptCount val="48"/>
                <c:pt idx="0">
                  <c:v>0.57</c:v>
                </c:pt>
                <c:pt idx="1">
                  <c:v>0.475</c:v>
                </c:pt>
                <c:pt idx="2">
                  <c:v>0.475</c:v>
                </c:pt>
                <c:pt idx="3">
                  <c:v>0.715</c:v>
                </c:pt>
                <c:pt idx="4">
                  <c:v>0.7375</c:v>
                </c:pt>
                <c:pt idx="5">
                  <c:v>0.67</c:v>
                </c:pt>
                <c:pt idx="6">
                  <c:v>0.575</c:v>
                </c:pt>
                <c:pt idx="7">
                  <c:v>0.66</c:v>
                </c:pt>
                <c:pt idx="8">
                  <c:v>0.585</c:v>
                </c:pt>
                <c:pt idx="9">
                  <c:v>0.71</c:v>
                </c:pt>
                <c:pt idx="10">
                  <c:v>0.71</c:v>
                </c:pt>
                <c:pt idx="11">
                  <c:v>0.575</c:v>
                </c:pt>
                <c:pt idx="12">
                  <c:v>0.675</c:v>
                </c:pt>
                <c:pt idx="13">
                  <c:v>0.695</c:v>
                </c:pt>
                <c:pt idx="14">
                  <c:v>0.625</c:v>
                </c:pt>
                <c:pt idx="15">
                  <c:v>0.655</c:v>
                </c:pt>
                <c:pt idx="16">
                  <c:v>0.4</c:v>
                </c:pt>
                <c:pt idx="17">
                  <c:v>0.595</c:v>
                </c:pt>
                <c:pt idx="18">
                  <c:v>0.57</c:v>
                </c:pt>
                <c:pt idx="19">
                  <c:v>0.515</c:v>
                </c:pt>
                <c:pt idx="20">
                  <c:v>0.685</c:v>
                </c:pt>
                <c:pt idx="21">
                  <c:v>0.6</c:v>
                </c:pt>
                <c:pt idx="22">
                  <c:v>0.605</c:v>
                </c:pt>
                <c:pt idx="23">
                  <c:v>0.7</c:v>
                </c:pt>
                <c:pt idx="24">
                  <c:v>0.5725</c:v>
                </c:pt>
                <c:pt idx="25">
                  <c:v>0.65</c:v>
                </c:pt>
                <c:pt idx="26">
                  <c:v>0.55</c:v>
                </c:pt>
                <c:pt idx="27">
                  <c:v>0.59</c:v>
                </c:pt>
                <c:pt idx="28">
                  <c:v>0.63</c:v>
                </c:pt>
                <c:pt idx="29">
                  <c:v>0.705</c:v>
                </c:pt>
                <c:pt idx="30">
                  <c:v>0.55</c:v>
                </c:pt>
                <c:pt idx="31">
                  <c:v>0.62</c:v>
                </c:pt>
                <c:pt idx="32">
                  <c:v>0.63</c:v>
                </c:pt>
                <c:pt idx="33">
                  <c:v>0.62</c:v>
                </c:pt>
                <c:pt idx="34">
                  <c:v>0.705</c:v>
                </c:pt>
                <c:pt idx="35">
                  <c:v>0.595</c:v>
                </c:pt>
                <c:pt idx="36">
                  <c:v>0.665</c:v>
                </c:pt>
                <c:pt idx="37">
                  <c:v>0.64</c:v>
                </c:pt>
                <c:pt idx="38">
                  <c:v>0.64</c:v>
                </c:pt>
                <c:pt idx="39">
                  <c:v>0.505</c:v>
                </c:pt>
                <c:pt idx="40">
                  <c:v>0.625</c:v>
                </c:pt>
                <c:pt idx="41">
                  <c:v>0.55</c:v>
                </c:pt>
                <c:pt idx="42">
                  <c:v>0.615</c:v>
                </c:pt>
                <c:pt idx="43">
                  <c:v>0.575</c:v>
                </c:pt>
                <c:pt idx="44">
                  <c:v>0.49</c:v>
                </c:pt>
                <c:pt idx="45">
                  <c:v>0.495</c:v>
                </c:pt>
                <c:pt idx="46">
                  <c:v>0.525</c:v>
                </c:pt>
                <c:pt idx="47">
                  <c:v>0.725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916032"/>
        <c:axId val="420528896"/>
      </c:scatterChart>
      <c:catAx>
        <c:axId val="419916032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  <a:endParaRPr lang="zh-CN" altLang="en-US" sz="16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0528896"/>
        <c:crosses val="autoZero"/>
        <c:auto val="1"/>
        <c:lblAlgn val="ctr"/>
        <c:lblOffset val="100"/>
        <c:tickLblSkip val="3"/>
        <c:noMultiLvlLbl val="0"/>
      </c:catAx>
      <c:valAx>
        <c:axId val="420528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  <a:endParaRPr lang="zh-CN" altLang="en-US" sz="16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91603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1522542611566"/>
          <c:y val="0.742292475412794"/>
          <c:w val="0.62759684296471"/>
          <c:h val="0.044013419461669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eb733f-a9bb-4435-b6c9-954a5556be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4</a:t>
            </a:r>
            <a:r>
              <a:rPr lang="zh-CN" altLang="en-US" sz="1600" b="1"/>
              <a:t>达成评价结果</a:t>
            </a:r>
            <a:endParaRPr lang="zh-CN" altLang="en-US" sz="1600" b="1"/>
          </a:p>
        </c:rich>
      </c:tx>
      <c:layout>
        <c:manualLayout>
          <c:xMode val="edge"/>
          <c:yMode val="edge"/>
          <c:x val="0.316383924521455"/>
          <c:y val="0.0797975866095757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1"/>
          <c:y val="0.180584250592282"/>
          <c:w val="0.871537022774783"/>
          <c:h val="0.695271772075167"/>
        </c:manualLayout>
      </c:layout>
      <c:lineChart>
        <c:grouping val="standard"/>
        <c:varyColors val="0"/>
        <c:ser>
          <c:idx val="1"/>
          <c:order val="1"/>
          <c:tx>
            <c:strRef>
              <c:f>"平均达成度(0.71)"</c:f>
              <c:strCache>
                <c:ptCount val="1"/>
                <c:pt idx="0">
                  <c:v>平均达成度(0.71)</c:v>
                </c:pt>
              </c:strCache>
            </c:strRef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'Sheet2(4)'!$B$1:$B$50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'Sheet2(4)'!$D$1:$D$48</c:f>
              <c:numCache>
                <c:formatCode>0.00_ </c:formatCode>
                <c:ptCount val="48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"期望达成度(0.6)"</c:f>
              <c:strCache>
                <c:ptCount val="1"/>
                <c:pt idx="0">
                  <c:v>期望达成度(0.6)</c:v>
                </c:pt>
              </c:strCache>
            </c:strRef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'Sheet2(4)'!$B$1:$B$50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'Sheet2(4)'!$E$1:$E$48</c:f>
              <c:numCache>
                <c:formatCode>0.00_ </c:formatCode>
                <c:ptCount val="4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5672704"/>
        <c:axId val="403399424"/>
      </c:lineChart>
      <c:scatterChart>
        <c:scatterStyle val="marker"/>
        <c:varyColors val="0"/>
        <c:ser>
          <c:idx val="0"/>
          <c:order val="0"/>
          <c:tx>
            <c:strRef>
              <c:f>"个体达成度"</c:f>
              <c:strCache>
                <c:ptCount val="1"/>
                <c:pt idx="0">
                  <c:v>个体达成度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numRef>
              <c:f>'Sheet2(4)'!$B$1:$B$50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'Sheet2(4)'!$C$1:$C$48</c:f>
              <c:numCache>
                <c:formatCode>0.00_ </c:formatCode>
                <c:ptCount val="48"/>
                <c:pt idx="0">
                  <c:v>0.696666666666667</c:v>
                </c:pt>
                <c:pt idx="1">
                  <c:v>0.745555555555556</c:v>
                </c:pt>
                <c:pt idx="2">
                  <c:v>0.672222222222222</c:v>
                </c:pt>
                <c:pt idx="3">
                  <c:v>0.822777777777778</c:v>
                </c:pt>
                <c:pt idx="4">
                  <c:v>0.825</c:v>
                </c:pt>
                <c:pt idx="5">
                  <c:v>0.841666666666667</c:v>
                </c:pt>
                <c:pt idx="6">
                  <c:v>0.679055555555556</c:v>
                </c:pt>
                <c:pt idx="7">
                  <c:v>0.742222222222222</c:v>
                </c:pt>
                <c:pt idx="8">
                  <c:v>0.757777777777778</c:v>
                </c:pt>
                <c:pt idx="9">
                  <c:v>0.866277777777778</c:v>
                </c:pt>
                <c:pt idx="10">
                  <c:v>0.831111111111111</c:v>
                </c:pt>
                <c:pt idx="11">
                  <c:v>0.7865</c:v>
                </c:pt>
                <c:pt idx="12">
                  <c:v>0.912222222222222</c:v>
                </c:pt>
                <c:pt idx="13">
                  <c:v>0.778888888888889</c:v>
                </c:pt>
                <c:pt idx="14">
                  <c:v>0.793333333333333</c:v>
                </c:pt>
                <c:pt idx="15">
                  <c:v>0.801111111111111</c:v>
                </c:pt>
                <c:pt idx="16">
                  <c:v>0.543166666666667</c:v>
                </c:pt>
                <c:pt idx="17">
                  <c:v>0.731111111111111</c:v>
                </c:pt>
                <c:pt idx="18">
                  <c:v>0.786833333333333</c:v>
                </c:pt>
                <c:pt idx="19">
                  <c:v>0.612222222222222</c:v>
                </c:pt>
                <c:pt idx="20">
                  <c:v>0.731666666666667</c:v>
                </c:pt>
                <c:pt idx="21">
                  <c:v>0.736666666666667</c:v>
                </c:pt>
                <c:pt idx="22">
                  <c:v>0.8</c:v>
                </c:pt>
                <c:pt idx="23">
                  <c:v>0.931833333333333</c:v>
                </c:pt>
                <c:pt idx="24">
                  <c:v>0.816666666666667</c:v>
                </c:pt>
                <c:pt idx="25">
                  <c:v>0.700555555555556</c:v>
                </c:pt>
                <c:pt idx="26">
                  <c:v>0.729833333333333</c:v>
                </c:pt>
                <c:pt idx="27">
                  <c:v>0.69</c:v>
                </c:pt>
                <c:pt idx="28">
                  <c:v>0.680555555555556</c:v>
                </c:pt>
                <c:pt idx="29">
                  <c:v>0.791833333333333</c:v>
                </c:pt>
                <c:pt idx="30">
                  <c:v>0.727222222222222</c:v>
                </c:pt>
                <c:pt idx="31">
                  <c:v>0.737222222222222</c:v>
                </c:pt>
                <c:pt idx="32">
                  <c:v>0.805</c:v>
                </c:pt>
                <c:pt idx="33">
                  <c:v>0.7915</c:v>
                </c:pt>
                <c:pt idx="34">
                  <c:v>0.836666666666667</c:v>
                </c:pt>
                <c:pt idx="35">
                  <c:v>0.7365</c:v>
                </c:pt>
                <c:pt idx="36">
                  <c:v>0.83</c:v>
                </c:pt>
                <c:pt idx="37">
                  <c:v>0.622222222222222</c:v>
                </c:pt>
                <c:pt idx="38">
                  <c:v>0.824444444444445</c:v>
                </c:pt>
                <c:pt idx="39">
                  <c:v>0.708888888888889</c:v>
                </c:pt>
                <c:pt idx="40">
                  <c:v>0.770555555555556</c:v>
                </c:pt>
                <c:pt idx="41">
                  <c:v>0.6765</c:v>
                </c:pt>
                <c:pt idx="42">
                  <c:v>0.512222222222222</c:v>
                </c:pt>
                <c:pt idx="43">
                  <c:v>0.735722222222222</c:v>
                </c:pt>
                <c:pt idx="44">
                  <c:v>0.672222222222222</c:v>
                </c:pt>
                <c:pt idx="45">
                  <c:v>0.747222222222222</c:v>
                </c:pt>
                <c:pt idx="46">
                  <c:v>0.663333333333333</c:v>
                </c:pt>
                <c:pt idx="47">
                  <c:v>0.82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72704"/>
        <c:axId val="403399424"/>
      </c:scatterChart>
      <c:catAx>
        <c:axId val="385672704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  <a:endParaRPr lang="zh-CN" altLang="en-US" sz="16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399424"/>
        <c:crosses val="autoZero"/>
        <c:auto val="1"/>
        <c:lblAlgn val="ctr"/>
        <c:lblOffset val="100"/>
        <c:tickLblSkip val="3"/>
        <c:noMultiLvlLbl val="0"/>
      </c:catAx>
      <c:valAx>
        <c:axId val="403399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  <a:endParaRPr lang="zh-CN" altLang="en-US" sz="16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67270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929837626716"/>
          <c:y val="0.690611526886204"/>
          <c:w val="0.62759684296471"/>
          <c:h val="0.044013419461669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e97908-f90f-4ed6-a528-5fa90cd479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wmf"/><Relationship Id="rId8" Type="http://schemas.openxmlformats.org/officeDocument/2006/relationships/image" Target="../media/image8.wmf"/><Relationship Id="rId7" Type="http://schemas.openxmlformats.org/officeDocument/2006/relationships/image" Target="../media/image7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2" Type="http://schemas.openxmlformats.org/officeDocument/2006/relationships/image" Target="../media/image12.wmf"/><Relationship Id="rId11" Type="http://schemas.openxmlformats.org/officeDocument/2006/relationships/image" Target="../media/image11.wmf"/><Relationship Id="rId10" Type="http://schemas.openxmlformats.org/officeDocument/2006/relationships/image" Target="../media/image10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44673</xdr:colOff>
      <xdr:row>3</xdr:row>
      <xdr:rowOff>19289</xdr:rowOff>
    </xdr:from>
    <xdr:to>
      <xdr:col>2</xdr:col>
      <xdr:colOff>386816</xdr:colOff>
      <xdr:row>5</xdr:row>
      <xdr:rowOff>144228</xdr:rowOff>
    </xdr:to>
    <xdr:grpSp>
      <xdr:nvGrpSpPr>
        <xdr:cNvPr id="14" name="Group 63"/>
        <xdr:cNvGrpSpPr/>
      </xdr:nvGrpSpPr>
      <xdr:grpSpPr>
        <a:xfrm>
          <a:off x="44450" y="1083945"/>
          <a:ext cx="2323465" cy="883285"/>
          <a:chOff x="-61" y="76"/>
          <a:chExt cx="354" cy="89"/>
        </a:xfrm>
      </xdr:grpSpPr>
      <xdr:sp>
        <xdr:nvSpPr>
          <xdr:cNvPr id="15" name="TextBox 2"/>
          <xdr:cNvSpPr txBox="1"/>
        </xdr:nvSpPr>
        <xdr:spPr>
          <a:xfrm>
            <a:off x="160" y="83"/>
            <a:ext cx="90" cy="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  <a:endParaRPr lang="zh-CN" altLang="en-US" sz="1000"/>
          </a:p>
        </xdr:txBody>
      </xdr:sp>
      <xdr:cxnSp>
        <xdr:nvCxnSpPr>
          <xdr:cNvPr id="16" name="直接连接符 15"/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" name="直接连接符 16"/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8" name="TextBox 5"/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9" name="TextBox 6"/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  <a:endParaRPr lang="zh-CN" altLang="en-US" sz="1000"/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/>
        <xdr:cNvGrpSpPr/>
      </xdr:nvGrpSpPr>
      <xdr:grpSpPr>
        <a:xfrm>
          <a:off x="0" y="0"/>
          <a:ext cx="985520" cy="1358265"/>
          <a:chOff x="94" y="74"/>
          <a:chExt cx="1214344" cy="876226"/>
        </a:xfrm>
      </xdr:grpSpPr>
      <xdr:sp>
        <xdr:nvSpPr>
          <xdr:cNvPr id="21" name="TextBox 2"/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  <a:endParaRPr lang="zh-CN" altLang="en-US" sz="1000"/>
          </a:p>
        </xdr:txBody>
      </xdr:sp>
      <xdr:cxnSp>
        <xdr:nvCxnSpPr>
          <xdr:cNvPr id="22" name="直接连接符 21"/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" name="直接连接符 22"/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4" name="TextBox 5"/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25" name="TextBox 6"/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  <a:endParaRPr lang="zh-CN" altLang="en-US" sz="10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44673</xdr:colOff>
      <xdr:row>3</xdr:row>
      <xdr:rowOff>19289</xdr:rowOff>
    </xdr:from>
    <xdr:to>
      <xdr:col>1</xdr:col>
      <xdr:colOff>1057275</xdr:colOff>
      <xdr:row>5</xdr:row>
      <xdr:rowOff>144228</xdr:rowOff>
    </xdr:to>
    <xdr:grpSp>
      <xdr:nvGrpSpPr>
        <xdr:cNvPr id="14" name="Group 63"/>
        <xdr:cNvGrpSpPr/>
      </xdr:nvGrpSpPr>
      <xdr:grpSpPr>
        <a:xfrm>
          <a:off x="44450" y="613410"/>
          <a:ext cx="1936750" cy="917575"/>
          <a:chOff x="-61" y="76"/>
          <a:chExt cx="354" cy="89"/>
        </a:xfrm>
      </xdr:grpSpPr>
      <xdr:sp>
        <xdr:nvSpPr>
          <xdr:cNvPr id="15" name="TextBox 2"/>
          <xdr:cNvSpPr txBox="1"/>
        </xdr:nvSpPr>
        <xdr:spPr>
          <a:xfrm>
            <a:off x="160" y="83"/>
            <a:ext cx="90" cy="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  <a:endParaRPr lang="zh-CN" altLang="en-US" sz="1000"/>
          </a:p>
        </xdr:txBody>
      </xdr:sp>
      <xdr:cxnSp>
        <xdr:nvCxnSpPr>
          <xdr:cNvPr id="16" name="直接连接符 15"/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" name="直接连接符 16"/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8" name="TextBox 5"/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9" name="TextBox 6"/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  <a:endParaRPr lang="zh-CN" altLang="en-US" sz="1000"/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/>
        <xdr:cNvGrpSpPr/>
      </xdr:nvGrpSpPr>
      <xdr:grpSpPr>
        <a:xfrm>
          <a:off x="0" y="0"/>
          <a:ext cx="985520" cy="887730"/>
          <a:chOff x="94" y="74"/>
          <a:chExt cx="1214344" cy="876226"/>
        </a:xfrm>
      </xdr:grpSpPr>
      <xdr:sp>
        <xdr:nvSpPr>
          <xdr:cNvPr id="21" name="TextBox 2"/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  <a:endParaRPr lang="zh-CN" altLang="en-US" sz="1000"/>
          </a:p>
        </xdr:txBody>
      </xdr:sp>
      <xdr:cxnSp>
        <xdr:nvCxnSpPr>
          <xdr:cNvPr id="22" name="直接连接符 21"/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" name="直接连接符 22"/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4" name="TextBox 5"/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25" name="TextBox 6"/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  <a:endParaRPr lang="zh-CN" altLang="en-US" sz="10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5002</xdr:rowOff>
    </xdr:from>
    <xdr:to>
      <xdr:col>2</xdr:col>
      <xdr:colOff>342143</xdr:colOff>
      <xdr:row>5</xdr:row>
      <xdr:rowOff>129941</xdr:rowOff>
    </xdr:to>
    <xdr:grpSp>
      <xdr:nvGrpSpPr>
        <xdr:cNvPr id="14" name="Group 63"/>
        <xdr:cNvGrpSpPr/>
      </xdr:nvGrpSpPr>
      <xdr:grpSpPr>
        <a:xfrm>
          <a:off x="0" y="598805"/>
          <a:ext cx="1955165" cy="920115"/>
          <a:chOff x="-61" y="76"/>
          <a:chExt cx="354" cy="89"/>
        </a:xfrm>
      </xdr:grpSpPr>
      <xdr:sp>
        <xdr:nvSpPr>
          <xdr:cNvPr id="15" name="TextBox 2"/>
          <xdr:cNvSpPr txBox="1"/>
        </xdr:nvSpPr>
        <xdr:spPr>
          <a:xfrm>
            <a:off x="140" y="83"/>
            <a:ext cx="110" cy="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  <a:endParaRPr lang="zh-CN" altLang="en-US" sz="1000"/>
          </a:p>
        </xdr:txBody>
      </xdr:sp>
      <xdr:cxnSp>
        <xdr:nvCxnSpPr>
          <xdr:cNvPr id="16" name="直接连接符 15"/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7" name="直接连接符 16"/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8" name="TextBox 5"/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9" name="TextBox 6"/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  <a:endParaRPr lang="zh-CN" altLang="en-US" sz="1000"/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/>
        <xdr:cNvGrpSpPr/>
      </xdr:nvGrpSpPr>
      <xdr:grpSpPr>
        <a:xfrm>
          <a:off x="0" y="0"/>
          <a:ext cx="953135" cy="887730"/>
          <a:chOff x="94" y="74"/>
          <a:chExt cx="1214344" cy="876226"/>
        </a:xfrm>
      </xdr:grpSpPr>
      <xdr:sp>
        <xdr:nvSpPr>
          <xdr:cNvPr id="21" name="TextBox 2"/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  <a:endParaRPr lang="zh-CN" altLang="en-US" sz="1000"/>
          </a:p>
        </xdr:txBody>
      </xdr:sp>
      <xdr:cxnSp>
        <xdr:nvCxnSpPr>
          <xdr:cNvPr id="22" name="直接连接符 21"/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3" name="直接连接符 22"/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4" name="TextBox 5"/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25" name="TextBox 6"/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  <a:endParaRPr lang="zh-CN" altLang="en-US" sz="10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</xdr:colOff>
      <xdr:row>5</xdr:row>
      <xdr:rowOff>28576</xdr:rowOff>
    </xdr:from>
    <xdr:to>
      <xdr:col>0</xdr:col>
      <xdr:colOff>2</xdr:colOff>
      <xdr:row>5</xdr:row>
      <xdr:rowOff>28576</xdr:rowOff>
    </xdr:to>
    <xdr:grpSp>
      <xdr:nvGrpSpPr>
        <xdr:cNvPr id="2" name="Group 63"/>
        <xdr:cNvGrpSpPr/>
      </xdr:nvGrpSpPr>
      <xdr:grpSpPr>
        <a:xfrm>
          <a:off x="0" y="843915"/>
          <a:ext cx="0" cy="0"/>
          <a:chOff x="94" y="74"/>
          <a:chExt cx="146" cy="71"/>
        </a:xfrm>
      </xdr:grpSpPr>
      <xdr:sp>
        <xdr:nvSpPr>
          <xdr:cNvPr id="3" name="TextBox 2"/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  <a:endParaRPr lang="zh-CN" altLang="en-US" sz="1000"/>
          </a:p>
        </xdr:txBody>
      </xdr:sp>
      <xdr:cxnSp>
        <xdr:nvCxnSpPr>
          <xdr:cNvPr id="4" name="直接连接符 3"/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接连接符 4"/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6" name="TextBox 5"/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7" name="TextBox 6"/>
          <xdr:cNvSpPr txBox="1"/>
        </xdr:nvSpPr>
        <xdr:spPr>
          <a:xfrm>
            <a:off x="100" y="80"/>
            <a:ext cx="72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  <a:endParaRPr lang="zh-CN" altLang="en-US" sz="10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21</xdr:row>
          <xdr:rowOff>0</xdr:rowOff>
        </xdr:from>
        <xdr:to>
          <xdr:col>0</xdr:col>
          <xdr:colOff>633413</xdr:colOff>
          <xdr:row>23</xdr:row>
          <xdr:rowOff>76200</xdr:rowOff>
        </xdr:to>
        <xdr:sp>
          <xdr:nvSpPr>
            <xdr:cNvPr id="8193" name="Object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4862195"/>
              <a:ext cx="633095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271463</xdr:colOff>
          <xdr:row>20</xdr:row>
          <xdr:rowOff>119063</xdr:rowOff>
        </xdr:from>
        <xdr:to>
          <xdr:col>2</xdr:col>
          <xdr:colOff>381000</xdr:colOff>
          <xdr:row>23</xdr:row>
          <xdr:rowOff>71438</xdr:rowOff>
        </xdr:to>
        <xdr:sp>
          <xdr:nvSpPr>
            <xdr:cNvPr id="8194" name="Object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1106170" y="4859020"/>
              <a:ext cx="600710" cy="3181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166688</xdr:colOff>
          <xdr:row>21</xdr:row>
          <xdr:rowOff>19050</xdr:rowOff>
        </xdr:from>
        <xdr:to>
          <xdr:col>4</xdr:col>
          <xdr:colOff>309563</xdr:colOff>
          <xdr:row>22</xdr:row>
          <xdr:rowOff>123825</xdr:rowOff>
        </xdr:to>
        <xdr:sp>
          <xdr:nvSpPr>
            <xdr:cNvPr id="8195" name="Object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2197100" y="4881245"/>
              <a:ext cx="914400" cy="2247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590550</xdr:colOff>
          <xdr:row>20</xdr:row>
          <xdr:rowOff>100013</xdr:rowOff>
        </xdr:from>
        <xdr:to>
          <xdr:col>6</xdr:col>
          <xdr:colOff>42863</xdr:colOff>
          <xdr:row>23</xdr:row>
          <xdr:rowOff>57150</xdr:rowOff>
        </xdr:to>
        <xdr:sp>
          <xdr:nvSpPr>
            <xdr:cNvPr id="8196" name="Object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>
            <a:xfrm>
              <a:off x="3392805" y="4839970"/>
              <a:ext cx="1155700" cy="3232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309563</xdr:colOff>
          <xdr:row>20</xdr:row>
          <xdr:rowOff>85725</xdr:rowOff>
        </xdr:from>
        <xdr:to>
          <xdr:col>8</xdr:col>
          <xdr:colOff>28575</xdr:colOff>
          <xdr:row>23</xdr:row>
          <xdr:rowOff>28575</xdr:rowOff>
        </xdr:to>
        <xdr:sp>
          <xdr:nvSpPr>
            <xdr:cNvPr id="8197" name="Object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>
            <a:xfrm>
              <a:off x="4815205" y="4826000"/>
              <a:ext cx="1000760" cy="3086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21</xdr:row>
          <xdr:rowOff>0</xdr:rowOff>
        </xdr:from>
        <xdr:to>
          <xdr:col>9</xdr:col>
          <xdr:colOff>723900</xdr:colOff>
          <xdr:row>23</xdr:row>
          <xdr:rowOff>76200</xdr:rowOff>
        </xdr:to>
        <xdr:sp>
          <xdr:nvSpPr>
            <xdr:cNvPr id="8198" name="Object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>
            <a:xfrm>
              <a:off x="6250940" y="4862195"/>
              <a:ext cx="61595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128588</xdr:colOff>
          <xdr:row>6</xdr:row>
          <xdr:rowOff>123825</xdr:rowOff>
        </xdr:from>
        <xdr:to>
          <xdr:col>1</xdr:col>
          <xdr:colOff>371475</xdr:colOff>
          <xdr:row>6</xdr:row>
          <xdr:rowOff>352425</xdr:rowOff>
        </xdr:to>
        <xdr:sp>
          <xdr:nvSpPr>
            <xdr:cNvPr id="8200" name="Object 8" hidden="1">
              <a:extLst>
                <a:ext uri="{63B3BB69-23CF-44E3-9099-C40C66FF867C}">
                  <a14:compatExt spid="_x0000_s8200"/>
                </a:ext>
              </a:extLst>
            </xdr:cNvPr>
            <xdr:cNvSpPr/>
          </xdr:nvSpPr>
          <xdr:spPr>
            <a:xfrm>
              <a:off x="963295" y="1793240"/>
              <a:ext cx="24320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280988</xdr:colOff>
          <xdr:row>6</xdr:row>
          <xdr:rowOff>90488</xdr:rowOff>
        </xdr:from>
        <xdr:to>
          <xdr:col>3</xdr:col>
          <xdr:colOff>442913</xdr:colOff>
          <xdr:row>6</xdr:row>
          <xdr:rowOff>333375</xdr:rowOff>
        </xdr:to>
        <xdr:sp>
          <xdr:nvSpPr>
            <xdr:cNvPr id="8201" name="Object 9" hidden="1">
              <a:extLst>
                <a:ext uri="{63B3BB69-23CF-44E3-9099-C40C66FF867C}">
                  <a14:compatExt spid="_x0000_s8201"/>
                </a:ext>
              </a:extLst>
            </xdr:cNvPr>
            <xdr:cNvSpPr/>
          </xdr:nvSpPr>
          <xdr:spPr>
            <a:xfrm>
              <a:off x="2311400" y="1759585"/>
              <a:ext cx="161925" cy="243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238125</xdr:colOff>
          <xdr:row>6</xdr:row>
          <xdr:rowOff>123825</xdr:rowOff>
        </xdr:from>
        <xdr:to>
          <xdr:col>4</xdr:col>
          <xdr:colOff>566738</xdr:colOff>
          <xdr:row>6</xdr:row>
          <xdr:rowOff>366713</xdr:rowOff>
        </xdr:to>
        <xdr:sp>
          <xdr:nvSpPr>
            <xdr:cNvPr id="8202" name="Object 10" hidden="1">
              <a:extLst>
                <a:ext uri="{63B3BB69-23CF-44E3-9099-C40C66FF867C}">
                  <a14:compatExt spid="_x0000_s8202"/>
                </a:ext>
              </a:extLst>
            </xdr:cNvPr>
            <xdr:cNvSpPr/>
          </xdr:nvSpPr>
          <xdr:spPr>
            <a:xfrm>
              <a:off x="3040380" y="1793240"/>
              <a:ext cx="328295" cy="242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252413</xdr:colOff>
          <xdr:row>6</xdr:row>
          <xdr:rowOff>138113</xdr:rowOff>
        </xdr:from>
        <xdr:to>
          <xdr:col>5</xdr:col>
          <xdr:colOff>495300</xdr:colOff>
          <xdr:row>7</xdr:row>
          <xdr:rowOff>0</xdr:rowOff>
        </xdr:to>
        <xdr:sp>
          <xdr:nvSpPr>
            <xdr:cNvPr id="8203" name="Object 11" hidden="1">
              <a:extLst>
                <a:ext uri="{63B3BB69-23CF-44E3-9099-C40C66FF867C}">
                  <a14:compatExt spid="_x0000_s8203"/>
                </a:ext>
              </a:extLst>
            </xdr:cNvPr>
            <xdr:cNvSpPr/>
          </xdr:nvSpPr>
          <xdr:spPr>
            <a:xfrm>
              <a:off x="3863975" y="1807210"/>
              <a:ext cx="243205" cy="243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261938</xdr:colOff>
          <xdr:row>6</xdr:row>
          <xdr:rowOff>147638</xdr:rowOff>
        </xdr:from>
        <xdr:to>
          <xdr:col>6</xdr:col>
          <xdr:colOff>466725</xdr:colOff>
          <xdr:row>7</xdr:row>
          <xdr:rowOff>9525</xdr:rowOff>
        </xdr:to>
        <xdr:sp>
          <xdr:nvSpPr>
            <xdr:cNvPr id="8204" name="Object 12" hidden="1">
              <a:extLst>
                <a:ext uri="{63B3BB69-23CF-44E3-9099-C40C66FF867C}">
                  <a14:compatExt spid="_x0000_s8204"/>
                </a:ext>
              </a:extLst>
            </xdr:cNvPr>
            <xdr:cNvSpPr/>
          </xdr:nvSpPr>
          <xdr:spPr>
            <a:xfrm>
              <a:off x="4767580" y="1816735"/>
              <a:ext cx="205105" cy="243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6</xdr:row>
          <xdr:rowOff>119063</xdr:rowOff>
        </xdr:from>
        <xdr:to>
          <xdr:col>7</xdr:col>
          <xdr:colOff>404813</xdr:colOff>
          <xdr:row>6</xdr:row>
          <xdr:rowOff>347663</xdr:rowOff>
        </xdr:to>
        <xdr:sp>
          <xdr:nvSpPr>
            <xdr:cNvPr id="8205" name="对象 56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>
            <a:xfrm>
              <a:off x="5439410" y="1788160"/>
              <a:ext cx="21399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261938</xdr:colOff>
          <xdr:row>9</xdr:row>
          <xdr:rowOff>147638</xdr:rowOff>
        </xdr:from>
        <xdr:to>
          <xdr:col>6</xdr:col>
          <xdr:colOff>466725</xdr:colOff>
          <xdr:row>10</xdr:row>
          <xdr:rowOff>9525</xdr:rowOff>
        </xdr:to>
        <xdr:sp>
          <xdr:nvSpPr>
            <xdr:cNvPr id="8206" name="Object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>
            <a:xfrm>
              <a:off x="4767580" y="2563495"/>
              <a:ext cx="205105" cy="45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261938</xdr:colOff>
          <xdr:row>12</xdr:row>
          <xdr:rowOff>147638</xdr:rowOff>
        </xdr:from>
        <xdr:to>
          <xdr:col>6</xdr:col>
          <xdr:colOff>466725</xdr:colOff>
          <xdr:row>13</xdr:row>
          <xdr:rowOff>9525</xdr:rowOff>
        </xdr:to>
        <xdr:sp>
          <xdr:nvSpPr>
            <xdr:cNvPr id="8207" name="Object 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>
            <a:xfrm>
              <a:off x="4767580" y="3112135"/>
              <a:ext cx="205105" cy="387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261938</xdr:colOff>
          <xdr:row>15</xdr:row>
          <xdr:rowOff>147638</xdr:rowOff>
        </xdr:from>
        <xdr:to>
          <xdr:col>6</xdr:col>
          <xdr:colOff>466725</xdr:colOff>
          <xdr:row>16</xdr:row>
          <xdr:rowOff>9525</xdr:rowOff>
        </xdr:to>
        <xdr:sp>
          <xdr:nvSpPr>
            <xdr:cNvPr id="8208" name="Object 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>
            <a:xfrm>
              <a:off x="4767580" y="3641725"/>
              <a:ext cx="205105" cy="336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261938</xdr:colOff>
          <xdr:row>15</xdr:row>
          <xdr:rowOff>147638</xdr:rowOff>
        </xdr:from>
        <xdr:to>
          <xdr:col>6</xdr:col>
          <xdr:colOff>466725</xdr:colOff>
          <xdr:row>16</xdr:row>
          <xdr:rowOff>9525</xdr:rowOff>
        </xdr:to>
        <xdr:sp>
          <xdr:nvSpPr>
            <xdr:cNvPr id="8209" name="Object 17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>
            <a:xfrm>
              <a:off x="4767580" y="3641725"/>
              <a:ext cx="205105" cy="336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261938</xdr:colOff>
          <xdr:row>18</xdr:row>
          <xdr:rowOff>147638</xdr:rowOff>
        </xdr:from>
        <xdr:to>
          <xdr:col>6</xdr:col>
          <xdr:colOff>466725</xdr:colOff>
          <xdr:row>19</xdr:row>
          <xdr:rowOff>9525</xdr:rowOff>
        </xdr:to>
        <xdr:sp>
          <xdr:nvSpPr>
            <xdr:cNvPr id="8210" name="Object 18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>
            <a:xfrm>
              <a:off x="4767580" y="4156075"/>
              <a:ext cx="205105" cy="450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181610</xdr:colOff>
      <xdr:row>3</xdr:row>
      <xdr:rowOff>14923</xdr:rowOff>
    </xdr:from>
    <xdr:to>
      <xdr:col>15</xdr:col>
      <xdr:colOff>84455</xdr:colOff>
      <xdr:row>23</xdr:row>
      <xdr:rowOff>147638</xdr:rowOff>
    </xdr:to>
    <xdr:graphicFrame>
      <xdr:nvGraphicFramePr>
        <xdr:cNvPr id="2" name="图表 1"/>
        <xdr:cNvGraphicFramePr/>
      </xdr:nvGraphicFramePr>
      <xdr:xfrm>
        <a:off x="2262505" y="608965"/>
        <a:ext cx="7949565" cy="4095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512082</xdr:colOff>
      <xdr:row>3</xdr:row>
      <xdr:rowOff>149862</xdr:rowOff>
    </xdr:from>
    <xdr:to>
      <xdr:col>19</xdr:col>
      <xdr:colOff>20409</xdr:colOff>
      <xdr:row>31</xdr:row>
      <xdr:rowOff>54428</xdr:rowOff>
    </xdr:to>
    <xdr:graphicFrame>
      <xdr:nvGraphicFramePr>
        <xdr:cNvPr id="2" name="图表 1"/>
        <xdr:cNvGraphicFramePr/>
      </xdr:nvGraphicFramePr>
      <xdr:xfrm>
        <a:off x="3864610" y="744220"/>
        <a:ext cx="8896350" cy="545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>
      <xdr:nvGraphicFramePr>
        <xdr:cNvPr id="3" name="图表 2"/>
        <xdr:cNvGraphicFramePr/>
      </xdr:nvGraphicFramePr>
      <xdr:xfrm>
        <a:off x="5332730" y="234950"/>
        <a:ext cx="9786620" cy="518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>
      <xdr:nvGraphicFramePr>
        <xdr:cNvPr id="2" name="图表 1"/>
        <xdr:cNvGraphicFramePr/>
      </xdr:nvGraphicFramePr>
      <xdr:xfrm>
        <a:off x="5332730" y="234950"/>
        <a:ext cx="9786620" cy="518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>
      <xdr:nvGraphicFramePr>
        <xdr:cNvPr id="2" name="图表 1"/>
        <xdr:cNvGraphicFramePr/>
      </xdr:nvGraphicFramePr>
      <xdr:xfrm>
        <a:off x="5332730" y="234950"/>
        <a:ext cx="9786620" cy="518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w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1" Type="http://schemas.openxmlformats.org/officeDocument/2006/relationships/oleObject" Target="../embeddings/oleObject17.bin"/><Relationship Id="rId30" Type="http://schemas.openxmlformats.org/officeDocument/2006/relationships/oleObject" Target="../embeddings/oleObject16.bin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5.bin"/><Relationship Id="rId28" Type="http://schemas.openxmlformats.org/officeDocument/2006/relationships/oleObject" Target="../embeddings/oleObject14.bin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w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w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w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w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w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w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w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.wmf"/><Relationship Id="rId11" Type="http://schemas.openxmlformats.org/officeDocument/2006/relationships/oleObject" Target="../embeddings/oleObject5.bin"/><Relationship Id="rId10" Type="http://schemas.openxmlformats.org/officeDocument/2006/relationships/image" Target="../media/image4.wmf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55"/>
  <sheetViews>
    <sheetView topLeftCell="A37" workbookViewId="0">
      <selection activeCell="D55" sqref="D55"/>
    </sheetView>
  </sheetViews>
  <sheetFormatPr defaultColWidth="8.8" defaultRowHeight="15.6"/>
  <cols>
    <col min="1" max="1" width="12.125" style="89" customWidth="1"/>
    <col min="2" max="2" width="13.875" style="89" customWidth="1"/>
    <col min="3" max="3" width="10.125" style="90" customWidth="1"/>
    <col min="4" max="4" width="11.6" style="90" customWidth="1"/>
    <col min="5" max="5" width="10.125" style="90" customWidth="1"/>
    <col min="6" max="6" width="11.6" style="90" customWidth="1"/>
    <col min="7" max="7" width="10.1916666666667" style="89" customWidth="1"/>
    <col min="8" max="8" width="11.5" style="91" customWidth="1"/>
    <col min="9" max="9" width="10.125" style="89" customWidth="1"/>
    <col min="10" max="10" width="12.7" style="91" customWidth="1"/>
    <col min="11" max="11" width="15.4" style="92" customWidth="1"/>
    <col min="12" max="16384" width="9" style="89"/>
  </cols>
  <sheetData>
    <row r="1" ht="29.25" customHeight="1" spans="1:11">
      <c r="A1" s="68" t="s">
        <v>0</v>
      </c>
      <c r="B1" s="68"/>
      <c r="C1" s="68"/>
      <c r="D1" s="68"/>
      <c r="E1" s="68"/>
      <c r="F1" s="68"/>
      <c r="G1" s="68"/>
      <c r="H1" s="93"/>
      <c r="I1" s="68"/>
      <c r="J1" s="93"/>
      <c r="K1" s="94"/>
    </row>
    <row r="2" ht="39" customHeight="1" spans="1:11">
      <c r="A2" s="95" t="s">
        <v>1</v>
      </c>
      <c r="B2" s="95"/>
      <c r="C2" s="96" t="s">
        <v>2</v>
      </c>
      <c r="D2" s="96"/>
      <c r="E2" s="97"/>
      <c r="F2" s="97"/>
      <c r="G2" s="97"/>
      <c r="H2" s="97"/>
      <c r="I2" s="96"/>
      <c r="J2" s="96"/>
      <c r="K2" s="39" t="s">
        <v>3</v>
      </c>
    </row>
    <row r="3" spans="1:11">
      <c r="A3" s="36" t="s">
        <v>4</v>
      </c>
      <c r="B3" s="69"/>
      <c r="C3" s="98">
        <v>1</v>
      </c>
      <c r="D3" s="98"/>
      <c r="E3" s="98">
        <v>2</v>
      </c>
      <c r="F3" s="98"/>
      <c r="G3" s="99" t="s">
        <v>5</v>
      </c>
      <c r="H3" s="98"/>
      <c r="I3" s="100">
        <v>4</v>
      </c>
      <c r="J3" s="101"/>
      <c r="K3" s="39" t="s">
        <v>6</v>
      </c>
    </row>
    <row r="4" spans="1:11">
      <c r="A4" s="42" t="s">
        <v>7</v>
      </c>
      <c r="B4" s="72"/>
      <c r="C4" s="43" t="s">
        <v>8</v>
      </c>
      <c r="D4" s="43"/>
      <c r="E4" s="43" t="s">
        <v>9</v>
      </c>
      <c r="F4" s="43"/>
      <c r="G4" s="43" t="s">
        <v>10</v>
      </c>
      <c r="H4" s="43"/>
      <c r="I4" s="77" t="s">
        <v>11</v>
      </c>
      <c r="J4" s="102"/>
      <c r="K4" s="75"/>
    </row>
    <row r="5" ht="44.1" customHeight="1" spans="1:11">
      <c r="A5" s="76"/>
      <c r="B5" s="69"/>
      <c r="C5" s="103" t="s">
        <v>12</v>
      </c>
      <c r="D5" s="103" t="s">
        <v>13</v>
      </c>
      <c r="E5" s="103" t="s">
        <v>14</v>
      </c>
      <c r="F5" s="103" t="s">
        <v>13</v>
      </c>
      <c r="G5" s="103" t="s">
        <v>15</v>
      </c>
      <c r="H5" s="103" t="s">
        <v>13</v>
      </c>
      <c r="I5" s="103" t="s">
        <v>16</v>
      </c>
      <c r="J5" s="103" t="s">
        <v>13</v>
      </c>
      <c r="K5" s="39" t="s">
        <v>17</v>
      </c>
    </row>
    <row r="6" spans="1:11">
      <c r="A6" s="50" t="s">
        <v>18</v>
      </c>
      <c r="B6" s="51" t="s">
        <v>19</v>
      </c>
      <c r="C6" s="104">
        <v>76</v>
      </c>
      <c r="D6" s="105">
        <f>C6*0.01</f>
        <v>0.76</v>
      </c>
      <c r="E6" s="104">
        <v>71</v>
      </c>
      <c r="F6" s="105">
        <f>E6*0.01</f>
        <v>0.71</v>
      </c>
      <c r="G6" s="104">
        <v>72</v>
      </c>
      <c r="H6" s="83">
        <f>G6*0.01</f>
        <v>0.72</v>
      </c>
      <c r="I6" s="106">
        <v>68</v>
      </c>
      <c r="J6" s="83">
        <f>I6*0.01</f>
        <v>0.68</v>
      </c>
      <c r="K6" s="84">
        <f>C6*0.3+E6*0.2+G6*0.2+I6*0.3</f>
        <v>71.8</v>
      </c>
    </row>
    <row r="7" spans="1:11">
      <c r="A7" s="50" t="s">
        <v>20</v>
      </c>
      <c r="B7" s="51" t="s">
        <v>21</v>
      </c>
      <c r="C7" s="104">
        <v>76</v>
      </c>
      <c r="D7" s="105">
        <f t="shared" ref="D7:D18" si="0">C7*0.01</f>
        <v>0.76</v>
      </c>
      <c r="E7" s="104">
        <v>70</v>
      </c>
      <c r="F7" s="105">
        <f t="shared" ref="F7:F18" si="1">E7*0.01</f>
        <v>0.7</v>
      </c>
      <c r="G7" s="104">
        <v>50</v>
      </c>
      <c r="H7" s="83">
        <f t="shared" ref="H7:H19" si="2">G7*0.01</f>
        <v>0.5</v>
      </c>
      <c r="I7" s="106">
        <v>80</v>
      </c>
      <c r="J7" s="83">
        <f t="shared" ref="J7:J20" si="3">I7*0.01</f>
        <v>0.8</v>
      </c>
      <c r="K7" s="84">
        <f>C7*0.3+E7*0.2+G7*0.2+I7*0.3</f>
        <v>70.8</v>
      </c>
    </row>
    <row r="8" spans="1:11">
      <c r="A8" s="50" t="s">
        <v>22</v>
      </c>
      <c r="B8" s="51" t="s">
        <v>23</v>
      </c>
      <c r="C8" s="104">
        <v>62</v>
      </c>
      <c r="D8" s="105">
        <f t="shared" si="0"/>
        <v>0.62</v>
      </c>
      <c r="E8" s="104">
        <v>50</v>
      </c>
      <c r="F8" s="105">
        <f t="shared" si="1"/>
        <v>0.5</v>
      </c>
      <c r="G8" s="104">
        <v>50</v>
      </c>
      <c r="H8" s="83">
        <f t="shared" si="2"/>
        <v>0.5</v>
      </c>
      <c r="I8" s="106">
        <v>60</v>
      </c>
      <c r="J8" s="83">
        <f t="shared" si="3"/>
        <v>0.6</v>
      </c>
      <c r="K8" s="84">
        <f>C8*0.3+E8*0.2+G8*0.2+I8*0.3</f>
        <v>56.6</v>
      </c>
    </row>
    <row r="9" spans="1:11">
      <c r="A9" s="50" t="s">
        <v>24</v>
      </c>
      <c r="B9" s="51" t="s">
        <v>25</v>
      </c>
      <c r="C9" s="104">
        <v>92</v>
      </c>
      <c r="D9" s="105">
        <f t="shared" si="0"/>
        <v>0.92</v>
      </c>
      <c r="E9" s="104">
        <v>91</v>
      </c>
      <c r="F9" s="105">
        <f t="shared" si="1"/>
        <v>0.91</v>
      </c>
      <c r="G9" s="104">
        <v>92</v>
      </c>
      <c r="H9" s="83">
        <f t="shared" si="2"/>
        <v>0.92</v>
      </c>
      <c r="I9" s="106">
        <v>87</v>
      </c>
      <c r="J9" s="83">
        <f t="shared" si="3"/>
        <v>0.87</v>
      </c>
      <c r="K9" s="84">
        <f>C9*0.3+E9*0.2+G9*0.2+I9*0.3</f>
        <v>90.3</v>
      </c>
    </row>
    <row r="10" spans="1:11">
      <c r="A10" s="50" t="s">
        <v>26</v>
      </c>
      <c r="B10" s="51" t="s">
        <v>27</v>
      </c>
      <c r="C10" s="104">
        <v>92</v>
      </c>
      <c r="D10" s="105">
        <f t="shared" si="0"/>
        <v>0.92</v>
      </c>
      <c r="E10" s="104">
        <v>91</v>
      </c>
      <c r="F10" s="105">
        <f t="shared" si="1"/>
        <v>0.91</v>
      </c>
      <c r="G10" s="104">
        <v>92</v>
      </c>
      <c r="H10" s="83">
        <f t="shared" si="2"/>
        <v>0.92</v>
      </c>
      <c r="I10" s="106">
        <v>93</v>
      </c>
      <c r="J10" s="83">
        <f t="shared" si="3"/>
        <v>0.93</v>
      </c>
      <c r="K10" s="84">
        <f>C10*0.3+E10*0.2+G10*0.2+I10*0.3</f>
        <v>92.1</v>
      </c>
    </row>
    <row r="11" spans="1:11">
      <c r="A11" s="50" t="s">
        <v>28</v>
      </c>
      <c r="B11" s="51" t="s">
        <v>29</v>
      </c>
      <c r="C11" s="104">
        <v>78</v>
      </c>
      <c r="D11" s="105">
        <f t="shared" si="0"/>
        <v>0.78</v>
      </c>
      <c r="E11" s="104">
        <v>78</v>
      </c>
      <c r="F11" s="105">
        <f t="shared" si="1"/>
        <v>0.78</v>
      </c>
      <c r="G11" s="104">
        <v>86</v>
      </c>
      <c r="H11" s="83">
        <f t="shared" si="2"/>
        <v>0.86</v>
      </c>
      <c r="I11" s="106">
        <v>87</v>
      </c>
      <c r="J11" s="83">
        <f t="shared" si="3"/>
        <v>0.87</v>
      </c>
      <c r="K11" s="84">
        <f>C11*0.3+E11*0.2+G11*0.2+I11*0.3</f>
        <v>82.3</v>
      </c>
    </row>
    <row r="12" spans="1:11">
      <c r="A12" s="50" t="s">
        <v>30</v>
      </c>
      <c r="B12" s="51" t="s">
        <v>31</v>
      </c>
      <c r="C12" s="104">
        <v>50</v>
      </c>
      <c r="D12" s="105">
        <f t="shared" si="0"/>
        <v>0.5</v>
      </c>
      <c r="E12" s="104">
        <v>50</v>
      </c>
      <c r="F12" s="105">
        <f t="shared" si="1"/>
        <v>0.5</v>
      </c>
      <c r="G12" s="104">
        <v>70</v>
      </c>
      <c r="H12" s="83">
        <f t="shared" si="2"/>
        <v>0.7</v>
      </c>
      <c r="I12" s="106">
        <v>62.7</v>
      </c>
      <c r="J12" s="83">
        <f t="shared" si="3"/>
        <v>0.627</v>
      </c>
      <c r="K12" s="84">
        <f>C12*0.3+E12*0.2+G12*0.2+I12*0.3</f>
        <v>57.81</v>
      </c>
    </row>
    <row r="13" spans="1:11">
      <c r="A13" s="50" t="s">
        <v>32</v>
      </c>
      <c r="B13" s="51" t="s">
        <v>33</v>
      </c>
      <c r="C13" s="104">
        <v>88</v>
      </c>
      <c r="D13" s="105">
        <f t="shared" si="0"/>
        <v>0.88</v>
      </c>
      <c r="E13" s="104">
        <v>80</v>
      </c>
      <c r="F13" s="105">
        <f t="shared" si="1"/>
        <v>0.8</v>
      </c>
      <c r="G13" s="104">
        <v>90</v>
      </c>
      <c r="H13" s="83">
        <f t="shared" si="2"/>
        <v>0.9</v>
      </c>
      <c r="I13" s="106">
        <v>74</v>
      </c>
      <c r="J13" s="83">
        <f t="shared" si="3"/>
        <v>0.74</v>
      </c>
      <c r="K13" s="84">
        <f>C13*0.3+E13*0.2+G13*0.2+I13*0.3</f>
        <v>82.6</v>
      </c>
    </row>
    <row r="14" spans="1:11">
      <c r="A14" s="50" t="s">
        <v>34</v>
      </c>
      <c r="B14" s="51" t="s">
        <v>35</v>
      </c>
      <c r="C14" s="104">
        <v>80</v>
      </c>
      <c r="D14" s="105">
        <f>C14*0.01</f>
        <v>0.8</v>
      </c>
      <c r="E14" s="104">
        <v>70</v>
      </c>
      <c r="F14" s="105">
        <f>E14*0.01</f>
        <v>0.7</v>
      </c>
      <c r="G14" s="104">
        <v>72</v>
      </c>
      <c r="H14" s="83">
        <f>G14*0.01</f>
        <v>0.72</v>
      </c>
      <c r="I14" s="106">
        <v>78</v>
      </c>
      <c r="J14" s="83">
        <f>I14*0.01</f>
        <v>0.78</v>
      </c>
      <c r="K14" s="84">
        <f t="shared" ref="K14:K37" si="4">C14*0.3+E14*0.2+G14*0.2+I14*0.3</f>
        <v>75.8</v>
      </c>
    </row>
    <row r="15" spans="1:11">
      <c r="A15" s="50" t="s">
        <v>36</v>
      </c>
      <c r="B15" s="51" t="s">
        <v>37</v>
      </c>
      <c r="C15" s="104">
        <v>94</v>
      </c>
      <c r="D15" s="105">
        <f>C15*0.01</f>
        <v>0.94</v>
      </c>
      <c r="E15" s="104">
        <v>92</v>
      </c>
      <c r="F15" s="105">
        <f>E15*0.01</f>
        <v>0.92</v>
      </c>
      <c r="G15" s="104">
        <v>94</v>
      </c>
      <c r="H15" s="83">
        <f>G15*0.01</f>
        <v>0.94</v>
      </c>
      <c r="I15" s="106">
        <v>84.7</v>
      </c>
      <c r="J15" s="83">
        <f>I15*0.01</f>
        <v>0.847</v>
      </c>
      <c r="K15" s="84">
        <f t="shared" si="4"/>
        <v>90.81</v>
      </c>
    </row>
    <row r="16" spans="1:11">
      <c r="A16" s="50" t="s">
        <v>38</v>
      </c>
      <c r="B16" s="51" t="s">
        <v>39</v>
      </c>
      <c r="C16" s="104">
        <v>90</v>
      </c>
      <c r="D16" s="105">
        <f>C16*0.01</f>
        <v>0.9</v>
      </c>
      <c r="E16" s="104">
        <v>90</v>
      </c>
      <c r="F16" s="105">
        <f>E16*0.01</f>
        <v>0.9</v>
      </c>
      <c r="G16" s="104">
        <v>94</v>
      </c>
      <c r="H16" s="83">
        <f>G16*0.01</f>
        <v>0.94</v>
      </c>
      <c r="I16" s="106">
        <v>90</v>
      </c>
      <c r="J16" s="83">
        <f>I16*0.01</f>
        <v>0.9</v>
      </c>
      <c r="K16" s="84">
        <f t="shared" si="4"/>
        <v>90.8</v>
      </c>
    </row>
    <row r="17" spans="1:11">
      <c r="A17" s="50" t="s">
        <v>40</v>
      </c>
      <c r="B17" s="51" t="s">
        <v>41</v>
      </c>
      <c r="C17" s="104">
        <v>80</v>
      </c>
      <c r="D17" s="105">
        <f>C17*0.01</f>
        <v>0.8</v>
      </c>
      <c r="E17" s="104">
        <v>70</v>
      </c>
      <c r="F17" s="105">
        <f>E17*0.01</f>
        <v>0.7</v>
      </c>
      <c r="G17" s="104">
        <v>70</v>
      </c>
      <c r="H17" s="83">
        <f>G17*0.01</f>
        <v>0.7</v>
      </c>
      <c r="I17" s="106">
        <v>83.3</v>
      </c>
      <c r="J17" s="83">
        <f>I17*0.01</f>
        <v>0.833</v>
      </c>
      <c r="K17" s="84">
        <f t="shared" si="4"/>
        <v>76.99</v>
      </c>
    </row>
    <row r="18" spans="1:11">
      <c r="A18" s="50" t="s">
        <v>42</v>
      </c>
      <c r="B18" s="51" t="s">
        <v>43</v>
      </c>
      <c r="C18" s="104">
        <v>90</v>
      </c>
      <c r="D18" s="105">
        <f t="shared" ref="D18:D29" si="5">C18*0.01</f>
        <v>0.9</v>
      </c>
      <c r="E18" s="104">
        <v>90</v>
      </c>
      <c r="F18" s="105">
        <f t="shared" ref="F18:F33" si="6">E18*0.01</f>
        <v>0.9</v>
      </c>
      <c r="G18" s="104">
        <v>90</v>
      </c>
      <c r="H18" s="83">
        <f>G18*0.01</f>
        <v>0.9</v>
      </c>
      <c r="I18" s="106">
        <v>93</v>
      </c>
      <c r="J18" s="83">
        <f>I18*0.01</f>
        <v>0.93</v>
      </c>
      <c r="K18" s="84">
        <f t="shared" si="4"/>
        <v>90.9</v>
      </c>
    </row>
    <row r="19" spans="1:11">
      <c r="A19" s="50" t="s">
        <v>44</v>
      </c>
      <c r="B19" s="51" t="s">
        <v>45</v>
      </c>
      <c r="C19" s="104">
        <v>86</v>
      </c>
      <c r="D19" s="105">
        <f t="shared" si="5"/>
        <v>0.86</v>
      </c>
      <c r="E19" s="104">
        <v>84</v>
      </c>
      <c r="F19" s="105">
        <f t="shared" si="6"/>
        <v>0.84</v>
      </c>
      <c r="G19" s="104">
        <v>88</v>
      </c>
      <c r="H19" s="83">
        <f t="shared" ref="H19:H36" si="7">G19*0.01</f>
        <v>0.88</v>
      </c>
      <c r="I19" s="106">
        <v>80</v>
      </c>
      <c r="J19" s="83">
        <f>I19*0.01</f>
        <v>0.8</v>
      </c>
      <c r="K19" s="84">
        <f t="shared" si="4"/>
        <v>84.2</v>
      </c>
    </row>
    <row r="20" spans="1:11">
      <c r="A20" s="50" t="s">
        <v>46</v>
      </c>
      <c r="B20" s="51" t="s">
        <v>47</v>
      </c>
      <c r="C20" s="104">
        <v>80</v>
      </c>
      <c r="D20" s="105">
        <f t="shared" si="5"/>
        <v>0.8</v>
      </c>
      <c r="E20" s="104">
        <v>76</v>
      </c>
      <c r="F20" s="105">
        <f t="shared" si="6"/>
        <v>0.76</v>
      </c>
      <c r="G20" s="104">
        <v>80</v>
      </c>
      <c r="H20" s="83">
        <f t="shared" si="7"/>
        <v>0.8</v>
      </c>
      <c r="I20" s="106">
        <v>82</v>
      </c>
      <c r="J20" s="83">
        <f t="shared" ref="J20:J35" si="8">I20*0.01</f>
        <v>0.82</v>
      </c>
      <c r="K20" s="84">
        <f t="shared" si="4"/>
        <v>79.8</v>
      </c>
    </row>
    <row r="21" spans="1:11">
      <c r="A21" s="50" t="s">
        <v>48</v>
      </c>
      <c r="B21" s="51" t="s">
        <v>49</v>
      </c>
      <c r="C21" s="104">
        <v>78</v>
      </c>
      <c r="D21" s="105">
        <f t="shared" si="5"/>
        <v>0.78</v>
      </c>
      <c r="E21" s="104">
        <v>76</v>
      </c>
      <c r="F21" s="105">
        <f t="shared" si="6"/>
        <v>0.76</v>
      </c>
      <c r="G21" s="104">
        <v>80</v>
      </c>
      <c r="H21" s="83">
        <f t="shared" si="7"/>
        <v>0.8</v>
      </c>
      <c r="I21" s="106">
        <v>84</v>
      </c>
      <c r="J21" s="83">
        <f t="shared" si="8"/>
        <v>0.84</v>
      </c>
      <c r="K21" s="84">
        <f t="shared" si="4"/>
        <v>79.8</v>
      </c>
    </row>
    <row r="22" spans="1:11">
      <c r="A22" s="50" t="s">
        <v>50</v>
      </c>
      <c r="B22" s="51" t="s">
        <v>51</v>
      </c>
      <c r="C22" s="104">
        <v>80</v>
      </c>
      <c r="D22" s="105">
        <f t="shared" si="5"/>
        <v>0.8</v>
      </c>
      <c r="E22" s="104">
        <v>70</v>
      </c>
      <c r="F22" s="105">
        <f t="shared" si="6"/>
        <v>0.7</v>
      </c>
      <c r="G22" s="104">
        <v>80</v>
      </c>
      <c r="H22" s="83">
        <f t="shared" si="7"/>
        <v>0.8</v>
      </c>
      <c r="I22" s="106">
        <v>83.3</v>
      </c>
      <c r="J22" s="83">
        <f t="shared" si="8"/>
        <v>0.833</v>
      </c>
      <c r="K22" s="84">
        <f t="shared" si="4"/>
        <v>78.99</v>
      </c>
    </row>
    <row r="23" spans="1:11">
      <c r="A23" s="50" t="s">
        <v>52</v>
      </c>
      <c r="B23" s="51" t="s">
        <v>53</v>
      </c>
      <c r="C23" s="104">
        <v>70</v>
      </c>
      <c r="D23" s="105">
        <f t="shared" si="5"/>
        <v>0.7</v>
      </c>
      <c r="E23" s="104">
        <v>70</v>
      </c>
      <c r="F23" s="105">
        <f t="shared" si="6"/>
        <v>0.7</v>
      </c>
      <c r="G23" s="104">
        <v>68</v>
      </c>
      <c r="H23" s="83">
        <f t="shared" si="7"/>
        <v>0.68</v>
      </c>
      <c r="I23" s="106">
        <v>74</v>
      </c>
      <c r="J23" s="83">
        <f t="shared" si="8"/>
        <v>0.74</v>
      </c>
      <c r="K23" s="84">
        <f t="shared" si="4"/>
        <v>70.8</v>
      </c>
    </row>
    <row r="24" spans="1:11">
      <c r="A24" s="50" t="s">
        <v>54</v>
      </c>
      <c r="B24" s="51" t="s">
        <v>55</v>
      </c>
      <c r="C24" s="104">
        <v>90</v>
      </c>
      <c r="D24" s="105">
        <f t="shared" si="5"/>
        <v>0.9</v>
      </c>
      <c r="E24" s="104">
        <v>88</v>
      </c>
      <c r="F24" s="105">
        <f t="shared" si="6"/>
        <v>0.88</v>
      </c>
      <c r="G24" s="104">
        <v>93</v>
      </c>
      <c r="H24" s="83">
        <f t="shared" si="7"/>
        <v>0.93</v>
      </c>
      <c r="I24" s="106">
        <v>90.7</v>
      </c>
      <c r="J24" s="83">
        <f t="shared" si="8"/>
        <v>0.907</v>
      </c>
      <c r="K24" s="84">
        <f t="shared" si="4"/>
        <v>90.41</v>
      </c>
    </row>
    <row r="25" spans="1:11">
      <c r="A25" s="50" t="s">
        <v>56</v>
      </c>
      <c r="B25" s="51" t="s">
        <v>57</v>
      </c>
      <c r="C25" s="104">
        <v>70</v>
      </c>
      <c r="D25" s="105">
        <f t="shared" si="5"/>
        <v>0.7</v>
      </c>
      <c r="E25" s="104">
        <v>70</v>
      </c>
      <c r="F25" s="105">
        <f t="shared" si="6"/>
        <v>0.7</v>
      </c>
      <c r="G25" s="104">
        <v>64</v>
      </c>
      <c r="H25" s="83">
        <f t="shared" si="7"/>
        <v>0.64</v>
      </c>
      <c r="I25" s="106">
        <v>60</v>
      </c>
      <c r="J25" s="83">
        <f t="shared" si="8"/>
        <v>0.6</v>
      </c>
      <c r="K25" s="84">
        <f t="shared" si="4"/>
        <v>65.8</v>
      </c>
    </row>
    <row r="26" spans="1:11">
      <c r="A26" s="50" t="s">
        <v>58</v>
      </c>
      <c r="B26" s="51" t="s">
        <v>59</v>
      </c>
      <c r="C26" s="104">
        <v>90</v>
      </c>
      <c r="D26" s="105">
        <f t="shared" si="5"/>
        <v>0.9</v>
      </c>
      <c r="E26" s="104">
        <v>88</v>
      </c>
      <c r="F26" s="105">
        <f t="shared" si="6"/>
        <v>0.88</v>
      </c>
      <c r="G26" s="104">
        <v>92</v>
      </c>
      <c r="H26" s="83">
        <f t="shared" si="7"/>
        <v>0.92</v>
      </c>
      <c r="I26" s="106">
        <v>81</v>
      </c>
      <c r="J26" s="83">
        <f t="shared" si="8"/>
        <v>0.81</v>
      </c>
      <c r="K26" s="84">
        <f t="shared" si="4"/>
        <v>87.3</v>
      </c>
    </row>
    <row r="27" spans="1:11">
      <c r="A27" s="50" t="s">
        <v>60</v>
      </c>
      <c r="B27" s="51" t="s">
        <v>61</v>
      </c>
      <c r="C27" s="104">
        <v>80</v>
      </c>
      <c r="D27" s="105">
        <f t="shared" si="5"/>
        <v>0.8</v>
      </c>
      <c r="E27" s="104">
        <v>80</v>
      </c>
      <c r="F27" s="105">
        <f t="shared" si="6"/>
        <v>0.8</v>
      </c>
      <c r="G27" s="104">
        <v>78</v>
      </c>
      <c r="H27" s="83">
        <f t="shared" si="7"/>
        <v>0.78</v>
      </c>
      <c r="I27" s="106">
        <v>72</v>
      </c>
      <c r="J27" s="83">
        <f t="shared" si="8"/>
        <v>0.72</v>
      </c>
      <c r="K27" s="84">
        <f t="shared" si="4"/>
        <v>77.2</v>
      </c>
    </row>
    <row r="28" spans="1:11">
      <c r="A28" s="50" t="s">
        <v>62</v>
      </c>
      <c r="B28" s="51" t="s">
        <v>63</v>
      </c>
      <c r="C28" s="104">
        <v>70</v>
      </c>
      <c r="D28" s="105">
        <f t="shared" si="5"/>
        <v>0.7</v>
      </c>
      <c r="E28" s="104">
        <v>70</v>
      </c>
      <c r="F28" s="105">
        <f t="shared" si="6"/>
        <v>0.7</v>
      </c>
      <c r="G28" s="104">
        <v>76</v>
      </c>
      <c r="H28" s="83">
        <f t="shared" si="7"/>
        <v>0.76</v>
      </c>
      <c r="I28" s="106">
        <v>80</v>
      </c>
      <c r="J28" s="83">
        <f t="shared" si="8"/>
        <v>0.8</v>
      </c>
      <c r="K28" s="84">
        <f t="shared" si="4"/>
        <v>74.2</v>
      </c>
    </row>
    <row r="29" spans="1:11">
      <c r="A29" s="50" t="s">
        <v>64</v>
      </c>
      <c r="B29" s="51" t="s">
        <v>65</v>
      </c>
      <c r="C29" s="104">
        <v>96</v>
      </c>
      <c r="D29" s="105">
        <f t="shared" si="5"/>
        <v>0.96</v>
      </c>
      <c r="E29" s="104">
        <v>94</v>
      </c>
      <c r="F29" s="105">
        <f t="shared" si="6"/>
        <v>0.94</v>
      </c>
      <c r="G29" s="104">
        <v>98</v>
      </c>
      <c r="H29" s="83">
        <f t="shared" si="7"/>
        <v>0.98</v>
      </c>
      <c r="I29" s="106">
        <v>94.7</v>
      </c>
      <c r="J29" s="83">
        <f t="shared" si="8"/>
        <v>0.947</v>
      </c>
      <c r="K29" s="84">
        <f t="shared" si="4"/>
        <v>95.61</v>
      </c>
    </row>
    <row r="30" spans="1:11">
      <c r="A30" s="50" t="s">
        <v>66</v>
      </c>
      <c r="B30" s="51" t="s">
        <v>67</v>
      </c>
      <c r="C30" s="104">
        <v>67</v>
      </c>
      <c r="D30" s="105">
        <f t="shared" ref="D30:D46" si="9">C30*0.01</f>
        <v>0.67</v>
      </c>
      <c r="E30" s="104">
        <v>62</v>
      </c>
      <c r="F30" s="105">
        <f t="shared" si="6"/>
        <v>0.62</v>
      </c>
      <c r="G30" s="104">
        <v>62</v>
      </c>
      <c r="H30" s="83">
        <f t="shared" si="7"/>
        <v>0.62</v>
      </c>
      <c r="I30" s="106">
        <v>82</v>
      </c>
      <c r="J30" s="83">
        <f t="shared" si="8"/>
        <v>0.82</v>
      </c>
      <c r="K30" s="84">
        <f t="shared" si="4"/>
        <v>69.5</v>
      </c>
    </row>
    <row r="31" spans="1:11">
      <c r="A31" s="50" t="s">
        <v>68</v>
      </c>
      <c r="B31" s="51" t="s">
        <v>69</v>
      </c>
      <c r="C31" s="104">
        <v>82</v>
      </c>
      <c r="D31" s="105">
        <f t="shared" si="9"/>
        <v>0.82</v>
      </c>
      <c r="E31" s="104">
        <v>80</v>
      </c>
      <c r="F31" s="105">
        <f t="shared" si="6"/>
        <v>0.8</v>
      </c>
      <c r="G31" s="104">
        <v>82</v>
      </c>
      <c r="H31" s="83">
        <f t="shared" si="7"/>
        <v>0.82</v>
      </c>
      <c r="I31" s="106">
        <v>67</v>
      </c>
      <c r="J31" s="83">
        <f t="shared" si="8"/>
        <v>0.67</v>
      </c>
      <c r="K31" s="84">
        <f t="shared" si="4"/>
        <v>77.1</v>
      </c>
    </row>
    <row r="32" spans="1:11">
      <c r="A32" s="50" t="s">
        <v>70</v>
      </c>
      <c r="B32" s="51" t="s">
        <v>71</v>
      </c>
      <c r="C32" s="104">
        <v>80</v>
      </c>
      <c r="D32" s="105">
        <f t="shared" si="9"/>
        <v>0.8</v>
      </c>
      <c r="E32" s="104">
        <v>70</v>
      </c>
      <c r="F32" s="105">
        <f t="shared" si="6"/>
        <v>0.7</v>
      </c>
      <c r="G32" s="104">
        <v>68</v>
      </c>
      <c r="H32" s="83">
        <f t="shared" si="7"/>
        <v>0.68</v>
      </c>
      <c r="I32" s="106">
        <v>79.3</v>
      </c>
      <c r="J32" s="83">
        <f t="shared" si="8"/>
        <v>0.793</v>
      </c>
      <c r="K32" s="84">
        <f t="shared" si="4"/>
        <v>75.39</v>
      </c>
    </row>
    <row r="33" spans="1:11">
      <c r="A33" s="50" t="s">
        <v>72</v>
      </c>
      <c r="B33" s="51" t="s">
        <v>73</v>
      </c>
      <c r="C33" s="104">
        <v>82</v>
      </c>
      <c r="D33" s="105">
        <f t="shared" si="9"/>
        <v>0.82</v>
      </c>
      <c r="E33" s="104">
        <v>78</v>
      </c>
      <c r="F33" s="105">
        <f t="shared" si="6"/>
        <v>0.78</v>
      </c>
      <c r="G33" s="104">
        <v>70</v>
      </c>
      <c r="H33" s="83">
        <f t="shared" si="7"/>
        <v>0.7</v>
      </c>
      <c r="I33" s="106">
        <v>68</v>
      </c>
      <c r="J33" s="83">
        <f t="shared" si="8"/>
        <v>0.68</v>
      </c>
      <c r="K33" s="84">
        <f t="shared" si="4"/>
        <v>74.6</v>
      </c>
    </row>
    <row r="34" spans="1:11">
      <c r="A34" s="50" t="s">
        <v>74</v>
      </c>
      <c r="B34" s="51" t="s">
        <v>75</v>
      </c>
      <c r="C34" s="104">
        <v>80</v>
      </c>
      <c r="D34" s="105">
        <f t="shared" si="9"/>
        <v>0.8</v>
      </c>
      <c r="E34" s="104">
        <v>78</v>
      </c>
      <c r="F34" s="105">
        <f t="shared" ref="F34:F50" si="10">E34*0.01</f>
        <v>0.78</v>
      </c>
      <c r="G34" s="104">
        <v>78</v>
      </c>
      <c r="H34" s="83">
        <f t="shared" si="7"/>
        <v>0.78</v>
      </c>
      <c r="I34" s="106">
        <v>73</v>
      </c>
      <c r="J34" s="83">
        <f t="shared" si="8"/>
        <v>0.73</v>
      </c>
      <c r="K34" s="84">
        <f t="shared" si="4"/>
        <v>77.1</v>
      </c>
    </row>
    <row r="35" spans="1:11">
      <c r="A35" s="50" t="s">
        <v>76</v>
      </c>
      <c r="B35" s="51" t="s">
        <v>77</v>
      </c>
      <c r="C35" s="104">
        <v>90</v>
      </c>
      <c r="D35" s="105">
        <f t="shared" si="9"/>
        <v>0.9</v>
      </c>
      <c r="E35" s="104">
        <v>88</v>
      </c>
      <c r="F35" s="105">
        <f t="shared" si="10"/>
        <v>0.88</v>
      </c>
      <c r="G35" s="104">
        <v>90</v>
      </c>
      <c r="H35" s="83">
        <f t="shared" si="7"/>
        <v>0.9</v>
      </c>
      <c r="I35" s="106">
        <v>89.7</v>
      </c>
      <c r="J35" s="83">
        <f t="shared" si="8"/>
        <v>0.897</v>
      </c>
      <c r="K35" s="84">
        <f t="shared" si="4"/>
        <v>89.51</v>
      </c>
    </row>
    <row r="36" spans="1:11">
      <c r="A36" s="50" t="s">
        <v>78</v>
      </c>
      <c r="B36" s="51" t="s">
        <v>79</v>
      </c>
      <c r="C36" s="104">
        <v>66</v>
      </c>
      <c r="D36" s="105">
        <f t="shared" si="9"/>
        <v>0.66</v>
      </c>
      <c r="E36" s="104">
        <v>62</v>
      </c>
      <c r="F36" s="105">
        <f t="shared" si="10"/>
        <v>0.62</v>
      </c>
      <c r="G36" s="104">
        <v>62</v>
      </c>
      <c r="H36" s="83">
        <f t="shared" si="7"/>
        <v>0.62</v>
      </c>
      <c r="I36" s="106">
        <v>75</v>
      </c>
      <c r="J36" s="83">
        <f t="shared" ref="J36:J51" si="11">I36*0.01</f>
        <v>0.75</v>
      </c>
      <c r="K36" s="84">
        <f t="shared" si="4"/>
        <v>67.1</v>
      </c>
    </row>
    <row r="37" spans="1:11">
      <c r="A37" s="50" t="s">
        <v>80</v>
      </c>
      <c r="B37" s="51" t="s">
        <v>81</v>
      </c>
      <c r="C37" s="104">
        <v>78</v>
      </c>
      <c r="D37" s="105">
        <f t="shared" si="9"/>
        <v>0.78</v>
      </c>
      <c r="E37" s="104">
        <v>76</v>
      </c>
      <c r="F37" s="105">
        <f t="shared" si="10"/>
        <v>0.76</v>
      </c>
      <c r="G37" s="104">
        <v>76</v>
      </c>
      <c r="H37" s="83">
        <f t="shared" ref="H37:H51" si="12">G37*0.01</f>
        <v>0.76</v>
      </c>
      <c r="I37" s="106">
        <v>73</v>
      </c>
      <c r="J37" s="83">
        <f t="shared" si="11"/>
        <v>0.73</v>
      </c>
      <c r="K37" s="84">
        <f t="shared" si="4"/>
        <v>75.7</v>
      </c>
    </row>
    <row r="38" spans="1:11">
      <c r="A38" s="50" t="s">
        <v>82</v>
      </c>
      <c r="B38" s="51" t="s">
        <v>83</v>
      </c>
      <c r="C38" s="104">
        <v>88</v>
      </c>
      <c r="D38" s="105">
        <f t="shared" si="9"/>
        <v>0.88</v>
      </c>
      <c r="E38" s="104">
        <v>86</v>
      </c>
      <c r="F38" s="105">
        <f t="shared" si="10"/>
        <v>0.86</v>
      </c>
      <c r="G38" s="104">
        <v>84</v>
      </c>
      <c r="H38" s="83">
        <f t="shared" si="12"/>
        <v>0.84</v>
      </c>
      <c r="I38" s="106">
        <v>87</v>
      </c>
      <c r="J38" s="83">
        <f t="shared" si="11"/>
        <v>0.87</v>
      </c>
      <c r="K38" s="84">
        <f>C38*0.3+E38*0.2+G38*0.2+I38*0.3</f>
        <v>86.5</v>
      </c>
    </row>
    <row r="39" spans="1:11">
      <c r="A39" s="50" t="s">
        <v>84</v>
      </c>
      <c r="B39" s="51" t="s">
        <v>85</v>
      </c>
      <c r="C39" s="104">
        <v>78</v>
      </c>
      <c r="D39" s="105">
        <f t="shared" si="9"/>
        <v>0.78</v>
      </c>
      <c r="E39" s="104">
        <v>76</v>
      </c>
      <c r="F39" s="105">
        <f t="shared" si="10"/>
        <v>0.76</v>
      </c>
      <c r="G39" s="104">
        <v>82</v>
      </c>
      <c r="H39" s="83">
        <f t="shared" si="12"/>
        <v>0.82</v>
      </c>
      <c r="I39" s="106">
        <v>88.3</v>
      </c>
      <c r="J39" s="83">
        <f t="shared" si="11"/>
        <v>0.883</v>
      </c>
      <c r="K39" s="84">
        <f>C39*0.3+E39*0.2+G39*0.2+I39*0.3</f>
        <v>81.49</v>
      </c>
    </row>
    <row r="40" spans="1:11">
      <c r="A40" s="50" t="s">
        <v>86</v>
      </c>
      <c r="B40" s="51" t="s">
        <v>87</v>
      </c>
      <c r="C40" s="104">
        <v>94</v>
      </c>
      <c r="D40" s="105">
        <f t="shared" si="9"/>
        <v>0.94</v>
      </c>
      <c r="E40" s="104">
        <v>92</v>
      </c>
      <c r="F40" s="105">
        <f t="shared" si="10"/>
        <v>0.92</v>
      </c>
      <c r="G40" s="104">
        <v>96</v>
      </c>
      <c r="H40" s="83">
        <f t="shared" si="12"/>
        <v>0.96</v>
      </c>
      <c r="I40" s="106">
        <v>92</v>
      </c>
      <c r="J40" s="83">
        <f t="shared" si="11"/>
        <v>0.92</v>
      </c>
      <c r="K40" s="84">
        <f>C40*0.3+E40*0.2+G40*0.2+I40*0.3</f>
        <v>93.4</v>
      </c>
    </row>
    <row r="41" spans="1:11">
      <c r="A41" s="50" t="s">
        <v>88</v>
      </c>
      <c r="B41" s="51" t="s">
        <v>89</v>
      </c>
      <c r="C41" s="104">
        <v>78</v>
      </c>
      <c r="D41" s="105">
        <f t="shared" si="9"/>
        <v>0.78</v>
      </c>
      <c r="E41" s="104">
        <v>76</v>
      </c>
      <c r="F41" s="105">
        <f t="shared" si="10"/>
        <v>0.76</v>
      </c>
      <c r="G41" s="104">
        <v>74</v>
      </c>
      <c r="H41" s="83">
        <f t="shared" si="12"/>
        <v>0.74</v>
      </c>
      <c r="I41" s="106">
        <v>79.3</v>
      </c>
      <c r="J41" s="83">
        <f t="shared" si="11"/>
        <v>0.793</v>
      </c>
      <c r="K41" s="84">
        <f>C41*0.3+E41*0.2+G41*0.2+I41*0.3</f>
        <v>77.19</v>
      </c>
    </row>
    <row r="42" spans="1:11">
      <c r="A42" s="50" t="s">
        <v>90</v>
      </c>
      <c r="B42" s="51" t="s">
        <v>91</v>
      </c>
      <c r="C42" s="104">
        <v>92</v>
      </c>
      <c r="D42" s="105">
        <f t="shared" si="9"/>
        <v>0.92</v>
      </c>
      <c r="E42" s="104">
        <v>90</v>
      </c>
      <c r="F42" s="105">
        <f t="shared" si="10"/>
        <v>0.9</v>
      </c>
      <c r="G42" s="104">
        <v>88</v>
      </c>
      <c r="H42" s="83">
        <f t="shared" si="12"/>
        <v>0.88</v>
      </c>
      <c r="I42" s="106">
        <v>92</v>
      </c>
      <c r="J42" s="83">
        <f t="shared" si="11"/>
        <v>0.92</v>
      </c>
      <c r="K42" s="84">
        <f>C42*0.3+E42*0.2+G42*0.2+I42*0.3</f>
        <v>90.8</v>
      </c>
    </row>
    <row r="43" spans="1:11">
      <c r="A43" s="50" t="s">
        <v>92</v>
      </c>
      <c r="B43" s="51" t="s">
        <v>93</v>
      </c>
      <c r="C43" s="104">
        <v>80</v>
      </c>
      <c r="D43" s="105">
        <f t="shared" si="9"/>
        <v>0.8</v>
      </c>
      <c r="E43" s="104">
        <v>70</v>
      </c>
      <c r="F43" s="105">
        <f t="shared" si="10"/>
        <v>0.7</v>
      </c>
      <c r="G43" s="104">
        <v>80</v>
      </c>
      <c r="H43" s="83">
        <f t="shared" si="12"/>
        <v>0.8</v>
      </c>
      <c r="I43" s="106">
        <v>50</v>
      </c>
      <c r="J43" s="83">
        <f t="shared" si="11"/>
        <v>0.5</v>
      </c>
      <c r="K43" s="84">
        <f>C43*0.3+E43*0.2+G43*0.2+I43*0.3</f>
        <v>69</v>
      </c>
    </row>
    <row r="44" spans="1:11">
      <c r="A44" s="50" t="s">
        <v>94</v>
      </c>
      <c r="B44" s="51" t="s">
        <v>95</v>
      </c>
      <c r="C44" s="104">
        <v>78</v>
      </c>
      <c r="D44" s="105">
        <f t="shared" si="9"/>
        <v>0.78</v>
      </c>
      <c r="E44" s="104">
        <v>76</v>
      </c>
      <c r="F44" s="105">
        <f t="shared" si="10"/>
        <v>0.76</v>
      </c>
      <c r="G44" s="104">
        <v>80</v>
      </c>
      <c r="H44" s="83">
        <f t="shared" si="12"/>
        <v>0.8</v>
      </c>
      <c r="I44" s="106">
        <v>90</v>
      </c>
      <c r="J44" s="83">
        <f t="shared" si="11"/>
        <v>0.9</v>
      </c>
      <c r="K44" s="84">
        <f>C44*0.3+E44*0.2+G44*0.2+I44*0.3</f>
        <v>81.6</v>
      </c>
    </row>
    <row r="45" spans="1:11">
      <c r="A45" s="50" t="s">
        <v>96</v>
      </c>
      <c r="B45" s="51" t="s">
        <v>97</v>
      </c>
      <c r="C45" s="104">
        <v>50</v>
      </c>
      <c r="D45" s="105">
        <f>C45*0.01</f>
        <v>0.5</v>
      </c>
      <c r="E45" s="104">
        <v>50</v>
      </c>
      <c r="F45" s="105">
        <f>E45*0.01</f>
        <v>0.5</v>
      </c>
      <c r="G45" s="104">
        <v>50</v>
      </c>
      <c r="H45" s="83">
        <f>G45*0.01</f>
        <v>0.5</v>
      </c>
      <c r="I45" s="106">
        <v>60</v>
      </c>
      <c r="J45" s="83">
        <f>I45*0.01</f>
        <v>0.6</v>
      </c>
      <c r="K45" s="84">
        <f t="shared" ref="K45:K54" si="13">C45*0.3+E45*0.2+G45*0.2+I45*0.3</f>
        <v>53</v>
      </c>
    </row>
    <row r="46" spans="1:11">
      <c r="A46" s="50" t="s">
        <v>98</v>
      </c>
      <c r="B46" s="51" t="s">
        <v>99</v>
      </c>
      <c r="C46" s="104">
        <v>86</v>
      </c>
      <c r="D46" s="105">
        <f t="shared" ref="D46:D53" si="14">C46*0.01</f>
        <v>0.86</v>
      </c>
      <c r="E46" s="104">
        <v>82</v>
      </c>
      <c r="F46" s="105">
        <f>E46*0.01</f>
        <v>0.82</v>
      </c>
      <c r="G46" s="104">
        <v>80</v>
      </c>
      <c r="H46" s="83">
        <f>G46*0.01</f>
        <v>0.8</v>
      </c>
      <c r="I46" s="106">
        <v>81</v>
      </c>
      <c r="J46" s="83">
        <f>I46*0.01</f>
        <v>0.81</v>
      </c>
      <c r="K46" s="84">
        <f t="shared" si="13"/>
        <v>82.5</v>
      </c>
    </row>
    <row r="47" spans="1:11">
      <c r="A47" s="50" t="s">
        <v>100</v>
      </c>
      <c r="B47" s="51" t="s">
        <v>101</v>
      </c>
      <c r="C47" s="104">
        <v>64</v>
      </c>
      <c r="D47" s="105">
        <f t="shared" si="14"/>
        <v>0.64</v>
      </c>
      <c r="E47" s="104">
        <v>62</v>
      </c>
      <c r="F47" s="105">
        <f>E47*0.01</f>
        <v>0.62</v>
      </c>
      <c r="G47" s="104">
        <v>68</v>
      </c>
      <c r="H47" s="83">
        <f>G47*0.01</f>
        <v>0.68</v>
      </c>
      <c r="I47" s="106">
        <v>67.3</v>
      </c>
      <c r="J47" s="83">
        <f>I47*0.01</f>
        <v>0.673</v>
      </c>
      <c r="K47" s="84">
        <f t="shared" si="13"/>
        <v>65.39</v>
      </c>
    </row>
    <row r="48" spans="1:11">
      <c r="A48" s="50" t="s">
        <v>102</v>
      </c>
      <c r="B48" s="51" t="s">
        <v>103</v>
      </c>
      <c r="C48" s="104">
        <v>80</v>
      </c>
      <c r="D48" s="105">
        <f t="shared" si="14"/>
        <v>0.8</v>
      </c>
      <c r="E48" s="104">
        <v>78</v>
      </c>
      <c r="F48" s="105">
        <f>E48*0.01</f>
        <v>0.78</v>
      </c>
      <c r="G48" s="104">
        <v>78</v>
      </c>
      <c r="H48" s="83">
        <f>G48*0.01</f>
        <v>0.78</v>
      </c>
      <c r="I48" s="106">
        <v>70</v>
      </c>
      <c r="J48" s="83">
        <f>I48*0.01</f>
        <v>0.7</v>
      </c>
      <c r="K48" s="84">
        <f t="shared" si="13"/>
        <v>76.2</v>
      </c>
    </row>
    <row r="49" spans="1:11">
      <c r="A49" s="50" t="s">
        <v>104</v>
      </c>
      <c r="B49" s="51" t="s">
        <v>105</v>
      </c>
      <c r="C49" s="104">
        <v>80</v>
      </c>
      <c r="D49" s="105">
        <f t="shared" si="14"/>
        <v>0.8</v>
      </c>
      <c r="E49" s="104">
        <v>70</v>
      </c>
      <c r="F49" s="105">
        <f>E49*0.01</f>
        <v>0.7</v>
      </c>
      <c r="G49" s="104">
        <v>76</v>
      </c>
      <c r="H49" s="83">
        <f>G49*0.01</f>
        <v>0.76</v>
      </c>
      <c r="I49" s="106">
        <v>76.7</v>
      </c>
      <c r="J49" s="83">
        <f>I49*0.01</f>
        <v>0.767</v>
      </c>
      <c r="K49" s="84">
        <f t="shared" si="13"/>
        <v>76.21</v>
      </c>
    </row>
    <row r="50" spans="1:11">
      <c r="A50" s="50" t="s">
        <v>106</v>
      </c>
      <c r="B50" s="51" t="s">
        <v>107</v>
      </c>
      <c r="C50" s="104">
        <v>60</v>
      </c>
      <c r="D50" s="105">
        <f t="shared" si="14"/>
        <v>0.6</v>
      </c>
      <c r="E50" s="104">
        <v>60</v>
      </c>
      <c r="F50" s="105">
        <f>E50*0.01</f>
        <v>0.6</v>
      </c>
      <c r="G50" s="104">
        <v>50</v>
      </c>
      <c r="H50" s="83">
        <f>G50*0.01</f>
        <v>0.5</v>
      </c>
      <c r="I50" s="106">
        <v>60</v>
      </c>
      <c r="J50" s="83">
        <f>I50*0.01</f>
        <v>0.6</v>
      </c>
      <c r="K50" s="84">
        <f t="shared" si="13"/>
        <v>58</v>
      </c>
    </row>
    <row r="51" spans="1:11">
      <c r="A51" s="50" t="s">
        <v>108</v>
      </c>
      <c r="B51" s="51" t="s">
        <v>109</v>
      </c>
      <c r="C51" s="104">
        <v>78</v>
      </c>
      <c r="D51" s="105">
        <f t="shared" si="14"/>
        <v>0.78</v>
      </c>
      <c r="E51" s="104">
        <v>76</v>
      </c>
      <c r="F51" s="105">
        <f>E51*0.01</f>
        <v>0.76</v>
      </c>
      <c r="G51" s="104">
        <v>78</v>
      </c>
      <c r="H51" s="83">
        <f>G51*0.01</f>
        <v>0.78</v>
      </c>
      <c r="I51" s="106">
        <v>77</v>
      </c>
      <c r="J51" s="83">
        <f>I51*0.01</f>
        <v>0.77</v>
      </c>
      <c r="K51" s="84">
        <f t="shared" si="13"/>
        <v>77.3</v>
      </c>
    </row>
    <row r="52" spans="1:11">
      <c r="A52" s="50" t="s">
        <v>110</v>
      </c>
      <c r="B52" s="51" t="s">
        <v>111</v>
      </c>
      <c r="C52" s="104">
        <v>76</v>
      </c>
      <c r="D52" s="105">
        <f t="shared" si="14"/>
        <v>0.76</v>
      </c>
      <c r="E52" s="104">
        <v>74</v>
      </c>
      <c r="F52" s="105">
        <f>E52*0.01</f>
        <v>0.74</v>
      </c>
      <c r="G52" s="104">
        <v>60</v>
      </c>
      <c r="H52" s="83">
        <f>G52*0.01</f>
        <v>0.6</v>
      </c>
      <c r="I52" s="106">
        <v>60</v>
      </c>
      <c r="J52" s="83">
        <f>I52*0.01</f>
        <v>0.6</v>
      </c>
      <c r="K52" s="84">
        <f t="shared" si="13"/>
        <v>67.6</v>
      </c>
    </row>
    <row r="53" spans="1:11">
      <c r="A53" s="50" t="s">
        <v>112</v>
      </c>
      <c r="B53" s="51" t="s">
        <v>113</v>
      </c>
      <c r="C53" s="104">
        <v>92</v>
      </c>
      <c r="D53" s="105">
        <f t="shared" si="14"/>
        <v>0.92</v>
      </c>
      <c r="E53" s="104">
        <v>92</v>
      </c>
      <c r="F53" s="105">
        <f>E53*0.01</f>
        <v>0.92</v>
      </c>
      <c r="G53" s="104">
        <v>94</v>
      </c>
      <c r="H53" s="83">
        <f>G53*0.01</f>
        <v>0.94</v>
      </c>
      <c r="I53" s="106">
        <v>90</v>
      </c>
      <c r="J53" s="83">
        <f>I53*0.01</f>
        <v>0.9</v>
      </c>
      <c r="K53" s="84">
        <f t="shared" si="13"/>
        <v>91.8</v>
      </c>
    </row>
    <row r="54" spans="1:11">
      <c r="A54" s="86" t="s">
        <v>114</v>
      </c>
      <c r="B54" s="107"/>
      <c r="C54" s="108">
        <f>AVERAGE(C6:C53)</f>
        <v>79.5208333333333</v>
      </c>
      <c r="D54" s="109">
        <f>AVERAGE(D6:D53)</f>
        <v>0.795208333333333</v>
      </c>
      <c r="E54" s="108">
        <f>AVERAGE(E6:E53)</f>
        <v>76.3125</v>
      </c>
      <c r="F54" s="105">
        <f>AVERAGE(F6:F53)</f>
        <v>0.763125</v>
      </c>
      <c r="G54" s="108">
        <f>AVERAGE(G6:G53)</f>
        <v>77.6041666666667</v>
      </c>
      <c r="H54" s="83">
        <f>AVERAGE(H6:H53)</f>
        <v>0.776041666666667</v>
      </c>
      <c r="I54" s="110">
        <f>AVERAGE(I6:I53)</f>
        <v>78.125</v>
      </c>
      <c r="J54" s="83">
        <f>AVERAGE(J6:J53)</f>
        <v>0.78125</v>
      </c>
      <c r="K54" s="84">
        <f t="shared" si="13"/>
        <v>78.0770833333333</v>
      </c>
    </row>
    <row r="55" spans="1:11">
      <c r="A55" s="86" t="s">
        <v>115</v>
      </c>
      <c r="B55" s="107"/>
      <c r="C55" s="111"/>
      <c r="D55" s="105">
        <f>D54</f>
        <v>0.795208333333333</v>
      </c>
      <c r="E55" s="111"/>
      <c r="F55" s="105">
        <f>F54</f>
        <v>0.763125</v>
      </c>
      <c r="G55" s="111"/>
      <c r="H55" s="112">
        <f>H54</f>
        <v>0.776041666666667</v>
      </c>
      <c r="I55" s="111"/>
      <c r="J55" s="111">
        <f>J54</f>
        <v>0.78125</v>
      </c>
      <c r="K55" s="113">
        <f>K54/100</f>
        <v>0.780770833333333</v>
      </c>
    </row>
  </sheetData>
  <mergeCells count="17">
    <mergeCell ref="A1:K1"/>
    <mergeCell ref="A2:B2"/>
    <mergeCell ref="C2:J2"/>
    <mergeCell ref="A3:B3"/>
    <mergeCell ref="C3:D3"/>
    <mergeCell ref="E3:F3"/>
    <mergeCell ref="G3:H3"/>
    <mergeCell ref="I3:J3"/>
    <mergeCell ref="C4:D4"/>
    <mergeCell ref="E4:F4"/>
    <mergeCell ref="G4:H4"/>
    <mergeCell ref="I4:J4"/>
    <mergeCell ref="A54:B54"/>
    <mergeCell ref="A55:B55"/>
    <mergeCell ref="A4:A5"/>
    <mergeCell ref="B4:B5"/>
    <mergeCell ref="K3:K4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56"/>
  <sheetViews>
    <sheetView topLeftCell="A37" workbookViewId="0">
      <selection activeCell="E60" sqref="E60"/>
    </sheetView>
  </sheetViews>
  <sheetFormatPr defaultColWidth="8.8" defaultRowHeight="15.6"/>
  <cols>
    <col min="1" max="1" width="12.125" customWidth="1"/>
    <col min="2" max="2" width="13.875" customWidth="1"/>
    <col min="3" max="4" width="11.125" customWidth="1"/>
    <col min="5" max="5" width="11.5" style="2" customWidth="1"/>
    <col min="6" max="6" width="12.5" style="2" customWidth="1"/>
    <col min="7" max="7" width="12.7" style="2" customWidth="1"/>
    <col min="8" max="8" width="11.5" style="2" customWidth="1"/>
    <col min="9" max="9" width="12.8" style="2" customWidth="1"/>
    <col min="10" max="11" width="11.7" style="67" customWidth="1"/>
    <col min="12" max="12" width="12.1" style="67" customWidth="1"/>
    <col min="13" max="13" width="11.8" style="67" customWidth="1"/>
    <col min="14" max="14" width="14.9" style="2" customWidth="1"/>
    <col min="15" max="15" width="15.5" style="32" customWidth="1"/>
  </cols>
  <sheetData>
    <row r="1" spans="1:14">
      <c r="A1" s="68" t="s">
        <v>116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>
      <c r="A2" s="36" t="s">
        <v>1</v>
      </c>
      <c r="B2" s="69"/>
      <c r="C2" s="38" t="s">
        <v>117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39" t="s">
        <v>3</v>
      </c>
    </row>
    <row r="3" spans="1:14">
      <c r="A3" s="36" t="s">
        <v>4</v>
      </c>
      <c r="B3" s="69"/>
      <c r="C3" s="71">
        <v>1</v>
      </c>
      <c r="D3" s="71"/>
      <c r="E3" s="71"/>
      <c r="F3" s="71">
        <v>2</v>
      </c>
      <c r="G3" s="71"/>
      <c r="H3" s="71"/>
      <c r="I3" s="38">
        <v>3</v>
      </c>
      <c r="J3" s="38"/>
      <c r="K3" s="38"/>
      <c r="L3" s="38">
        <v>4</v>
      </c>
      <c r="M3" s="38"/>
      <c r="N3" s="39" t="s">
        <v>6</v>
      </c>
    </row>
    <row r="4" spans="1:14">
      <c r="A4" s="42" t="s">
        <v>7</v>
      </c>
      <c r="B4" s="72"/>
      <c r="C4" s="43" t="s">
        <v>118</v>
      </c>
      <c r="D4" s="43"/>
      <c r="E4" s="43"/>
      <c r="F4" s="38" t="s">
        <v>119</v>
      </c>
      <c r="G4" s="38"/>
      <c r="H4" s="38"/>
      <c r="I4" s="38" t="s">
        <v>120</v>
      </c>
      <c r="J4" s="38"/>
      <c r="K4" s="38"/>
      <c r="L4" s="73" t="s">
        <v>121</v>
      </c>
      <c r="M4" s="74"/>
      <c r="N4" s="75"/>
    </row>
    <row r="5" ht="46.8" spans="1:14">
      <c r="A5" s="76"/>
      <c r="B5" s="69"/>
      <c r="C5" s="77" t="s">
        <v>122</v>
      </c>
      <c r="D5" s="77" t="s">
        <v>123</v>
      </c>
      <c r="E5" s="78" t="s">
        <v>13</v>
      </c>
      <c r="F5" s="77" t="s">
        <v>124</v>
      </c>
      <c r="G5" s="77" t="s">
        <v>125</v>
      </c>
      <c r="H5" s="78" t="s">
        <v>13</v>
      </c>
      <c r="I5" s="77" t="s">
        <v>126</v>
      </c>
      <c r="J5" s="77" t="s">
        <v>127</v>
      </c>
      <c r="K5" s="78" t="s">
        <v>13</v>
      </c>
      <c r="L5" s="77" t="s">
        <v>128</v>
      </c>
      <c r="M5" s="78" t="s">
        <v>13</v>
      </c>
      <c r="N5" s="39" t="s">
        <v>17</v>
      </c>
    </row>
    <row r="6" spans="1:14">
      <c r="A6" s="50" t="s">
        <v>18</v>
      </c>
      <c r="B6" s="51" t="s">
        <v>19</v>
      </c>
      <c r="C6" s="79">
        <v>80</v>
      </c>
      <c r="D6" s="80">
        <v>80</v>
      </c>
      <c r="E6" s="81">
        <f>(C6+D6)/2*0.01</f>
        <v>0.8</v>
      </c>
      <c r="F6" s="80">
        <v>80</v>
      </c>
      <c r="G6" s="80">
        <v>100</v>
      </c>
      <c r="H6" s="81">
        <f>(F6+G6)/2*0.01</f>
        <v>0.9</v>
      </c>
      <c r="I6" s="82">
        <v>70</v>
      </c>
      <c r="J6" s="80">
        <v>70</v>
      </c>
      <c r="K6" s="81">
        <f>(I6+J6)/2*0.01</f>
        <v>0.7</v>
      </c>
      <c r="L6" s="47">
        <v>70</v>
      </c>
      <c r="M6" s="83">
        <f>L6*0.01</f>
        <v>0.7</v>
      </c>
      <c r="N6" s="84">
        <f>(C6+D6+F6+G6+I6+J6+L6)/7</f>
        <v>78.5714285714286</v>
      </c>
    </row>
    <row r="7" spans="1:14">
      <c r="A7" s="50" t="s">
        <v>20</v>
      </c>
      <c r="B7" s="51" t="s">
        <v>21</v>
      </c>
      <c r="C7" s="79">
        <v>90</v>
      </c>
      <c r="D7" s="80">
        <v>90</v>
      </c>
      <c r="E7" s="81">
        <f>(C7+D7)/2*0.01</f>
        <v>0.9</v>
      </c>
      <c r="F7" s="80">
        <v>80</v>
      </c>
      <c r="G7" s="80">
        <v>100</v>
      </c>
      <c r="H7" s="81">
        <f>(F7+G7)/2*0.01</f>
        <v>0.9</v>
      </c>
      <c r="I7" s="82">
        <v>60</v>
      </c>
      <c r="J7" s="80">
        <v>90</v>
      </c>
      <c r="K7" s="81">
        <f t="shared" ref="K7:K20" si="0">(I7+J7)/2*0.01</f>
        <v>0.75</v>
      </c>
      <c r="L7" s="47">
        <v>70</v>
      </c>
      <c r="M7" s="83">
        <f>L7*0.01</f>
        <v>0.7</v>
      </c>
      <c r="N7" s="84">
        <f t="shared" ref="N7:N21" si="1">(C7+D7+F7+G7+I7+J7+L7)/7</f>
        <v>82.8571428571429</v>
      </c>
    </row>
    <row r="8" spans="1:14">
      <c r="A8" s="50" t="s">
        <v>22</v>
      </c>
      <c r="B8" s="51" t="s">
        <v>23</v>
      </c>
      <c r="C8" s="79">
        <v>100</v>
      </c>
      <c r="D8" s="80">
        <v>90</v>
      </c>
      <c r="E8" s="81">
        <f>(C8+D8)/2*0.01</f>
        <v>0.95</v>
      </c>
      <c r="F8" s="80">
        <v>100</v>
      </c>
      <c r="G8" s="80">
        <v>100</v>
      </c>
      <c r="H8" s="81">
        <f>(F8+G8)/2*0.01</f>
        <v>1</v>
      </c>
      <c r="I8" s="82">
        <v>70</v>
      </c>
      <c r="J8" s="80">
        <v>80</v>
      </c>
      <c r="K8" s="81">
        <f t="shared" si="0"/>
        <v>0.75</v>
      </c>
      <c r="L8" s="47">
        <v>70</v>
      </c>
      <c r="M8" s="83">
        <f>L8*0.01</f>
        <v>0.7</v>
      </c>
      <c r="N8" s="84">
        <f t="shared" si="1"/>
        <v>87.1428571428571</v>
      </c>
    </row>
    <row r="9" spans="1:14">
      <c r="A9" s="50" t="s">
        <v>24</v>
      </c>
      <c r="B9" s="51" t="s">
        <v>25</v>
      </c>
      <c r="C9" s="79">
        <v>100</v>
      </c>
      <c r="D9" s="80">
        <v>90</v>
      </c>
      <c r="E9" s="81">
        <f>(C9+D9)/2*0.01</f>
        <v>0.95</v>
      </c>
      <c r="F9" s="80">
        <v>70</v>
      </c>
      <c r="G9" s="80">
        <v>100</v>
      </c>
      <c r="H9" s="81">
        <f>(F9+G9)/2*0.01</f>
        <v>0.85</v>
      </c>
      <c r="I9" s="82">
        <v>80</v>
      </c>
      <c r="J9" s="80">
        <v>90</v>
      </c>
      <c r="K9" s="81">
        <f t="shared" si="0"/>
        <v>0.85</v>
      </c>
      <c r="L9" s="47">
        <v>70</v>
      </c>
      <c r="M9" s="83">
        <f>L9*0.01</f>
        <v>0.7</v>
      </c>
      <c r="N9" s="84">
        <f t="shared" si="1"/>
        <v>85.7142857142857</v>
      </c>
    </row>
    <row r="10" spans="1:14">
      <c r="A10" s="50" t="s">
        <v>26</v>
      </c>
      <c r="B10" s="51" t="s">
        <v>27</v>
      </c>
      <c r="C10" s="79">
        <v>100</v>
      </c>
      <c r="D10" s="80">
        <v>60</v>
      </c>
      <c r="E10" s="81">
        <f>(C10+D10)/2*0.01</f>
        <v>0.8</v>
      </c>
      <c r="F10" s="80">
        <v>70</v>
      </c>
      <c r="G10" s="80">
        <v>80</v>
      </c>
      <c r="H10" s="81">
        <f>(F10+G10)/2*0.01</f>
        <v>0.75</v>
      </c>
      <c r="I10" s="82">
        <v>95</v>
      </c>
      <c r="J10" s="80">
        <v>90</v>
      </c>
      <c r="K10" s="81">
        <f t="shared" si="0"/>
        <v>0.925</v>
      </c>
      <c r="L10" s="47">
        <v>60</v>
      </c>
      <c r="M10" s="83">
        <f>L10*0.01</f>
        <v>0.6</v>
      </c>
      <c r="N10" s="84">
        <f t="shared" si="1"/>
        <v>79.2857142857143</v>
      </c>
    </row>
    <row r="11" spans="1:14">
      <c r="A11" s="50" t="s">
        <v>28</v>
      </c>
      <c r="B11" s="51" t="s">
        <v>29</v>
      </c>
      <c r="C11" s="79">
        <v>80</v>
      </c>
      <c r="D11" s="80">
        <v>100</v>
      </c>
      <c r="E11" s="81">
        <f>(C11+D11)/2*0.01</f>
        <v>0.9</v>
      </c>
      <c r="F11" s="80">
        <v>100</v>
      </c>
      <c r="G11" s="80">
        <v>100</v>
      </c>
      <c r="H11" s="81">
        <f>(F11+G11)/2*0.01</f>
        <v>1</v>
      </c>
      <c r="I11" s="82">
        <v>80</v>
      </c>
      <c r="J11" s="80">
        <v>80</v>
      </c>
      <c r="K11" s="81">
        <f t="shared" si="0"/>
        <v>0.8</v>
      </c>
      <c r="L11" s="47">
        <v>80</v>
      </c>
      <c r="M11" s="83">
        <f>L11*0.01</f>
        <v>0.8</v>
      </c>
      <c r="N11" s="84">
        <f t="shared" si="1"/>
        <v>88.5714285714286</v>
      </c>
    </row>
    <row r="12" spans="1:14">
      <c r="A12" s="50" t="s">
        <v>30</v>
      </c>
      <c r="B12" s="51" t="s">
        <v>31</v>
      </c>
      <c r="C12" s="79">
        <v>100</v>
      </c>
      <c r="D12" s="80">
        <v>90</v>
      </c>
      <c r="E12" s="81">
        <f>(C12+D12)/2*0.01</f>
        <v>0.95</v>
      </c>
      <c r="F12" s="80">
        <v>80</v>
      </c>
      <c r="G12" s="80">
        <v>100</v>
      </c>
      <c r="H12" s="81">
        <f>(F12+G12)/2*0.01</f>
        <v>0.9</v>
      </c>
      <c r="I12" s="82">
        <v>80</v>
      </c>
      <c r="J12" s="80">
        <v>70</v>
      </c>
      <c r="K12" s="81">
        <f t="shared" si="0"/>
        <v>0.75</v>
      </c>
      <c r="L12" s="47">
        <v>70</v>
      </c>
      <c r="M12" s="83">
        <f>L12*0.01</f>
        <v>0.7</v>
      </c>
      <c r="N12" s="84">
        <f t="shared" si="1"/>
        <v>84.2857142857143</v>
      </c>
    </row>
    <row r="13" spans="1:14">
      <c r="A13" s="50" t="s">
        <v>32</v>
      </c>
      <c r="B13" s="51" t="s">
        <v>33</v>
      </c>
      <c r="C13" s="79">
        <v>100</v>
      </c>
      <c r="D13" s="80">
        <v>80</v>
      </c>
      <c r="E13" s="81">
        <f>(C13+D13)/2*0.01</f>
        <v>0.9</v>
      </c>
      <c r="F13" s="80">
        <v>95</v>
      </c>
      <c r="G13" s="80">
        <v>90</v>
      </c>
      <c r="H13" s="81">
        <f>(F13+G13)/2*0.01</f>
        <v>0.925</v>
      </c>
      <c r="I13" s="82">
        <v>80</v>
      </c>
      <c r="J13" s="80">
        <v>60</v>
      </c>
      <c r="K13" s="81">
        <f t="shared" si="0"/>
        <v>0.7</v>
      </c>
      <c r="L13" s="47">
        <v>70</v>
      </c>
      <c r="M13" s="83">
        <f>L13*0.01</f>
        <v>0.7</v>
      </c>
      <c r="N13" s="84">
        <f t="shared" si="1"/>
        <v>82.1428571428571</v>
      </c>
    </row>
    <row r="14" spans="1:14">
      <c r="A14" s="50" t="s">
        <v>34</v>
      </c>
      <c r="B14" s="51" t="s">
        <v>35</v>
      </c>
      <c r="C14" s="79">
        <v>100</v>
      </c>
      <c r="D14" s="80">
        <v>80</v>
      </c>
      <c r="E14" s="81">
        <f t="shared" ref="E14:E22" si="2">(C14+D14)/2*0.01</f>
        <v>0.9</v>
      </c>
      <c r="F14" s="80">
        <v>90</v>
      </c>
      <c r="G14" s="80">
        <v>80</v>
      </c>
      <c r="H14" s="81">
        <f t="shared" ref="H14:H21" si="3">(F14+G14)/2*0.01</f>
        <v>0.85</v>
      </c>
      <c r="I14" s="82">
        <v>70</v>
      </c>
      <c r="J14" s="80">
        <v>80</v>
      </c>
      <c r="K14" s="81">
        <f>(I14+J14)/2*0.01</f>
        <v>0.75</v>
      </c>
      <c r="L14" s="47">
        <v>70</v>
      </c>
      <c r="M14" s="83">
        <f t="shared" ref="M14:M23" si="4">L14*0.01</f>
        <v>0.7</v>
      </c>
      <c r="N14" s="84">
        <f>(C14+D14+F14+G14+I14+J14+L14)/7</f>
        <v>81.4285714285714</v>
      </c>
    </row>
    <row r="15" spans="1:14">
      <c r="A15" s="50" t="s">
        <v>36</v>
      </c>
      <c r="B15" s="51" t="s">
        <v>37</v>
      </c>
      <c r="C15" s="79">
        <v>100</v>
      </c>
      <c r="D15" s="80">
        <v>100</v>
      </c>
      <c r="E15" s="81">
        <f t="shared" si="2"/>
        <v>1</v>
      </c>
      <c r="F15" s="80">
        <v>80</v>
      </c>
      <c r="G15" s="80">
        <v>100</v>
      </c>
      <c r="H15" s="81">
        <f t="shared" si="3"/>
        <v>0.9</v>
      </c>
      <c r="I15" s="82">
        <v>80</v>
      </c>
      <c r="J15" s="80">
        <v>80</v>
      </c>
      <c r="K15" s="81">
        <f>(I15+J15)/2*0.01</f>
        <v>0.8</v>
      </c>
      <c r="L15" s="47">
        <v>95</v>
      </c>
      <c r="M15" s="83">
        <f t="shared" si="4"/>
        <v>0.95</v>
      </c>
      <c r="N15" s="84">
        <f>(C15+D15+F15+G15+I15+J15+L15)/7</f>
        <v>90.7142857142857</v>
      </c>
    </row>
    <row r="16" spans="1:14">
      <c r="A16" s="50" t="s">
        <v>38</v>
      </c>
      <c r="B16" s="51" t="s">
        <v>39</v>
      </c>
      <c r="C16" s="79">
        <v>100</v>
      </c>
      <c r="D16" s="80">
        <v>80</v>
      </c>
      <c r="E16" s="81">
        <f t="shared" si="2"/>
        <v>0.9</v>
      </c>
      <c r="F16" s="80">
        <v>90</v>
      </c>
      <c r="G16" s="80">
        <v>95</v>
      </c>
      <c r="H16" s="81">
        <f t="shared" si="3"/>
        <v>0.925</v>
      </c>
      <c r="I16" s="82">
        <v>80</v>
      </c>
      <c r="J16" s="80">
        <v>80</v>
      </c>
      <c r="K16" s="81">
        <f>(I16+J16)/2*0.01</f>
        <v>0.8</v>
      </c>
      <c r="L16" s="47">
        <v>70</v>
      </c>
      <c r="M16" s="83">
        <f t="shared" si="4"/>
        <v>0.7</v>
      </c>
      <c r="N16" s="84">
        <f>(C16+D16+F16+G16+I16+J16+L16)/7</f>
        <v>85</v>
      </c>
    </row>
    <row r="17" spans="1:14">
      <c r="A17" s="50" t="s">
        <v>40</v>
      </c>
      <c r="B17" s="51" t="s">
        <v>41</v>
      </c>
      <c r="C17" s="79">
        <v>100</v>
      </c>
      <c r="D17" s="80">
        <v>90</v>
      </c>
      <c r="E17" s="81">
        <f t="shared" si="2"/>
        <v>0.95</v>
      </c>
      <c r="F17" s="80">
        <v>70</v>
      </c>
      <c r="G17" s="80">
        <v>100</v>
      </c>
      <c r="H17" s="81">
        <f t="shared" si="3"/>
        <v>0.85</v>
      </c>
      <c r="I17" s="82">
        <v>80</v>
      </c>
      <c r="J17" s="80">
        <v>70</v>
      </c>
      <c r="K17" s="81">
        <f>(I17+J17)/2*0.01</f>
        <v>0.75</v>
      </c>
      <c r="L17" s="47">
        <v>70</v>
      </c>
      <c r="M17" s="83">
        <f t="shared" si="4"/>
        <v>0.7</v>
      </c>
      <c r="N17" s="84">
        <f>(C17+D17+F17+G17+I17+J17+L17)/7</f>
        <v>82.8571428571429</v>
      </c>
    </row>
    <row r="18" spans="1:14">
      <c r="A18" s="50" t="s">
        <v>42</v>
      </c>
      <c r="B18" s="51" t="s">
        <v>43</v>
      </c>
      <c r="C18" s="79">
        <v>100</v>
      </c>
      <c r="D18" s="80">
        <v>100</v>
      </c>
      <c r="E18" s="81">
        <f t="shared" si="2"/>
        <v>1</v>
      </c>
      <c r="F18" s="80">
        <v>80</v>
      </c>
      <c r="G18" s="80">
        <v>100</v>
      </c>
      <c r="H18" s="81">
        <f t="shared" si="3"/>
        <v>0.9</v>
      </c>
      <c r="I18" s="82">
        <v>70</v>
      </c>
      <c r="J18" s="80">
        <v>80</v>
      </c>
      <c r="K18" s="81">
        <f>(I18+J18)/2*0.01</f>
        <v>0.75</v>
      </c>
      <c r="L18" s="47">
        <v>95</v>
      </c>
      <c r="M18" s="83">
        <f t="shared" si="4"/>
        <v>0.95</v>
      </c>
      <c r="N18" s="84">
        <f>(C18+D18+F18+G18+I18+J18+L18)/7</f>
        <v>89.2857142857143</v>
      </c>
    </row>
    <row r="19" spans="1:14">
      <c r="A19" s="50" t="s">
        <v>44</v>
      </c>
      <c r="B19" s="51" t="s">
        <v>45</v>
      </c>
      <c r="C19" s="79">
        <v>100</v>
      </c>
      <c r="D19" s="80">
        <v>90</v>
      </c>
      <c r="E19" s="81">
        <f t="shared" si="2"/>
        <v>0.95</v>
      </c>
      <c r="F19" s="80">
        <v>90</v>
      </c>
      <c r="G19" s="80">
        <v>95</v>
      </c>
      <c r="H19" s="81">
        <f t="shared" si="3"/>
        <v>0.925</v>
      </c>
      <c r="I19" s="82">
        <v>90</v>
      </c>
      <c r="J19" s="80">
        <v>80</v>
      </c>
      <c r="K19" s="81">
        <f>(I19+J19)/2*0.01</f>
        <v>0.85</v>
      </c>
      <c r="L19" s="47">
        <v>70</v>
      </c>
      <c r="M19" s="83">
        <f t="shared" si="4"/>
        <v>0.7</v>
      </c>
      <c r="N19" s="84">
        <f>(C19+D19+F19+G19+I19+J19+L19)/7</f>
        <v>87.8571428571429</v>
      </c>
    </row>
    <row r="20" spans="1:14">
      <c r="A20" s="50" t="s">
        <v>46</v>
      </c>
      <c r="B20" s="51" t="s">
        <v>47</v>
      </c>
      <c r="C20" s="79">
        <v>100</v>
      </c>
      <c r="D20" s="80">
        <v>80</v>
      </c>
      <c r="E20" s="81">
        <f t="shared" si="2"/>
        <v>0.9</v>
      </c>
      <c r="F20" s="80">
        <v>70</v>
      </c>
      <c r="G20" s="80">
        <v>100</v>
      </c>
      <c r="H20" s="81">
        <f t="shared" si="3"/>
        <v>0.85</v>
      </c>
      <c r="I20" s="82">
        <v>80</v>
      </c>
      <c r="J20" s="80">
        <v>70</v>
      </c>
      <c r="K20" s="81">
        <f t="shared" ref="K20:K32" si="5">(I20+J20)/2*0.01</f>
        <v>0.75</v>
      </c>
      <c r="L20" s="47">
        <v>70</v>
      </c>
      <c r="M20" s="83">
        <f t="shared" si="4"/>
        <v>0.7</v>
      </c>
      <c r="N20" s="84">
        <f>(C20+D20+F20+G20+I20+J20+L20)/7</f>
        <v>81.4285714285714</v>
      </c>
    </row>
    <row r="21" spans="1:14">
      <c r="A21" s="50" t="s">
        <v>48</v>
      </c>
      <c r="B21" s="51" t="s">
        <v>49</v>
      </c>
      <c r="C21" s="79">
        <v>100</v>
      </c>
      <c r="D21" s="80">
        <v>80</v>
      </c>
      <c r="E21" s="81">
        <f t="shared" si="2"/>
        <v>0.9</v>
      </c>
      <c r="F21" s="80">
        <v>100</v>
      </c>
      <c r="G21" s="80">
        <v>100</v>
      </c>
      <c r="H21" s="81">
        <f t="shared" si="3"/>
        <v>1</v>
      </c>
      <c r="I21" s="82">
        <v>90</v>
      </c>
      <c r="J21" s="80">
        <v>80</v>
      </c>
      <c r="K21" s="81">
        <f t="shared" si="5"/>
        <v>0.85</v>
      </c>
      <c r="L21" s="47">
        <v>70</v>
      </c>
      <c r="M21" s="83">
        <f t="shared" si="4"/>
        <v>0.7</v>
      </c>
      <c r="N21" s="84">
        <f t="shared" ref="N21:N34" si="6">(C21+D21+F21+G21+I21+J21+L21)/7</f>
        <v>88.5714285714286</v>
      </c>
    </row>
    <row r="22" spans="1:14">
      <c r="A22" s="50" t="s">
        <v>50</v>
      </c>
      <c r="B22" s="51" t="s">
        <v>51</v>
      </c>
      <c r="C22" s="79">
        <v>0</v>
      </c>
      <c r="D22" s="80">
        <v>0</v>
      </c>
      <c r="E22" s="81">
        <f t="shared" si="2"/>
        <v>0</v>
      </c>
      <c r="F22" s="80">
        <v>0</v>
      </c>
      <c r="G22" s="80">
        <v>0</v>
      </c>
      <c r="H22" s="81">
        <f t="shared" ref="H22:H34" si="7">(F22+G22)/2*0.01</f>
        <v>0</v>
      </c>
      <c r="I22" s="82">
        <v>0</v>
      </c>
      <c r="J22" s="80">
        <v>0</v>
      </c>
      <c r="K22" s="81">
        <f t="shared" si="5"/>
        <v>0</v>
      </c>
      <c r="L22" s="47">
        <v>0</v>
      </c>
      <c r="M22" s="83">
        <f t="shared" si="4"/>
        <v>0</v>
      </c>
      <c r="N22" s="84">
        <f t="shared" si="6"/>
        <v>0</v>
      </c>
    </row>
    <row r="23" spans="1:14">
      <c r="A23" s="50" t="s">
        <v>52</v>
      </c>
      <c r="B23" s="51" t="s">
        <v>53</v>
      </c>
      <c r="C23" s="79">
        <v>100</v>
      </c>
      <c r="D23" s="80">
        <v>95</v>
      </c>
      <c r="E23" s="81">
        <f t="shared" ref="E23:E33" si="8">(C23+D23)/2*0.01</f>
        <v>0.975</v>
      </c>
      <c r="F23" s="80">
        <v>80</v>
      </c>
      <c r="G23" s="80">
        <v>100</v>
      </c>
      <c r="H23" s="81">
        <f t="shared" si="7"/>
        <v>0.9</v>
      </c>
      <c r="I23" s="82">
        <v>90</v>
      </c>
      <c r="J23" s="80">
        <v>80</v>
      </c>
      <c r="K23" s="81">
        <f t="shared" si="5"/>
        <v>0.85</v>
      </c>
      <c r="L23" s="47">
        <v>70</v>
      </c>
      <c r="M23" s="83">
        <f t="shared" si="4"/>
        <v>0.7</v>
      </c>
      <c r="N23" s="84">
        <f t="shared" si="6"/>
        <v>87.8571428571429</v>
      </c>
    </row>
    <row r="24" spans="1:14">
      <c r="A24" s="50" t="s">
        <v>54</v>
      </c>
      <c r="B24" s="51" t="s">
        <v>55</v>
      </c>
      <c r="C24" s="79">
        <v>100</v>
      </c>
      <c r="D24" s="80">
        <v>90</v>
      </c>
      <c r="E24" s="81">
        <f t="shared" si="8"/>
        <v>0.95</v>
      </c>
      <c r="F24" s="80">
        <v>80</v>
      </c>
      <c r="G24" s="80">
        <v>100</v>
      </c>
      <c r="H24" s="81">
        <f t="shared" si="7"/>
        <v>0.9</v>
      </c>
      <c r="I24" s="82">
        <v>70</v>
      </c>
      <c r="J24" s="80">
        <v>0</v>
      </c>
      <c r="K24" s="81">
        <f t="shared" si="5"/>
        <v>0.35</v>
      </c>
      <c r="L24" s="47">
        <v>60</v>
      </c>
      <c r="M24" s="83">
        <f t="shared" ref="M24:M41" si="9">L24*0.01</f>
        <v>0.6</v>
      </c>
      <c r="N24" s="84">
        <f t="shared" si="6"/>
        <v>71.4285714285714</v>
      </c>
    </row>
    <row r="25" spans="1:14">
      <c r="A25" s="50" t="s">
        <v>56</v>
      </c>
      <c r="B25" s="51" t="s">
        <v>57</v>
      </c>
      <c r="C25" s="79">
        <v>100</v>
      </c>
      <c r="D25" s="80">
        <v>80</v>
      </c>
      <c r="E25" s="81">
        <f t="shared" si="8"/>
        <v>0.9</v>
      </c>
      <c r="F25" s="80">
        <v>70</v>
      </c>
      <c r="G25" s="80">
        <v>90</v>
      </c>
      <c r="H25" s="81">
        <f t="shared" si="7"/>
        <v>0.8</v>
      </c>
      <c r="I25" s="82">
        <v>50</v>
      </c>
      <c r="J25" s="80">
        <v>80</v>
      </c>
      <c r="K25" s="81">
        <f t="shared" si="5"/>
        <v>0.65</v>
      </c>
      <c r="L25" s="47">
        <v>50</v>
      </c>
      <c r="M25" s="83">
        <f t="shared" si="9"/>
        <v>0.5</v>
      </c>
      <c r="N25" s="84">
        <f t="shared" si="6"/>
        <v>74.2857142857143</v>
      </c>
    </row>
    <row r="26" spans="1:14">
      <c r="A26" s="50" t="s">
        <v>58</v>
      </c>
      <c r="B26" s="51" t="s">
        <v>59</v>
      </c>
      <c r="C26" s="79">
        <v>80</v>
      </c>
      <c r="D26" s="80">
        <v>90</v>
      </c>
      <c r="E26" s="81">
        <f t="shared" si="8"/>
        <v>0.85</v>
      </c>
      <c r="F26" s="80">
        <v>80</v>
      </c>
      <c r="G26" s="80">
        <v>100</v>
      </c>
      <c r="H26" s="81">
        <f t="shared" si="7"/>
        <v>0.9</v>
      </c>
      <c r="I26" s="82">
        <v>60</v>
      </c>
      <c r="J26" s="80">
        <v>90</v>
      </c>
      <c r="K26" s="81">
        <f t="shared" si="5"/>
        <v>0.75</v>
      </c>
      <c r="L26" s="47">
        <v>60</v>
      </c>
      <c r="M26" s="83">
        <f t="shared" si="9"/>
        <v>0.6</v>
      </c>
      <c r="N26" s="84">
        <f t="shared" si="6"/>
        <v>80</v>
      </c>
    </row>
    <row r="27" spans="1:14">
      <c r="A27" s="50" t="s">
        <v>60</v>
      </c>
      <c r="B27" s="51" t="s">
        <v>61</v>
      </c>
      <c r="C27" s="79">
        <v>80</v>
      </c>
      <c r="D27" s="80">
        <v>90</v>
      </c>
      <c r="E27" s="81">
        <f t="shared" si="8"/>
        <v>0.85</v>
      </c>
      <c r="F27" s="80">
        <v>100</v>
      </c>
      <c r="G27" s="80">
        <v>90</v>
      </c>
      <c r="H27" s="81">
        <f t="shared" si="7"/>
        <v>0.95</v>
      </c>
      <c r="I27" s="82">
        <v>70</v>
      </c>
      <c r="J27" s="80">
        <v>70</v>
      </c>
      <c r="K27" s="81">
        <f t="shared" si="5"/>
        <v>0.7</v>
      </c>
      <c r="L27" s="47">
        <v>70</v>
      </c>
      <c r="M27" s="83">
        <f t="shared" si="9"/>
        <v>0.7</v>
      </c>
      <c r="N27" s="84">
        <f t="shared" si="6"/>
        <v>81.4285714285714</v>
      </c>
    </row>
    <row r="28" spans="1:14">
      <c r="A28" s="50" t="s">
        <v>62</v>
      </c>
      <c r="B28" s="51" t="s">
        <v>63</v>
      </c>
      <c r="C28" s="79">
        <v>100</v>
      </c>
      <c r="D28" s="80">
        <v>100</v>
      </c>
      <c r="E28" s="81">
        <f t="shared" si="8"/>
        <v>1</v>
      </c>
      <c r="F28" s="80">
        <v>95</v>
      </c>
      <c r="G28" s="80">
        <v>100</v>
      </c>
      <c r="H28" s="81">
        <f t="shared" si="7"/>
        <v>0.975</v>
      </c>
      <c r="I28" s="82">
        <v>70</v>
      </c>
      <c r="J28" s="80">
        <v>80</v>
      </c>
      <c r="K28" s="81">
        <f t="shared" si="5"/>
        <v>0.75</v>
      </c>
      <c r="L28" s="47">
        <v>80</v>
      </c>
      <c r="M28" s="83">
        <f t="shared" si="9"/>
        <v>0.8</v>
      </c>
      <c r="N28" s="84">
        <f t="shared" si="6"/>
        <v>89.2857142857143</v>
      </c>
    </row>
    <row r="29" spans="1:14">
      <c r="A29" s="50" t="s">
        <v>64</v>
      </c>
      <c r="B29" s="51" t="s">
        <v>65</v>
      </c>
      <c r="C29" s="79">
        <v>100</v>
      </c>
      <c r="D29" s="80">
        <v>80</v>
      </c>
      <c r="E29" s="81">
        <f t="shared" si="8"/>
        <v>0.9</v>
      </c>
      <c r="F29" s="80">
        <v>70</v>
      </c>
      <c r="G29" s="80">
        <v>100</v>
      </c>
      <c r="H29" s="81">
        <f t="shared" si="7"/>
        <v>0.85</v>
      </c>
      <c r="I29" s="82">
        <v>70</v>
      </c>
      <c r="J29" s="80">
        <v>70</v>
      </c>
      <c r="K29" s="81">
        <f t="shared" si="5"/>
        <v>0.7</v>
      </c>
      <c r="L29" s="47">
        <v>95</v>
      </c>
      <c r="M29" s="83">
        <f t="shared" si="9"/>
        <v>0.95</v>
      </c>
      <c r="N29" s="84">
        <f t="shared" si="6"/>
        <v>83.5714285714286</v>
      </c>
    </row>
    <row r="30" spans="1:14">
      <c r="A30" s="50" t="s">
        <v>66</v>
      </c>
      <c r="B30" s="51" t="s">
        <v>67</v>
      </c>
      <c r="C30" s="85">
        <v>100</v>
      </c>
      <c r="D30" s="80">
        <v>100</v>
      </c>
      <c r="E30" s="81">
        <f t="shared" si="8"/>
        <v>1</v>
      </c>
      <c r="F30" s="80">
        <v>100</v>
      </c>
      <c r="G30" s="80">
        <v>100</v>
      </c>
      <c r="H30" s="81">
        <f t="shared" si="7"/>
        <v>1</v>
      </c>
      <c r="I30" s="82">
        <v>95</v>
      </c>
      <c r="J30" s="80">
        <v>80</v>
      </c>
      <c r="K30" s="81">
        <f t="shared" si="5"/>
        <v>0.875</v>
      </c>
      <c r="L30" s="47">
        <v>80</v>
      </c>
      <c r="M30" s="83">
        <f t="shared" si="9"/>
        <v>0.8</v>
      </c>
      <c r="N30" s="84">
        <f t="shared" si="6"/>
        <v>93.5714285714286</v>
      </c>
    </row>
    <row r="31" spans="1:14">
      <c r="A31" s="50" t="s">
        <v>68</v>
      </c>
      <c r="B31" s="51" t="s">
        <v>69</v>
      </c>
      <c r="C31" s="85">
        <v>100</v>
      </c>
      <c r="D31" s="80">
        <v>80</v>
      </c>
      <c r="E31" s="81">
        <f t="shared" si="8"/>
        <v>0.9</v>
      </c>
      <c r="F31" s="80">
        <v>70</v>
      </c>
      <c r="G31" s="80">
        <v>100</v>
      </c>
      <c r="H31" s="81">
        <f t="shared" si="7"/>
        <v>0.85</v>
      </c>
      <c r="I31" s="82">
        <v>80</v>
      </c>
      <c r="J31" s="80">
        <v>80</v>
      </c>
      <c r="K31" s="81">
        <f t="shared" si="5"/>
        <v>0.8</v>
      </c>
      <c r="L31" s="47">
        <v>70</v>
      </c>
      <c r="M31" s="83">
        <f t="shared" si="9"/>
        <v>0.7</v>
      </c>
      <c r="N31" s="84">
        <f t="shared" si="6"/>
        <v>82.8571428571429</v>
      </c>
    </row>
    <row r="32" spans="1:14">
      <c r="A32" s="50" t="s">
        <v>70</v>
      </c>
      <c r="B32" s="51" t="s">
        <v>71</v>
      </c>
      <c r="C32" s="85">
        <v>80</v>
      </c>
      <c r="D32" s="80">
        <v>80</v>
      </c>
      <c r="E32" s="81">
        <f t="shared" si="8"/>
        <v>0.8</v>
      </c>
      <c r="F32" s="80">
        <v>80</v>
      </c>
      <c r="G32" s="80">
        <v>80</v>
      </c>
      <c r="H32" s="81">
        <f t="shared" si="7"/>
        <v>0.8</v>
      </c>
      <c r="I32" s="82">
        <v>60</v>
      </c>
      <c r="J32" s="80">
        <v>80</v>
      </c>
      <c r="K32" s="81">
        <f t="shared" si="5"/>
        <v>0.7</v>
      </c>
      <c r="L32" s="47">
        <v>60</v>
      </c>
      <c r="M32" s="83">
        <f t="shared" si="9"/>
        <v>0.6</v>
      </c>
      <c r="N32" s="84">
        <f t="shared" si="6"/>
        <v>74.2857142857143</v>
      </c>
    </row>
    <row r="33" spans="1:14">
      <c r="A33" s="50" t="s">
        <v>72</v>
      </c>
      <c r="B33" s="51" t="s">
        <v>73</v>
      </c>
      <c r="C33" s="85">
        <v>80</v>
      </c>
      <c r="D33" s="80">
        <v>70</v>
      </c>
      <c r="E33" s="81">
        <f t="shared" si="8"/>
        <v>0.75</v>
      </c>
      <c r="F33" s="80">
        <v>80</v>
      </c>
      <c r="G33" s="80">
        <v>100</v>
      </c>
      <c r="H33" s="81">
        <f t="shared" si="7"/>
        <v>0.9</v>
      </c>
      <c r="I33" s="82">
        <v>80</v>
      </c>
      <c r="J33" s="80">
        <v>80</v>
      </c>
      <c r="K33" s="81">
        <f t="shared" ref="K33:K50" si="10">(I33+J33)/2*0.01</f>
        <v>0.8</v>
      </c>
      <c r="L33" s="47">
        <v>70</v>
      </c>
      <c r="M33" s="83">
        <f t="shared" si="9"/>
        <v>0.7</v>
      </c>
      <c r="N33" s="84">
        <f t="shared" si="6"/>
        <v>80</v>
      </c>
    </row>
    <row r="34" spans="1:14">
      <c r="A34" s="50" t="s">
        <v>74</v>
      </c>
      <c r="B34" s="51" t="s">
        <v>75</v>
      </c>
      <c r="C34" s="85">
        <v>100</v>
      </c>
      <c r="D34" s="80">
        <v>80</v>
      </c>
      <c r="E34" s="81">
        <f t="shared" ref="E34:E50" si="11">(C34+D34)/2*0.01</f>
        <v>0.9</v>
      </c>
      <c r="F34" s="80">
        <v>80</v>
      </c>
      <c r="G34" s="80">
        <v>80</v>
      </c>
      <c r="H34" s="81">
        <f t="shared" si="7"/>
        <v>0.8</v>
      </c>
      <c r="I34" s="82">
        <v>80</v>
      </c>
      <c r="J34" s="80">
        <v>80</v>
      </c>
      <c r="K34" s="81">
        <f t="shared" si="10"/>
        <v>0.8</v>
      </c>
      <c r="L34" s="47">
        <v>60</v>
      </c>
      <c r="M34" s="83">
        <f t="shared" si="9"/>
        <v>0.6</v>
      </c>
      <c r="N34" s="84">
        <f t="shared" si="6"/>
        <v>80</v>
      </c>
    </row>
    <row r="35" spans="1:14">
      <c r="A35" s="50" t="s">
        <v>76</v>
      </c>
      <c r="B35" s="51" t="s">
        <v>77</v>
      </c>
      <c r="C35" s="85">
        <v>90</v>
      </c>
      <c r="D35" s="80">
        <v>80</v>
      </c>
      <c r="E35" s="81">
        <f t="shared" si="11"/>
        <v>0.85</v>
      </c>
      <c r="F35" s="80">
        <v>80</v>
      </c>
      <c r="G35" s="80">
        <v>100</v>
      </c>
      <c r="H35" s="81">
        <f t="shared" ref="H35:H42" si="12">(F35+G35)/2*0.01</f>
        <v>0.9</v>
      </c>
      <c r="I35" s="82">
        <v>90</v>
      </c>
      <c r="J35" s="80">
        <v>80</v>
      </c>
      <c r="K35" s="81">
        <f t="shared" si="10"/>
        <v>0.85</v>
      </c>
      <c r="L35" s="47">
        <v>70</v>
      </c>
      <c r="M35" s="83">
        <f t="shared" si="9"/>
        <v>0.7</v>
      </c>
      <c r="N35" s="84">
        <f t="shared" ref="N35:N48" si="13">(C35+D35+F35+G35+I35+J35+L35)/7</f>
        <v>84.2857142857143</v>
      </c>
    </row>
    <row r="36" spans="1:14">
      <c r="A36" s="50" t="s">
        <v>78</v>
      </c>
      <c r="B36" s="51" t="s">
        <v>79</v>
      </c>
      <c r="C36" s="85">
        <v>100</v>
      </c>
      <c r="D36" s="80">
        <v>60</v>
      </c>
      <c r="E36" s="81">
        <f t="shared" si="11"/>
        <v>0.8</v>
      </c>
      <c r="F36" s="80">
        <v>90</v>
      </c>
      <c r="G36" s="80">
        <v>90</v>
      </c>
      <c r="H36" s="81">
        <f t="shared" si="12"/>
        <v>0.9</v>
      </c>
      <c r="I36" s="82">
        <v>80</v>
      </c>
      <c r="J36" s="80">
        <v>80</v>
      </c>
      <c r="K36" s="81">
        <f t="shared" si="10"/>
        <v>0.8</v>
      </c>
      <c r="L36" s="47">
        <v>70</v>
      </c>
      <c r="M36" s="83">
        <f t="shared" si="9"/>
        <v>0.7</v>
      </c>
      <c r="N36" s="84">
        <f t="shared" si="13"/>
        <v>81.4285714285714</v>
      </c>
    </row>
    <row r="37" spans="1:14">
      <c r="A37" s="50" t="s">
        <v>80</v>
      </c>
      <c r="B37" s="51" t="s">
        <v>81</v>
      </c>
      <c r="C37" s="85">
        <v>100</v>
      </c>
      <c r="D37" s="80">
        <v>100</v>
      </c>
      <c r="E37" s="81">
        <f t="shared" si="11"/>
        <v>1</v>
      </c>
      <c r="F37" s="80">
        <v>70</v>
      </c>
      <c r="G37" s="80">
        <v>100</v>
      </c>
      <c r="H37" s="81">
        <f t="shared" si="12"/>
        <v>0.85</v>
      </c>
      <c r="I37" s="82">
        <v>80</v>
      </c>
      <c r="J37" s="80">
        <v>80</v>
      </c>
      <c r="K37" s="81">
        <f t="shared" si="10"/>
        <v>0.8</v>
      </c>
      <c r="L37" s="47">
        <v>70</v>
      </c>
      <c r="M37" s="83">
        <f t="shared" si="9"/>
        <v>0.7</v>
      </c>
      <c r="N37" s="84">
        <f t="shared" si="13"/>
        <v>85.7142857142857</v>
      </c>
    </row>
    <row r="38" spans="1:14">
      <c r="A38" s="50" t="s">
        <v>82</v>
      </c>
      <c r="B38" s="51" t="s">
        <v>83</v>
      </c>
      <c r="C38" s="85">
        <v>100</v>
      </c>
      <c r="D38" s="80">
        <v>100</v>
      </c>
      <c r="E38" s="81">
        <f t="shared" si="11"/>
        <v>1</v>
      </c>
      <c r="F38" s="80">
        <v>80</v>
      </c>
      <c r="G38" s="80">
        <v>60</v>
      </c>
      <c r="H38" s="81">
        <f t="shared" si="12"/>
        <v>0.7</v>
      </c>
      <c r="I38" s="82">
        <v>80</v>
      </c>
      <c r="J38" s="80">
        <v>60</v>
      </c>
      <c r="K38" s="81">
        <f t="shared" si="10"/>
        <v>0.7</v>
      </c>
      <c r="L38" s="47">
        <v>70</v>
      </c>
      <c r="M38" s="83">
        <f t="shared" si="9"/>
        <v>0.7</v>
      </c>
      <c r="N38" s="84">
        <f t="shared" si="13"/>
        <v>78.5714285714286</v>
      </c>
    </row>
    <row r="39" spans="1:14">
      <c r="A39" s="50" t="s">
        <v>84</v>
      </c>
      <c r="B39" s="51" t="s">
        <v>85</v>
      </c>
      <c r="C39" s="85">
        <v>80</v>
      </c>
      <c r="D39" s="80">
        <v>80</v>
      </c>
      <c r="E39" s="81">
        <f t="shared" si="11"/>
        <v>0.8</v>
      </c>
      <c r="F39" s="80">
        <v>90</v>
      </c>
      <c r="G39" s="80">
        <v>90</v>
      </c>
      <c r="H39" s="81">
        <f t="shared" si="12"/>
        <v>0.9</v>
      </c>
      <c r="I39" s="82">
        <v>70</v>
      </c>
      <c r="J39" s="80">
        <v>70</v>
      </c>
      <c r="K39" s="81">
        <f t="shared" si="10"/>
        <v>0.7</v>
      </c>
      <c r="L39" s="47">
        <v>70</v>
      </c>
      <c r="M39" s="83">
        <f t="shared" si="9"/>
        <v>0.7</v>
      </c>
      <c r="N39" s="84">
        <f t="shared" si="13"/>
        <v>78.5714285714286</v>
      </c>
    </row>
    <row r="40" spans="1:14">
      <c r="A40" s="50" t="s">
        <v>86</v>
      </c>
      <c r="B40" s="51" t="s">
        <v>87</v>
      </c>
      <c r="C40" s="85">
        <v>100</v>
      </c>
      <c r="D40" s="80">
        <v>90</v>
      </c>
      <c r="E40" s="81">
        <f t="shared" si="11"/>
        <v>0.95</v>
      </c>
      <c r="F40" s="80">
        <v>70</v>
      </c>
      <c r="G40" s="80">
        <v>90</v>
      </c>
      <c r="H40" s="81">
        <f t="shared" si="12"/>
        <v>0.8</v>
      </c>
      <c r="I40" s="82">
        <v>70</v>
      </c>
      <c r="J40" s="80">
        <v>80</v>
      </c>
      <c r="K40" s="81">
        <f t="shared" si="10"/>
        <v>0.75</v>
      </c>
      <c r="L40" s="47">
        <v>70</v>
      </c>
      <c r="M40" s="83">
        <f t="shared" si="9"/>
        <v>0.7</v>
      </c>
      <c r="N40" s="84">
        <f t="shared" si="13"/>
        <v>81.4285714285714</v>
      </c>
    </row>
    <row r="41" spans="1:14">
      <c r="A41" s="50" t="s">
        <v>88</v>
      </c>
      <c r="B41" s="51" t="s">
        <v>89</v>
      </c>
      <c r="C41" s="85">
        <v>90</v>
      </c>
      <c r="D41" s="80">
        <v>80</v>
      </c>
      <c r="E41" s="81">
        <f t="shared" si="11"/>
        <v>0.85</v>
      </c>
      <c r="F41" s="80">
        <v>80</v>
      </c>
      <c r="G41" s="80">
        <v>100</v>
      </c>
      <c r="H41" s="81">
        <f t="shared" si="12"/>
        <v>0.9</v>
      </c>
      <c r="I41" s="82">
        <v>70</v>
      </c>
      <c r="J41" s="80">
        <v>80</v>
      </c>
      <c r="K41" s="81">
        <f t="shared" si="10"/>
        <v>0.75</v>
      </c>
      <c r="L41" s="47">
        <v>60</v>
      </c>
      <c r="M41" s="83">
        <f t="shared" si="9"/>
        <v>0.6</v>
      </c>
      <c r="N41" s="84">
        <f t="shared" si="13"/>
        <v>80</v>
      </c>
    </row>
    <row r="42" spans="1:14">
      <c r="A42" s="50" t="s">
        <v>90</v>
      </c>
      <c r="B42" s="51" t="s">
        <v>91</v>
      </c>
      <c r="C42" s="85">
        <v>90</v>
      </c>
      <c r="D42" s="80">
        <v>80</v>
      </c>
      <c r="E42" s="81">
        <f t="shared" si="11"/>
        <v>0.85</v>
      </c>
      <c r="F42" s="80">
        <v>80</v>
      </c>
      <c r="G42" s="80">
        <v>90</v>
      </c>
      <c r="H42" s="81">
        <f t="shared" si="12"/>
        <v>0.85</v>
      </c>
      <c r="I42" s="82">
        <v>70</v>
      </c>
      <c r="J42" s="80">
        <v>80</v>
      </c>
      <c r="K42" s="81">
        <f t="shared" si="10"/>
        <v>0.75</v>
      </c>
      <c r="L42" s="47">
        <v>70</v>
      </c>
      <c r="M42" s="83">
        <f>L42*0.01</f>
        <v>0.7</v>
      </c>
      <c r="N42" s="84">
        <f t="shared" si="13"/>
        <v>80</v>
      </c>
    </row>
    <row r="43" spans="1:14">
      <c r="A43" s="50" t="s">
        <v>92</v>
      </c>
      <c r="B43" s="51" t="s">
        <v>93</v>
      </c>
      <c r="C43" s="85">
        <v>80</v>
      </c>
      <c r="D43" s="80">
        <v>95</v>
      </c>
      <c r="E43" s="81">
        <f t="shared" si="11"/>
        <v>0.875</v>
      </c>
      <c r="F43" s="80">
        <v>95</v>
      </c>
      <c r="G43" s="80">
        <v>100</v>
      </c>
      <c r="H43" s="81">
        <f>(F43+G43)/2*0.01</f>
        <v>0.975</v>
      </c>
      <c r="I43" s="82">
        <v>80</v>
      </c>
      <c r="J43" s="80">
        <v>80</v>
      </c>
      <c r="K43" s="81">
        <f t="shared" si="10"/>
        <v>0.8</v>
      </c>
      <c r="L43" s="47">
        <v>70</v>
      </c>
      <c r="M43" s="83">
        <f>L43*0.01</f>
        <v>0.7</v>
      </c>
      <c r="N43" s="84">
        <f t="shared" si="13"/>
        <v>85.7142857142857</v>
      </c>
    </row>
    <row r="44" spans="1:14">
      <c r="A44" s="50" t="s">
        <v>94</v>
      </c>
      <c r="B44" s="51" t="s">
        <v>95</v>
      </c>
      <c r="C44" s="85">
        <v>100</v>
      </c>
      <c r="D44" s="80">
        <v>90</v>
      </c>
      <c r="E44" s="81">
        <f t="shared" si="11"/>
        <v>0.95</v>
      </c>
      <c r="F44" s="80">
        <v>80</v>
      </c>
      <c r="G44" s="80">
        <v>90</v>
      </c>
      <c r="H44" s="81">
        <f>(F44+G44)/2*0.01</f>
        <v>0.85</v>
      </c>
      <c r="I44" s="82">
        <v>80</v>
      </c>
      <c r="J44" s="80">
        <v>80</v>
      </c>
      <c r="K44" s="81">
        <f t="shared" si="10"/>
        <v>0.8</v>
      </c>
      <c r="L44" s="47">
        <v>70</v>
      </c>
      <c r="M44" s="83">
        <f>L44*0.01</f>
        <v>0.7</v>
      </c>
      <c r="N44" s="84">
        <f t="shared" si="13"/>
        <v>84.2857142857143</v>
      </c>
    </row>
    <row r="45" spans="1:14">
      <c r="A45" s="50" t="s">
        <v>96</v>
      </c>
      <c r="B45" s="51" t="s">
        <v>97</v>
      </c>
      <c r="C45" s="85">
        <v>100</v>
      </c>
      <c r="D45" s="80">
        <v>80</v>
      </c>
      <c r="E45" s="81">
        <f>(C45+D45)/2*0.01</f>
        <v>0.9</v>
      </c>
      <c r="F45" s="80">
        <v>90</v>
      </c>
      <c r="G45" s="80">
        <v>90</v>
      </c>
      <c r="H45" s="81">
        <f t="shared" ref="H45:H53" si="14">(F45+G45)/2*0.01</f>
        <v>0.9</v>
      </c>
      <c r="I45" s="82">
        <v>90</v>
      </c>
      <c r="J45" s="80">
        <v>80</v>
      </c>
      <c r="K45" s="81">
        <f>(I45+J45)/2*0.01</f>
        <v>0.85</v>
      </c>
      <c r="L45" s="47">
        <v>80</v>
      </c>
      <c r="M45" s="83">
        <f t="shared" ref="M45:M53" si="15">L45*0.01</f>
        <v>0.8</v>
      </c>
      <c r="N45" s="84">
        <f>(C45+D45+F45+G45+I45+J45+L45)/7</f>
        <v>87.1428571428571</v>
      </c>
    </row>
    <row r="46" spans="1:14">
      <c r="A46" s="50" t="s">
        <v>98</v>
      </c>
      <c r="B46" s="51" t="s">
        <v>99</v>
      </c>
      <c r="C46" s="85">
        <v>100</v>
      </c>
      <c r="D46" s="80">
        <v>95</v>
      </c>
      <c r="E46" s="81">
        <f>(C46+D46)/2*0.01</f>
        <v>0.975</v>
      </c>
      <c r="F46" s="80">
        <v>80</v>
      </c>
      <c r="G46" s="80">
        <v>100</v>
      </c>
      <c r="H46" s="81">
        <f t="shared" si="14"/>
        <v>0.9</v>
      </c>
      <c r="I46" s="82">
        <v>70</v>
      </c>
      <c r="J46" s="80">
        <v>80</v>
      </c>
      <c r="K46" s="81">
        <f>(I46+J46)/2*0.01</f>
        <v>0.75</v>
      </c>
      <c r="L46" s="47">
        <v>70</v>
      </c>
      <c r="M46" s="83">
        <f t="shared" si="15"/>
        <v>0.7</v>
      </c>
      <c r="N46" s="84">
        <f>(C46+D46+F46+G46+I46+J46+L46)/7</f>
        <v>85</v>
      </c>
    </row>
    <row r="47" spans="1:14">
      <c r="A47" s="50" t="s">
        <v>100</v>
      </c>
      <c r="B47" s="51" t="s">
        <v>101</v>
      </c>
      <c r="C47" s="85">
        <v>80</v>
      </c>
      <c r="D47" s="80">
        <v>90</v>
      </c>
      <c r="E47" s="81">
        <f>(C47+D47)/2*0.01</f>
        <v>0.85</v>
      </c>
      <c r="F47" s="80">
        <v>70</v>
      </c>
      <c r="G47" s="80">
        <v>90</v>
      </c>
      <c r="H47" s="81">
        <f t="shared" si="14"/>
        <v>0.8</v>
      </c>
      <c r="I47" s="82">
        <v>70</v>
      </c>
      <c r="J47" s="80">
        <v>70</v>
      </c>
      <c r="K47" s="81">
        <f>(I47+J47)/2*0.01</f>
        <v>0.7</v>
      </c>
      <c r="L47" s="47">
        <v>60</v>
      </c>
      <c r="M47" s="83">
        <f t="shared" si="15"/>
        <v>0.6</v>
      </c>
      <c r="N47" s="84">
        <f>(C47+D47+F47+G47+I47+J47+L47)/7</f>
        <v>75.7142857142857</v>
      </c>
    </row>
    <row r="48" spans="1:14">
      <c r="A48" s="50" t="s">
        <v>102</v>
      </c>
      <c r="B48" s="51" t="s">
        <v>103</v>
      </c>
      <c r="C48" s="85">
        <v>100</v>
      </c>
      <c r="D48" s="80">
        <v>60</v>
      </c>
      <c r="E48" s="81">
        <f>(C48+D48)/2*0.01</f>
        <v>0.8</v>
      </c>
      <c r="F48" s="80">
        <v>100</v>
      </c>
      <c r="G48" s="80">
        <v>100</v>
      </c>
      <c r="H48" s="81">
        <f t="shared" si="14"/>
        <v>1</v>
      </c>
      <c r="I48" s="82">
        <v>80</v>
      </c>
      <c r="J48" s="80">
        <v>70</v>
      </c>
      <c r="K48" s="81">
        <f>(I48+J48)/2*0.01</f>
        <v>0.75</v>
      </c>
      <c r="L48" s="47">
        <v>0</v>
      </c>
      <c r="M48" s="83">
        <f t="shared" si="15"/>
        <v>0</v>
      </c>
      <c r="N48" s="84">
        <f t="shared" ref="N48:N53" si="16">(C48+D48+F48+G48+I48+J48+L48)/7</f>
        <v>72.8571428571429</v>
      </c>
    </row>
    <row r="49" spans="1:14">
      <c r="A49" s="50" t="s">
        <v>104</v>
      </c>
      <c r="B49" s="51" t="s">
        <v>105</v>
      </c>
      <c r="C49" s="85">
        <v>100</v>
      </c>
      <c r="D49" s="80">
        <v>80</v>
      </c>
      <c r="E49" s="81">
        <f>(C49+D49)/2*0.01</f>
        <v>0.9</v>
      </c>
      <c r="F49" s="80">
        <v>100</v>
      </c>
      <c r="G49" s="80">
        <v>100</v>
      </c>
      <c r="H49" s="81">
        <f t="shared" si="14"/>
        <v>1</v>
      </c>
      <c r="I49" s="82">
        <v>70</v>
      </c>
      <c r="J49" s="80">
        <v>60</v>
      </c>
      <c r="K49" s="81">
        <f>(I49+J49)/2*0.01</f>
        <v>0.65</v>
      </c>
      <c r="L49" s="47">
        <v>70</v>
      </c>
      <c r="M49" s="83">
        <f t="shared" si="15"/>
        <v>0.7</v>
      </c>
      <c r="N49" s="84">
        <f t="shared" si="16"/>
        <v>82.8571428571429</v>
      </c>
    </row>
    <row r="50" spans="1:14">
      <c r="A50" s="50" t="s">
        <v>106</v>
      </c>
      <c r="B50" s="51" t="s">
        <v>107</v>
      </c>
      <c r="C50" s="85">
        <v>100</v>
      </c>
      <c r="D50" s="80">
        <v>80</v>
      </c>
      <c r="E50" s="81">
        <f>(C50+D50)/2*0.01</f>
        <v>0.9</v>
      </c>
      <c r="F50" s="80">
        <v>100</v>
      </c>
      <c r="G50" s="80">
        <v>90</v>
      </c>
      <c r="H50" s="81">
        <f t="shared" si="14"/>
        <v>0.95</v>
      </c>
      <c r="I50" s="82">
        <v>70</v>
      </c>
      <c r="J50" s="80">
        <v>90</v>
      </c>
      <c r="K50" s="81">
        <f>(I50+J50)/2*0.01</f>
        <v>0.8</v>
      </c>
      <c r="L50" s="47">
        <v>70</v>
      </c>
      <c r="M50" s="83">
        <f t="shared" si="15"/>
        <v>0.7</v>
      </c>
      <c r="N50" s="84">
        <f t="shared" si="16"/>
        <v>85.7142857142857</v>
      </c>
    </row>
    <row r="51" spans="1:14">
      <c r="A51" s="50" t="s">
        <v>108</v>
      </c>
      <c r="B51" s="51" t="s">
        <v>109</v>
      </c>
      <c r="C51" s="85">
        <v>80</v>
      </c>
      <c r="D51" s="80">
        <v>90</v>
      </c>
      <c r="E51" s="81">
        <f>(C51+D51)/2*0.01</f>
        <v>0.85</v>
      </c>
      <c r="F51" s="80">
        <v>80</v>
      </c>
      <c r="G51" s="80">
        <v>70</v>
      </c>
      <c r="H51" s="81">
        <f t="shared" si="14"/>
        <v>0.75</v>
      </c>
      <c r="I51" s="82">
        <v>0</v>
      </c>
      <c r="J51" s="80">
        <v>70</v>
      </c>
      <c r="K51" s="81">
        <f>(I51+J51)/2*0.01</f>
        <v>0.35</v>
      </c>
      <c r="L51" s="47">
        <v>80</v>
      </c>
      <c r="M51" s="83">
        <f t="shared" si="15"/>
        <v>0.8</v>
      </c>
      <c r="N51" s="84">
        <f t="shared" si="16"/>
        <v>67.1428571428571</v>
      </c>
    </row>
    <row r="52" spans="1:14">
      <c r="A52" s="50" t="s">
        <v>110</v>
      </c>
      <c r="B52" s="51" t="s">
        <v>111</v>
      </c>
      <c r="C52" s="85">
        <v>80</v>
      </c>
      <c r="D52" s="80">
        <v>80</v>
      </c>
      <c r="E52" s="81">
        <f>(C52+D52)/2*0.01</f>
        <v>0.8</v>
      </c>
      <c r="F52" s="80">
        <v>100</v>
      </c>
      <c r="G52" s="80">
        <v>80</v>
      </c>
      <c r="H52" s="81">
        <f t="shared" si="14"/>
        <v>0.9</v>
      </c>
      <c r="I52" s="82">
        <v>80</v>
      </c>
      <c r="J52" s="80">
        <v>70</v>
      </c>
      <c r="K52" s="81">
        <f>(I52+J52)/2*0.01</f>
        <v>0.75</v>
      </c>
      <c r="L52" s="47">
        <v>70</v>
      </c>
      <c r="M52" s="83">
        <f t="shared" si="15"/>
        <v>0.7</v>
      </c>
      <c r="N52" s="84">
        <f t="shared" si="16"/>
        <v>80</v>
      </c>
    </row>
    <row r="53" spans="1:14">
      <c r="A53" s="50" t="s">
        <v>112</v>
      </c>
      <c r="B53" s="51" t="s">
        <v>113</v>
      </c>
      <c r="C53" s="85">
        <v>100</v>
      </c>
      <c r="D53" s="80">
        <v>95</v>
      </c>
      <c r="E53" s="81">
        <f>(C53+D53)/2*0.01</f>
        <v>0.975</v>
      </c>
      <c r="F53" s="80">
        <v>70</v>
      </c>
      <c r="G53" s="80">
        <v>100</v>
      </c>
      <c r="H53" s="81">
        <f t="shared" si="14"/>
        <v>0.85</v>
      </c>
      <c r="I53" s="82">
        <v>90</v>
      </c>
      <c r="J53" s="80">
        <v>80</v>
      </c>
      <c r="K53" s="81">
        <f>(I53+J53)/2*0.01</f>
        <v>0.85</v>
      </c>
      <c r="L53" s="47">
        <v>70</v>
      </c>
      <c r="M53" s="83">
        <f t="shared" si="15"/>
        <v>0.7</v>
      </c>
      <c r="N53" s="84">
        <f t="shared" si="16"/>
        <v>86.4285714285714</v>
      </c>
    </row>
    <row r="54" spans="1:14">
      <c r="A54" s="86" t="s">
        <v>114</v>
      </c>
      <c r="B54" s="87"/>
      <c r="C54" s="59">
        <f>AVERAGE(C6:C53)</f>
        <v>92.5</v>
      </c>
      <c r="D54" s="59">
        <f>AVERAGE(D6:D53)</f>
        <v>83.75</v>
      </c>
      <c r="E54" s="61">
        <f>AVERAGE(E6:E53)</f>
        <v>0.88125</v>
      </c>
      <c r="F54" s="59">
        <f t="shared" ref="F54:N54" si="17">AVERAGE(F6:F53)</f>
        <v>81.9791666666667</v>
      </c>
      <c r="G54" s="59">
        <f t="shared" si="17"/>
        <v>91.875</v>
      </c>
      <c r="H54" s="61">
        <f t="shared" si="17"/>
        <v>0.869270833333333</v>
      </c>
      <c r="I54" s="59">
        <f t="shared" si="17"/>
        <v>73.3333333333333</v>
      </c>
      <c r="J54" s="59">
        <f t="shared" si="17"/>
        <v>74.1666666666667</v>
      </c>
      <c r="K54" s="61">
        <f t="shared" si="17"/>
        <v>0.7375</v>
      </c>
      <c r="L54" s="59">
        <f t="shared" si="17"/>
        <v>67.8125</v>
      </c>
      <c r="M54" s="61">
        <f t="shared" si="17"/>
        <v>0.678125</v>
      </c>
      <c r="N54" s="59">
        <f t="shared" si="17"/>
        <v>80.7738095238095</v>
      </c>
    </row>
    <row r="55" spans="1:14">
      <c r="A55" s="86" t="s">
        <v>115</v>
      </c>
      <c r="B55" s="87"/>
      <c r="C55" s="61"/>
      <c r="D55" s="61"/>
      <c r="E55" s="61">
        <f>E54</f>
        <v>0.88125</v>
      </c>
      <c r="F55" s="61"/>
      <c r="G55" s="61"/>
      <c r="H55" s="61">
        <f>H54</f>
        <v>0.869270833333333</v>
      </c>
      <c r="I55" s="61"/>
      <c r="J55" s="61"/>
      <c r="K55" s="61">
        <f>K54</f>
        <v>0.7375</v>
      </c>
      <c r="L55" s="61"/>
      <c r="M55" s="61">
        <f>M54</f>
        <v>0.678125</v>
      </c>
      <c r="N55" s="65">
        <f>N54/100</f>
        <v>0.807738095238095</v>
      </c>
    </row>
    <row r="56" spans="1:14">
      <c r="C56" s="88"/>
      <c r="D56" s="67"/>
      <c r="J56" s="31"/>
      <c r="K56" s="2"/>
      <c r="L56" s="2"/>
      <c r="M56" s="2"/>
      <c r="N56" s="32"/>
    </row>
  </sheetData>
  <mergeCells count="17">
    <mergeCell ref="A1:N1"/>
    <mergeCell ref="A2:B2"/>
    <mergeCell ref="C2:M2"/>
    <mergeCell ref="A3:B3"/>
    <mergeCell ref="C3:E3"/>
    <mergeCell ref="F3:H3"/>
    <mergeCell ref="I3:K3"/>
    <mergeCell ref="L3:M3"/>
    <mergeCell ref="C4:E4"/>
    <mergeCell ref="F4:H4"/>
    <mergeCell ref="I4:K4"/>
    <mergeCell ref="L4:M4"/>
    <mergeCell ref="A54:B54"/>
    <mergeCell ref="A55:B55"/>
    <mergeCell ref="A4:A5"/>
    <mergeCell ref="B4:B5"/>
    <mergeCell ref="N3:N4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N56"/>
  <sheetViews>
    <sheetView zoomScale="145" zoomScaleNormal="145" topLeftCell="A42" workbookViewId="0">
      <selection activeCell="O55" sqref="O55"/>
    </sheetView>
  </sheetViews>
  <sheetFormatPr defaultColWidth="8.8" defaultRowHeight="15.6"/>
  <cols>
    <col min="1" max="1" width="11.7" customWidth="1"/>
    <col min="2" max="2" width="9.475" customWidth="1"/>
    <col min="3" max="3" width="8.34166666666667" customWidth="1"/>
    <col min="4" max="5" width="5.1" style="31" customWidth="1"/>
    <col min="6" max="6" width="4.55" style="31" customWidth="1"/>
    <col min="7" max="7" width="4.68333333333333" style="31" customWidth="1"/>
    <col min="8" max="8" width="6.34166666666667" style="2" customWidth="1"/>
    <col min="9" max="9" width="5.1" customWidth="1"/>
    <col min="10" max="10" width="6.9" customWidth="1"/>
    <col min="11" max="11" width="5.1" customWidth="1"/>
    <col min="12" max="12" width="8.7" customWidth="1"/>
    <col min="13" max="13" width="6.9" customWidth="1"/>
    <col min="14" max="14" width="8.7" customWidth="1"/>
    <col min="15" max="15" width="6.95833333333333" customWidth="1"/>
    <col min="16" max="16" width="6.81666666666667" customWidth="1"/>
    <col min="17" max="17" width="10.5916666666667" customWidth="1"/>
    <col min="18" max="18" width="9.75833333333333" customWidth="1"/>
    <col min="19" max="19" width="10.2333333333333" customWidth="1"/>
    <col min="20" max="20" width="12" customWidth="1"/>
    <col min="21" max="21" width="12.8166666666667" customWidth="1"/>
    <col min="22" max="22" width="9.05" customWidth="1"/>
    <col min="23" max="23" width="7.525" customWidth="1"/>
    <col min="24" max="24" width="11.525" customWidth="1"/>
    <col min="25" max="25" width="9.99166666666667" customWidth="1"/>
    <col min="26" max="26" width="7.175" customWidth="1"/>
    <col min="27" max="27" width="7.40833333333333" customWidth="1"/>
    <col min="28" max="28" width="11.6416666666667" customWidth="1"/>
    <col min="29" max="29" width="10.2333333333333" customWidth="1"/>
    <col min="30" max="30" width="11.4166666666667" customWidth="1"/>
    <col min="31" max="31" width="12.1166666666667" customWidth="1"/>
    <col min="32" max="32" width="10.2333333333333" customWidth="1"/>
    <col min="33" max="33" width="10.9416666666667" customWidth="1"/>
    <col min="34" max="34" width="9.875" customWidth="1"/>
    <col min="35" max="35" width="10.35" customWidth="1"/>
    <col min="36" max="36" width="8.225" customWidth="1"/>
    <col min="37" max="37" width="6.9" customWidth="1"/>
    <col min="38" max="38" width="7.65" customWidth="1"/>
    <col min="39" max="39" width="14.9416666666667" customWidth="1"/>
    <col min="40" max="40" width="9.25" customWidth="1"/>
    <col min="41" max="42" width="9.375" customWidth="1"/>
    <col min="43" max="44" width="9.75" customWidth="1"/>
    <col min="45" max="45" width="16" style="32" customWidth="1"/>
  </cols>
  <sheetData>
    <row r="1" spans="1:40">
      <c r="A1" s="33" t="s">
        <v>129</v>
      </c>
      <c r="B1" s="33"/>
      <c r="C1" s="33"/>
      <c r="D1" s="33"/>
      <c r="E1" s="33"/>
      <c r="F1" s="33"/>
      <c r="G1" s="33"/>
      <c r="H1" s="33"/>
      <c r="I1" s="34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40">
      <c r="A2" s="36" t="s">
        <v>130</v>
      </c>
      <c r="B2" s="37"/>
      <c r="C2" s="38" t="s">
        <v>131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9" t="s">
        <v>132</v>
      </c>
    </row>
    <row r="3" spans="1:40">
      <c r="A3" s="36" t="s">
        <v>4</v>
      </c>
      <c r="B3" s="37"/>
      <c r="C3" s="40">
        <v>1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1">
        <v>2</v>
      </c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>
        <v>4</v>
      </c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39" t="s">
        <v>6</v>
      </c>
    </row>
    <row r="4" spans="1:40">
      <c r="A4" s="42" t="s">
        <v>7</v>
      </c>
      <c r="B4" s="15"/>
      <c r="C4" s="43" t="s">
        <v>133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35" t="s">
        <v>134</v>
      </c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35" t="s">
        <v>135</v>
      </c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5"/>
    </row>
    <row r="5" ht="47" customHeight="1" spans="1:40">
      <c r="A5" s="46"/>
      <c r="B5" s="37"/>
      <c r="C5" s="47" t="s">
        <v>136</v>
      </c>
      <c r="D5" s="47" t="s">
        <v>137</v>
      </c>
      <c r="E5" s="47" t="s">
        <v>138</v>
      </c>
      <c r="F5" s="47" t="s">
        <v>139</v>
      </c>
      <c r="G5" s="47" t="s">
        <v>140</v>
      </c>
      <c r="H5" s="47" t="s">
        <v>141</v>
      </c>
      <c r="I5" s="47" t="s">
        <v>142</v>
      </c>
      <c r="J5" s="47" t="s">
        <v>143</v>
      </c>
      <c r="K5" s="47" t="s">
        <v>144</v>
      </c>
      <c r="L5" s="47" t="s">
        <v>145</v>
      </c>
      <c r="M5" s="47" t="s">
        <v>146</v>
      </c>
      <c r="N5" s="47" t="s">
        <v>147</v>
      </c>
      <c r="O5" s="48" t="s">
        <v>13</v>
      </c>
      <c r="P5" s="48" t="s">
        <v>148</v>
      </c>
      <c r="Q5" s="48" t="s">
        <v>149</v>
      </c>
      <c r="R5" s="48" t="s">
        <v>150</v>
      </c>
      <c r="S5" s="48" t="s">
        <v>151</v>
      </c>
      <c r="T5" s="48" t="s">
        <v>152</v>
      </c>
      <c r="U5" s="48" t="s">
        <v>153</v>
      </c>
      <c r="V5" s="48" t="s">
        <v>154</v>
      </c>
      <c r="W5" s="48" t="s">
        <v>155</v>
      </c>
      <c r="X5" s="48" t="s">
        <v>156</v>
      </c>
      <c r="Y5" s="48" t="s">
        <v>157</v>
      </c>
      <c r="Z5" s="47" t="s">
        <v>158</v>
      </c>
      <c r="AA5" s="48" t="s">
        <v>13</v>
      </c>
      <c r="AB5" s="48" t="s">
        <v>159</v>
      </c>
      <c r="AC5" s="48" t="s">
        <v>160</v>
      </c>
      <c r="AD5" s="48" t="s">
        <v>161</v>
      </c>
      <c r="AE5" s="48" t="s">
        <v>162</v>
      </c>
      <c r="AF5" s="48" t="s">
        <v>163</v>
      </c>
      <c r="AG5" s="48" t="s">
        <v>164</v>
      </c>
      <c r="AH5" s="48" t="s">
        <v>165</v>
      </c>
      <c r="AI5" s="48" t="s">
        <v>166</v>
      </c>
      <c r="AJ5" s="48" t="s">
        <v>167</v>
      </c>
      <c r="AK5" s="49" t="s">
        <v>158</v>
      </c>
      <c r="AL5" s="48" t="s">
        <v>13</v>
      </c>
      <c r="AM5" s="39" t="s">
        <v>17</v>
      </c>
    </row>
    <row r="6" spans="1:40">
      <c r="A6" s="50" t="s">
        <v>18</v>
      </c>
      <c r="B6" s="51" t="s">
        <v>19</v>
      </c>
      <c r="C6" s="52">
        <v>0</v>
      </c>
      <c r="D6" s="52">
        <v>0</v>
      </c>
      <c r="E6" s="52">
        <v>0</v>
      </c>
      <c r="F6" s="52">
        <v>0</v>
      </c>
      <c r="G6" s="52">
        <v>0</v>
      </c>
      <c r="H6" s="52">
        <v>0</v>
      </c>
      <c r="I6" s="52">
        <v>9</v>
      </c>
      <c r="J6" s="52">
        <v>0</v>
      </c>
      <c r="K6" s="52">
        <v>0</v>
      </c>
      <c r="L6" s="52">
        <v>0</v>
      </c>
      <c r="M6" s="52">
        <f>SUM(I6:L6)</f>
        <v>9</v>
      </c>
      <c r="N6" s="52">
        <f t="shared" ref="N6:N13" si="0">M6+55</f>
        <v>64</v>
      </c>
      <c r="O6" s="53">
        <f>N6/100</f>
        <v>0.64</v>
      </c>
      <c r="P6" s="54">
        <v>80</v>
      </c>
      <c r="Q6" s="54">
        <v>80</v>
      </c>
      <c r="R6" s="54">
        <v>100</v>
      </c>
      <c r="S6" s="54">
        <v>80</v>
      </c>
      <c r="T6" s="54">
        <v>80</v>
      </c>
      <c r="U6" s="54">
        <v>80</v>
      </c>
      <c r="V6" s="54">
        <v>0</v>
      </c>
      <c r="W6" s="54">
        <v>100</v>
      </c>
      <c r="X6" s="54">
        <v>100</v>
      </c>
      <c r="Y6" s="54">
        <v>0</v>
      </c>
      <c r="Z6" s="47">
        <f>AVERAGE(P6:Y6)</f>
        <v>70</v>
      </c>
      <c r="AA6" s="53">
        <f>Z6*0.01</f>
        <v>0.7</v>
      </c>
      <c r="AB6" s="54">
        <v>80</v>
      </c>
      <c r="AC6" s="54">
        <v>60</v>
      </c>
      <c r="AD6" s="54">
        <v>90</v>
      </c>
      <c r="AE6" s="54">
        <v>90</v>
      </c>
      <c r="AF6" s="54">
        <v>80</v>
      </c>
      <c r="AG6" s="54">
        <v>100</v>
      </c>
      <c r="AH6" s="54">
        <v>80</v>
      </c>
      <c r="AI6" s="54">
        <v>80</v>
      </c>
      <c r="AJ6" s="54">
        <v>0</v>
      </c>
      <c r="AK6" s="55">
        <f t="shared" ref="AK6:AK13" si="1">AVERAGE(AB6:AJ6)</f>
        <v>73.3333333333333</v>
      </c>
      <c r="AL6" s="56">
        <f>AK6*0.01</f>
        <v>0.733333333333333</v>
      </c>
      <c r="AM6" s="57">
        <f>N6*0.2+Z6*0.3+AK6*0.5</f>
        <v>70.4666666666667</v>
      </c>
      <c r="AN6" s="32"/>
    </row>
    <row r="7" spans="1:40">
      <c r="A7" s="50" t="s">
        <v>20</v>
      </c>
      <c r="B7" s="51" t="s">
        <v>21</v>
      </c>
      <c r="C7" s="52">
        <v>-10</v>
      </c>
      <c r="D7" s="52">
        <v>8</v>
      </c>
      <c r="E7" s="52">
        <v>10</v>
      </c>
      <c r="F7" s="52">
        <v>9</v>
      </c>
      <c r="G7" s="52">
        <v>9</v>
      </c>
      <c r="H7" s="52">
        <v>8</v>
      </c>
      <c r="I7" s="52">
        <v>9</v>
      </c>
      <c r="J7" s="52">
        <v>9</v>
      </c>
      <c r="K7" s="52">
        <v>8</v>
      </c>
      <c r="L7" s="52">
        <v>0</v>
      </c>
      <c r="M7" s="52">
        <f>SUM(I7:L7)</f>
        <v>26</v>
      </c>
      <c r="N7" s="52">
        <f t="shared" si="0"/>
        <v>81</v>
      </c>
      <c r="O7" s="53">
        <f t="shared" ref="O7:O15" si="2">N7/100</f>
        <v>0.81</v>
      </c>
      <c r="P7" s="54">
        <v>100</v>
      </c>
      <c r="Q7" s="54">
        <v>100</v>
      </c>
      <c r="R7" s="54">
        <v>100</v>
      </c>
      <c r="S7" s="54">
        <v>90</v>
      </c>
      <c r="T7" s="54">
        <v>100</v>
      </c>
      <c r="U7" s="54">
        <v>100</v>
      </c>
      <c r="V7" s="54">
        <v>100</v>
      </c>
      <c r="W7" s="54">
        <v>100</v>
      </c>
      <c r="X7" s="54">
        <v>100</v>
      </c>
      <c r="Y7" s="54">
        <v>100</v>
      </c>
      <c r="Z7" s="47">
        <f>AVERAGE(P7:Y7)</f>
        <v>99</v>
      </c>
      <c r="AA7" s="53">
        <f t="shared" ref="AA7:AA14" si="3">Z7*0.01</f>
        <v>0.99</v>
      </c>
      <c r="AB7" s="54">
        <v>80</v>
      </c>
      <c r="AC7" s="54">
        <v>70</v>
      </c>
      <c r="AD7" s="54">
        <v>70</v>
      </c>
      <c r="AE7" s="54">
        <v>90</v>
      </c>
      <c r="AF7" s="54">
        <v>80</v>
      </c>
      <c r="AG7" s="54">
        <v>70</v>
      </c>
      <c r="AH7" s="54">
        <v>70</v>
      </c>
      <c r="AI7" s="54">
        <v>80</v>
      </c>
      <c r="AJ7" s="54">
        <v>0</v>
      </c>
      <c r="AK7" s="55">
        <f t="shared" si="1"/>
        <v>67.7777777777778</v>
      </c>
      <c r="AL7" s="56">
        <f t="shared" ref="AL7:AL15" si="4">AK7*0.01</f>
        <v>0.677777777777778</v>
      </c>
      <c r="AM7" s="57">
        <f>N7*0.2+Z7*0.3+AK7*0.5</f>
        <v>79.7888888888889</v>
      </c>
      <c r="AN7" s="32"/>
    </row>
    <row r="8" spans="1:40">
      <c r="A8" s="50" t="s">
        <v>22</v>
      </c>
      <c r="B8" s="51" t="s">
        <v>23</v>
      </c>
      <c r="C8" s="52">
        <v>8</v>
      </c>
      <c r="D8" s="52">
        <v>8</v>
      </c>
      <c r="E8" s="52">
        <v>9</v>
      </c>
      <c r="F8" s="52">
        <v>9</v>
      </c>
      <c r="G8" s="52">
        <v>9</v>
      </c>
      <c r="H8" s="52">
        <v>0</v>
      </c>
      <c r="I8" s="52">
        <v>9</v>
      </c>
      <c r="J8" s="52">
        <v>9</v>
      </c>
      <c r="K8" s="52">
        <v>8</v>
      </c>
      <c r="L8" s="52">
        <v>8</v>
      </c>
      <c r="M8" s="52">
        <f>SUM(I8:L8)</f>
        <v>34</v>
      </c>
      <c r="N8" s="52">
        <f t="shared" si="0"/>
        <v>89</v>
      </c>
      <c r="O8" s="53">
        <f t="shared" si="2"/>
        <v>0.89</v>
      </c>
      <c r="P8" s="54">
        <v>100</v>
      </c>
      <c r="Q8" s="54">
        <v>100</v>
      </c>
      <c r="R8" s="54">
        <v>100</v>
      </c>
      <c r="S8" s="54">
        <v>80</v>
      </c>
      <c r="T8" s="54">
        <v>100</v>
      </c>
      <c r="U8" s="54">
        <v>100</v>
      </c>
      <c r="V8" s="54">
        <v>80</v>
      </c>
      <c r="W8" s="54">
        <v>100</v>
      </c>
      <c r="X8" s="54">
        <v>100</v>
      </c>
      <c r="Y8" s="54">
        <v>100</v>
      </c>
      <c r="Z8" s="47">
        <f>AVERAGE(P8:Y8)</f>
        <v>96</v>
      </c>
      <c r="AA8" s="53">
        <f t="shared" si="3"/>
        <v>0.96</v>
      </c>
      <c r="AB8" s="54">
        <v>80</v>
      </c>
      <c r="AC8" s="54">
        <v>70</v>
      </c>
      <c r="AD8" s="54">
        <v>70</v>
      </c>
      <c r="AE8" s="54">
        <v>90</v>
      </c>
      <c r="AF8" s="54">
        <v>100</v>
      </c>
      <c r="AG8" s="54">
        <v>80</v>
      </c>
      <c r="AH8" s="54">
        <v>80</v>
      </c>
      <c r="AI8" s="54">
        <v>80</v>
      </c>
      <c r="AJ8" s="54">
        <v>80</v>
      </c>
      <c r="AK8" s="55">
        <f t="shared" si="1"/>
        <v>81.1111111111111</v>
      </c>
      <c r="AL8" s="56">
        <f t="shared" si="4"/>
        <v>0.811111111111111</v>
      </c>
      <c r="AM8" s="57">
        <f>N8*0.2+Z8*0.3+AK8*0.5</f>
        <v>87.1555555555556</v>
      </c>
      <c r="AN8" s="32"/>
    </row>
    <row r="9" spans="1:40">
      <c r="A9" s="50" t="s">
        <v>24</v>
      </c>
      <c r="B9" s="51" t="s">
        <v>25</v>
      </c>
      <c r="C9" s="52">
        <v>8</v>
      </c>
      <c r="D9" s="52">
        <v>0</v>
      </c>
      <c r="E9" s="52">
        <v>10</v>
      </c>
      <c r="F9" s="52">
        <v>9</v>
      </c>
      <c r="G9" s="52">
        <v>9</v>
      </c>
      <c r="H9" s="52">
        <v>8</v>
      </c>
      <c r="I9" s="52">
        <v>9</v>
      </c>
      <c r="J9" s="52">
        <v>9</v>
      </c>
      <c r="K9" s="52">
        <v>8</v>
      </c>
      <c r="L9" s="52">
        <v>8</v>
      </c>
      <c r="M9" s="52">
        <f>SUM(I9:L9)</f>
        <v>34</v>
      </c>
      <c r="N9" s="52">
        <f t="shared" si="0"/>
        <v>89</v>
      </c>
      <c r="O9" s="53">
        <f t="shared" si="2"/>
        <v>0.89</v>
      </c>
      <c r="P9" s="54">
        <v>100</v>
      </c>
      <c r="Q9" s="54">
        <v>100</v>
      </c>
      <c r="R9" s="54">
        <v>100</v>
      </c>
      <c r="S9" s="54">
        <v>100</v>
      </c>
      <c r="T9" s="54">
        <v>100</v>
      </c>
      <c r="U9" s="54">
        <v>100</v>
      </c>
      <c r="V9" s="54">
        <v>100</v>
      </c>
      <c r="W9" s="54">
        <v>100</v>
      </c>
      <c r="X9" s="54">
        <v>100</v>
      </c>
      <c r="Y9" s="54">
        <v>100</v>
      </c>
      <c r="Z9" s="47">
        <f>AVERAGE(P9:Y9)</f>
        <v>100</v>
      </c>
      <c r="AA9" s="53">
        <f t="shared" si="3"/>
        <v>1</v>
      </c>
      <c r="AB9" s="54">
        <v>80</v>
      </c>
      <c r="AC9" s="54">
        <v>100</v>
      </c>
      <c r="AD9" s="54">
        <v>80</v>
      </c>
      <c r="AE9" s="54">
        <v>90</v>
      </c>
      <c r="AF9" s="54">
        <v>100</v>
      </c>
      <c r="AG9" s="54">
        <v>90</v>
      </c>
      <c r="AH9" s="54">
        <v>90</v>
      </c>
      <c r="AI9" s="54">
        <v>90</v>
      </c>
      <c r="AJ9" s="54">
        <v>80</v>
      </c>
      <c r="AK9" s="55">
        <f t="shared" si="1"/>
        <v>88.8888888888889</v>
      </c>
      <c r="AL9" s="56">
        <f t="shared" si="4"/>
        <v>0.888888888888889</v>
      </c>
      <c r="AM9" s="57">
        <f>N9*0.2+Z9*0.3+AK9*0.5</f>
        <v>92.2444444444444</v>
      </c>
      <c r="AN9" s="32"/>
    </row>
    <row r="10" spans="1:40">
      <c r="A10" s="50" t="s">
        <v>26</v>
      </c>
      <c r="B10" s="51" t="s">
        <v>27</v>
      </c>
      <c r="C10" s="52">
        <v>8</v>
      </c>
      <c r="D10" s="52">
        <v>8</v>
      </c>
      <c r="E10" s="52">
        <v>9</v>
      </c>
      <c r="F10" s="52">
        <v>9</v>
      </c>
      <c r="G10" s="52">
        <v>9</v>
      </c>
      <c r="H10" s="52">
        <v>8</v>
      </c>
      <c r="I10" s="52">
        <v>9</v>
      </c>
      <c r="J10" s="52">
        <v>9</v>
      </c>
      <c r="K10" s="52">
        <v>0</v>
      </c>
      <c r="L10" s="52">
        <v>8</v>
      </c>
      <c r="M10" s="52">
        <f>SUM(I10:L10)</f>
        <v>26</v>
      </c>
      <c r="N10" s="52">
        <f t="shared" si="0"/>
        <v>81</v>
      </c>
      <c r="O10" s="53">
        <f t="shared" si="2"/>
        <v>0.81</v>
      </c>
      <c r="P10" s="54">
        <v>80</v>
      </c>
      <c r="Q10" s="54">
        <v>80</v>
      </c>
      <c r="R10" s="54">
        <v>100</v>
      </c>
      <c r="S10" s="54">
        <v>90</v>
      </c>
      <c r="T10" s="54">
        <v>100</v>
      </c>
      <c r="U10" s="54">
        <v>100</v>
      </c>
      <c r="V10" s="54">
        <v>100</v>
      </c>
      <c r="W10" s="54">
        <v>0</v>
      </c>
      <c r="X10" s="54">
        <v>100</v>
      </c>
      <c r="Y10" s="54">
        <v>100</v>
      </c>
      <c r="Z10" s="47">
        <f>AVERAGE(P10:Y10)</f>
        <v>85</v>
      </c>
      <c r="AA10" s="53">
        <f t="shared" si="3"/>
        <v>0.85</v>
      </c>
      <c r="AB10" s="54">
        <v>80</v>
      </c>
      <c r="AC10" s="54">
        <v>100</v>
      </c>
      <c r="AD10" s="54">
        <v>80</v>
      </c>
      <c r="AE10" s="54">
        <v>90</v>
      </c>
      <c r="AF10" s="54">
        <v>100</v>
      </c>
      <c r="AG10" s="54">
        <v>100</v>
      </c>
      <c r="AH10" s="54">
        <v>90</v>
      </c>
      <c r="AI10" s="54">
        <v>90</v>
      </c>
      <c r="AJ10" s="54">
        <v>80</v>
      </c>
      <c r="AK10" s="55">
        <f t="shared" si="1"/>
        <v>90</v>
      </c>
      <c r="AL10" s="56">
        <f t="shared" si="4"/>
        <v>0.9</v>
      </c>
      <c r="AM10" s="57">
        <f>N10*0.2+Z10*0.3+AK10*0.5</f>
        <v>86.7</v>
      </c>
      <c r="AN10" s="32"/>
    </row>
    <row r="11" spans="1:40">
      <c r="A11" s="50" t="s">
        <v>28</v>
      </c>
      <c r="B11" s="51" t="s">
        <v>29</v>
      </c>
      <c r="C11" s="52">
        <v>8</v>
      </c>
      <c r="D11" s="52">
        <v>8</v>
      </c>
      <c r="E11" s="52">
        <v>9</v>
      </c>
      <c r="F11" s="52">
        <v>9</v>
      </c>
      <c r="G11" s="52">
        <v>9</v>
      </c>
      <c r="H11" s="52">
        <v>10</v>
      </c>
      <c r="I11" s="52">
        <v>9</v>
      </c>
      <c r="J11" s="52">
        <v>9</v>
      </c>
      <c r="K11" s="52">
        <v>8</v>
      </c>
      <c r="L11" s="52">
        <v>8</v>
      </c>
      <c r="M11" s="52">
        <f>SUM(I11:L11)</f>
        <v>34</v>
      </c>
      <c r="N11" s="52">
        <f t="shared" si="0"/>
        <v>89</v>
      </c>
      <c r="O11" s="53">
        <f t="shared" si="2"/>
        <v>0.89</v>
      </c>
      <c r="P11" s="54">
        <v>100</v>
      </c>
      <c r="Q11" s="54">
        <v>100</v>
      </c>
      <c r="R11" s="54">
        <v>100</v>
      </c>
      <c r="S11" s="54">
        <v>90</v>
      </c>
      <c r="T11" s="54">
        <v>100</v>
      </c>
      <c r="U11" s="54">
        <v>100</v>
      </c>
      <c r="V11" s="54">
        <v>100</v>
      </c>
      <c r="W11" s="54">
        <v>100</v>
      </c>
      <c r="X11" s="54">
        <v>100</v>
      </c>
      <c r="Y11" s="54">
        <v>100</v>
      </c>
      <c r="Z11" s="47">
        <f>AVERAGE(P11:Y11)</f>
        <v>99</v>
      </c>
      <c r="AA11" s="53">
        <f t="shared" si="3"/>
        <v>0.99</v>
      </c>
      <c r="AB11" s="54">
        <v>80</v>
      </c>
      <c r="AC11" s="54">
        <v>80</v>
      </c>
      <c r="AD11" s="54">
        <v>70</v>
      </c>
      <c r="AE11" s="54">
        <v>90</v>
      </c>
      <c r="AF11" s="54">
        <v>100</v>
      </c>
      <c r="AG11" s="54">
        <v>90</v>
      </c>
      <c r="AH11" s="54">
        <v>80</v>
      </c>
      <c r="AI11" s="54">
        <v>80</v>
      </c>
      <c r="AJ11" s="54">
        <v>80</v>
      </c>
      <c r="AK11" s="55">
        <f t="shared" si="1"/>
        <v>83.3333333333333</v>
      </c>
      <c r="AL11" s="56">
        <f t="shared" si="4"/>
        <v>0.833333333333333</v>
      </c>
      <c r="AM11" s="57">
        <f>N11*0.2+Z11*0.3+AK11*0.5</f>
        <v>89.1666666666667</v>
      </c>
      <c r="AN11" s="32"/>
    </row>
    <row r="12" spans="1:40">
      <c r="A12" s="50" t="s">
        <v>30</v>
      </c>
      <c r="B12" s="51" t="s">
        <v>31</v>
      </c>
      <c r="C12" s="52">
        <v>8</v>
      </c>
      <c r="D12" s="52">
        <v>8</v>
      </c>
      <c r="E12" s="52">
        <v>9</v>
      </c>
      <c r="F12" s="52">
        <v>0</v>
      </c>
      <c r="G12" s="52">
        <v>9</v>
      </c>
      <c r="H12" s="52">
        <v>8</v>
      </c>
      <c r="I12" s="52">
        <v>9</v>
      </c>
      <c r="J12" s="52">
        <v>9</v>
      </c>
      <c r="K12" s="52">
        <v>8</v>
      </c>
      <c r="L12" s="52">
        <v>0</v>
      </c>
      <c r="M12" s="52">
        <f>SUM(I12:L12)</f>
        <v>26</v>
      </c>
      <c r="N12" s="52">
        <f t="shared" si="0"/>
        <v>81</v>
      </c>
      <c r="O12" s="53">
        <f t="shared" si="2"/>
        <v>0.81</v>
      </c>
      <c r="P12" s="54">
        <v>100</v>
      </c>
      <c r="Q12" s="54">
        <v>80</v>
      </c>
      <c r="R12" s="54">
        <v>100</v>
      </c>
      <c r="S12" s="54">
        <v>80</v>
      </c>
      <c r="T12" s="54">
        <v>100</v>
      </c>
      <c r="U12" s="54">
        <v>100</v>
      </c>
      <c r="V12" s="54">
        <v>0</v>
      </c>
      <c r="W12" s="54">
        <v>100</v>
      </c>
      <c r="X12" s="54">
        <v>100</v>
      </c>
      <c r="Y12" s="54">
        <v>100</v>
      </c>
      <c r="Z12" s="47">
        <f>AVERAGE(P12:Y12)</f>
        <v>86</v>
      </c>
      <c r="AA12" s="53">
        <f t="shared" si="3"/>
        <v>0.86</v>
      </c>
      <c r="AB12" s="54">
        <v>70</v>
      </c>
      <c r="AC12" s="54">
        <v>50</v>
      </c>
      <c r="AD12" s="54">
        <v>60</v>
      </c>
      <c r="AE12" s="54">
        <v>90</v>
      </c>
      <c r="AF12" s="54">
        <v>90</v>
      </c>
      <c r="AG12" s="54">
        <v>90</v>
      </c>
      <c r="AH12" s="54">
        <v>80</v>
      </c>
      <c r="AI12" s="54">
        <v>90</v>
      </c>
      <c r="AJ12" s="54">
        <v>80</v>
      </c>
      <c r="AK12" s="55">
        <f t="shared" si="1"/>
        <v>77.7777777777778</v>
      </c>
      <c r="AL12" s="56">
        <f t="shared" si="4"/>
        <v>0.777777777777778</v>
      </c>
      <c r="AM12" s="57">
        <f>N12*0.2+Z12*0.3+AK12*0.5</f>
        <v>80.8888888888889</v>
      </c>
      <c r="AN12" s="32"/>
    </row>
    <row r="13" spans="1:40">
      <c r="A13" s="50" t="s">
        <v>32</v>
      </c>
      <c r="B13" s="51" t="s">
        <v>33</v>
      </c>
      <c r="C13" s="52">
        <v>8</v>
      </c>
      <c r="D13" s="52">
        <v>8</v>
      </c>
      <c r="E13" s="52">
        <v>10</v>
      </c>
      <c r="F13" s="52">
        <v>9</v>
      </c>
      <c r="G13" s="52">
        <v>9</v>
      </c>
      <c r="H13" s="52">
        <v>8</v>
      </c>
      <c r="I13" s="52">
        <v>9</v>
      </c>
      <c r="J13" s="52">
        <v>9</v>
      </c>
      <c r="K13" s="52">
        <v>8</v>
      </c>
      <c r="L13" s="52">
        <v>8</v>
      </c>
      <c r="M13" s="52">
        <f>SUM(I13:L13)</f>
        <v>34</v>
      </c>
      <c r="N13" s="52">
        <f t="shared" si="0"/>
        <v>89</v>
      </c>
      <c r="O13" s="53">
        <f t="shared" si="2"/>
        <v>0.89</v>
      </c>
      <c r="P13" s="54">
        <v>100</v>
      </c>
      <c r="Q13" s="54">
        <v>80</v>
      </c>
      <c r="R13" s="54">
        <v>100</v>
      </c>
      <c r="S13" s="54">
        <v>80</v>
      </c>
      <c r="T13" s="54">
        <v>100</v>
      </c>
      <c r="U13" s="54">
        <v>100</v>
      </c>
      <c r="V13" s="54">
        <v>90</v>
      </c>
      <c r="W13" s="54">
        <v>100</v>
      </c>
      <c r="X13" s="54">
        <v>100</v>
      </c>
      <c r="Y13" s="54">
        <v>90</v>
      </c>
      <c r="Z13" s="47">
        <f>AVERAGE(P13:Y13)</f>
        <v>94</v>
      </c>
      <c r="AA13" s="53">
        <f t="shared" si="3"/>
        <v>0.94</v>
      </c>
      <c r="AB13" s="54">
        <v>80</v>
      </c>
      <c r="AC13" s="54">
        <v>60</v>
      </c>
      <c r="AD13" s="54">
        <v>60</v>
      </c>
      <c r="AE13" s="54">
        <v>90</v>
      </c>
      <c r="AF13" s="54">
        <v>100</v>
      </c>
      <c r="AG13" s="54">
        <v>90</v>
      </c>
      <c r="AH13" s="54">
        <v>80</v>
      </c>
      <c r="AI13" s="54">
        <v>90</v>
      </c>
      <c r="AJ13" s="54">
        <v>80</v>
      </c>
      <c r="AK13" s="55">
        <f t="shared" si="1"/>
        <v>81.1111111111111</v>
      </c>
      <c r="AL13" s="56">
        <f t="shared" si="4"/>
        <v>0.811111111111111</v>
      </c>
      <c r="AM13" s="57">
        <f>N13*0.2+Z13*0.3+AK13*0.5</f>
        <v>86.5555555555556</v>
      </c>
      <c r="AN13" s="32"/>
    </row>
    <row r="14" spans="1:40">
      <c r="A14" s="50" t="s">
        <v>34</v>
      </c>
      <c r="B14" s="51" t="s">
        <v>35</v>
      </c>
      <c r="C14" s="52">
        <v>8</v>
      </c>
      <c r="D14" s="52">
        <v>8</v>
      </c>
      <c r="E14" s="52">
        <v>10</v>
      </c>
      <c r="F14" s="52">
        <v>9</v>
      </c>
      <c r="G14" s="52">
        <v>9</v>
      </c>
      <c r="H14" s="52">
        <v>8</v>
      </c>
      <c r="I14" s="52">
        <v>9</v>
      </c>
      <c r="J14" s="52">
        <v>9</v>
      </c>
      <c r="K14" s="52">
        <v>8</v>
      </c>
      <c r="L14" s="52">
        <v>8</v>
      </c>
      <c r="M14" s="52">
        <f t="shared" ref="M14:M44" si="5">SUM(I14:L14)</f>
        <v>34</v>
      </c>
      <c r="N14" s="52">
        <f t="shared" ref="N14:N44" si="6">M14+55</f>
        <v>89</v>
      </c>
      <c r="O14" s="53">
        <f>N14/100</f>
        <v>0.89</v>
      </c>
      <c r="P14" s="54">
        <v>100</v>
      </c>
      <c r="Q14" s="54">
        <v>100</v>
      </c>
      <c r="R14" s="54">
        <v>100</v>
      </c>
      <c r="S14" s="54">
        <v>80</v>
      </c>
      <c r="T14" s="54">
        <v>100</v>
      </c>
      <c r="U14" s="54">
        <v>100</v>
      </c>
      <c r="V14" s="54">
        <v>90</v>
      </c>
      <c r="W14" s="54">
        <v>100</v>
      </c>
      <c r="X14" s="54">
        <v>100</v>
      </c>
      <c r="Y14" s="54">
        <v>100</v>
      </c>
      <c r="Z14" s="47">
        <f t="shared" ref="Z14:Z54" si="7">AVERAGE(P14:Y14)</f>
        <v>97</v>
      </c>
      <c r="AA14" s="53">
        <f t="shared" ref="AA14:AA23" si="8">Z14*0.01</f>
        <v>0.97</v>
      </c>
      <c r="AB14" s="54">
        <v>80</v>
      </c>
      <c r="AC14" s="54">
        <v>70</v>
      </c>
      <c r="AD14" s="54">
        <v>60</v>
      </c>
      <c r="AE14" s="54">
        <v>90</v>
      </c>
      <c r="AF14" s="54">
        <v>100</v>
      </c>
      <c r="AG14" s="54">
        <v>70</v>
      </c>
      <c r="AH14" s="54">
        <v>80</v>
      </c>
      <c r="AI14" s="54">
        <v>90</v>
      </c>
      <c r="AJ14" s="54">
        <v>70</v>
      </c>
      <c r="AK14" s="55">
        <f t="shared" ref="AK14:AK44" si="9">AVERAGE(AB14:AJ14)</f>
        <v>78.8888888888889</v>
      </c>
      <c r="AL14" s="56">
        <f>AK14*0.01</f>
        <v>0.788888888888889</v>
      </c>
      <c r="AM14" s="57">
        <f t="shared" ref="AM14:AM37" si="10">N14*0.2+Z14*0.3+AK14*0.5</f>
        <v>86.3444444444444</v>
      </c>
      <c r="AN14" s="32"/>
    </row>
    <row r="15" spans="1:40">
      <c r="A15" s="50" t="s">
        <v>36</v>
      </c>
      <c r="B15" s="51" t="s">
        <v>37</v>
      </c>
      <c r="C15" s="52">
        <v>8</v>
      </c>
      <c r="D15" s="52">
        <v>8</v>
      </c>
      <c r="E15" s="52">
        <v>9</v>
      </c>
      <c r="F15" s="52">
        <v>9</v>
      </c>
      <c r="G15" s="52">
        <v>9</v>
      </c>
      <c r="H15" s="52">
        <v>8</v>
      </c>
      <c r="I15" s="52">
        <v>9</v>
      </c>
      <c r="J15" s="52">
        <v>9</v>
      </c>
      <c r="K15" s="52">
        <v>8</v>
      </c>
      <c r="L15" s="52">
        <v>0</v>
      </c>
      <c r="M15" s="52">
        <f t="shared" si="5"/>
        <v>26</v>
      </c>
      <c r="N15" s="52">
        <f t="shared" si="6"/>
        <v>81</v>
      </c>
      <c r="O15" s="53">
        <f t="shared" ref="O15:O24" si="11">N15/100</f>
        <v>0.81</v>
      </c>
      <c r="P15" s="54">
        <v>100</v>
      </c>
      <c r="Q15" s="54">
        <v>80</v>
      </c>
      <c r="R15" s="54">
        <v>100</v>
      </c>
      <c r="S15" s="54">
        <v>100</v>
      </c>
      <c r="T15" s="54">
        <v>100</v>
      </c>
      <c r="U15" s="54">
        <v>100</v>
      </c>
      <c r="V15" s="54">
        <v>80</v>
      </c>
      <c r="W15" s="54">
        <v>80</v>
      </c>
      <c r="X15" s="54">
        <v>100</v>
      </c>
      <c r="Y15" s="54">
        <v>100</v>
      </c>
      <c r="Z15" s="47">
        <f t="shared" si="7"/>
        <v>94</v>
      </c>
      <c r="AA15" s="53">
        <f t="shared" si="8"/>
        <v>0.94</v>
      </c>
      <c r="AB15" s="54">
        <v>60</v>
      </c>
      <c r="AC15" s="54">
        <v>50</v>
      </c>
      <c r="AD15" s="54">
        <v>70</v>
      </c>
      <c r="AE15" s="54">
        <v>90</v>
      </c>
      <c r="AF15" s="54">
        <v>100</v>
      </c>
      <c r="AG15" s="54">
        <v>100</v>
      </c>
      <c r="AH15" s="54">
        <v>80</v>
      </c>
      <c r="AI15" s="54">
        <v>80</v>
      </c>
      <c r="AJ15" s="54">
        <v>80</v>
      </c>
      <c r="AK15" s="55">
        <f t="shared" si="9"/>
        <v>78.8888888888889</v>
      </c>
      <c r="AL15" s="56">
        <f t="shared" ref="AL15:AL25" si="12">AK15*0.01</f>
        <v>0.788888888888889</v>
      </c>
      <c r="AM15" s="57">
        <f t="shared" si="10"/>
        <v>83.8444444444444</v>
      </c>
      <c r="AN15" s="32"/>
    </row>
    <row r="16" spans="1:40">
      <c r="A16" s="50" t="s">
        <v>38</v>
      </c>
      <c r="B16" s="51" t="s">
        <v>39</v>
      </c>
      <c r="C16" s="52">
        <v>8</v>
      </c>
      <c r="D16" s="52">
        <v>8</v>
      </c>
      <c r="E16" s="52">
        <v>9</v>
      </c>
      <c r="F16" s="52">
        <v>9</v>
      </c>
      <c r="G16" s="52">
        <v>9</v>
      </c>
      <c r="H16" s="52">
        <v>8</v>
      </c>
      <c r="I16" s="52">
        <v>9</v>
      </c>
      <c r="J16" s="52">
        <v>9</v>
      </c>
      <c r="K16" s="52">
        <v>8</v>
      </c>
      <c r="L16" s="52">
        <v>8</v>
      </c>
      <c r="M16" s="52">
        <f t="shared" si="5"/>
        <v>34</v>
      </c>
      <c r="N16" s="52">
        <f t="shared" si="6"/>
        <v>89</v>
      </c>
      <c r="O16" s="53">
        <f t="shared" si="11"/>
        <v>0.89</v>
      </c>
      <c r="P16" s="54">
        <v>100</v>
      </c>
      <c r="Q16" s="54">
        <v>100</v>
      </c>
      <c r="R16" s="54">
        <v>100</v>
      </c>
      <c r="S16" s="54">
        <v>100</v>
      </c>
      <c r="T16" s="54">
        <v>100</v>
      </c>
      <c r="U16" s="54">
        <v>100</v>
      </c>
      <c r="V16" s="54">
        <v>100</v>
      </c>
      <c r="W16" s="54">
        <v>100</v>
      </c>
      <c r="X16" s="54">
        <v>100</v>
      </c>
      <c r="Y16" s="54">
        <v>100</v>
      </c>
      <c r="Z16" s="47">
        <f t="shared" si="7"/>
        <v>100</v>
      </c>
      <c r="AA16" s="53">
        <f t="shared" si="8"/>
        <v>1</v>
      </c>
      <c r="AB16" s="54">
        <v>80</v>
      </c>
      <c r="AC16" s="54">
        <v>70</v>
      </c>
      <c r="AD16" s="54">
        <v>60</v>
      </c>
      <c r="AE16" s="54">
        <v>100</v>
      </c>
      <c r="AF16" s="54">
        <v>100</v>
      </c>
      <c r="AG16" s="54">
        <v>100</v>
      </c>
      <c r="AH16" s="54">
        <v>90</v>
      </c>
      <c r="AI16" s="54">
        <v>90</v>
      </c>
      <c r="AJ16" s="54">
        <v>80</v>
      </c>
      <c r="AK16" s="55">
        <f t="shared" si="9"/>
        <v>85.5555555555556</v>
      </c>
      <c r="AL16" s="56">
        <f t="shared" si="12"/>
        <v>0.855555555555556</v>
      </c>
      <c r="AM16" s="57">
        <f t="shared" si="10"/>
        <v>90.5777777777778</v>
      </c>
      <c r="AN16" s="32"/>
    </row>
    <row r="17" spans="1:40">
      <c r="A17" s="50" t="s">
        <v>40</v>
      </c>
      <c r="B17" s="51" t="s">
        <v>41</v>
      </c>
      <c r="C17" s="52">
        <v>8</v>
      </c>
      <c r="D17" s="52">
        <v>8</v>
      </c>
      <c r="E17" s="52">
        <v>10</v>
      </c>
      <c r="F17" s="52">
        <v>9</v>
      </c>
      <c r="G17" s="52">
        <v>9</v>
      </c>
      <c r="H17" s="52">
        <v>8</v>
      </c>
      <c r="I17" s="52">
        <v>9</v>
      </c>
      <c r="J17" s="52">
        <v>9</v>
      </c>
      <c r="K17" s="52">
        <v>8</v>
      </c>
      <c r="L17" s="52">
        <v>8</v>
      </c>
      <c r="M17" s="52">
        <f t="shared" si="5"/>
        <v>34</v>
      </c>
      <c r="N17" s="52">
        <f t="shared" si="6"/>
        <v>89</v>
      </c>
      <c r="O17" s="53">
        <f t="shared" si="11"/>
        <v>0.89</v>
      </c>
      <c r="P17" s="54">
        <v>100</v>
      </c>
      <c r="Q17" s="54">
        <v>80</v>
      </c>
      <c r="R17" s="54">
        <v>100</v>
      </c>
      <c r="S17" s="54">
        <v>80</v>
      </c>
      <c r="T17" s="54">
        <v>100</v>
      </c>
      <c r="U17" s="54">
        <v>100</v>
      </c>
      <c r="V17" s="54">
        <v>90</v>
      </c>
      <c r="W17" s="54">
        <v>80</v>
      </c>
      <c r="X17" s="54">
        <v>100</v>
      </c>
      <c r="Y17" s="54">
        <v>80</v>
      </c>
      <c r="Z17" s="47">
        <f t="shared" si="7"/>
        <v>91</v>
      </c>
      <c r="AA17" s="53">
        <f t="shared" si="8"/>
        <v>0.91</v>
      </c>
      <c r="AB17" s="54">
        <v>80</v>
      </c>
      <c r="AC17" s="54">
        <v>60</v>
      </c>
      <c r="AD17" s="54">
        <v>60</v>
      </c>
      <c r="AE17" s="54">
        <v>90</v>
      </c>
      <c r="AF17" s="54">
        <v>100</v>
      </c>
      <c r="AG17" s="54">
        <v>90</v>
      </c>
      <c r="AH17" s="54">
        <v>80</v>
      </c>
      <c r="AI17" s="54">
        <v>90</v>
      </c>
      <c r="AJ17" s="54">
        <v>70</v>
      </c>
      <c r="AK17" s="55">
        <f t="shared" si="9"/>
        <v>80</v>
      </c>
      <c r="AL17" s="56">
        <f t="shared" si="12"/>
        <v>0.8</v>
      </c>
      <c r="AM17" s="57">
        <f t="shared" si="10"/>
        <v>85.1</v>
      </c>
      <c r="AN17" s="32"/>
    </row>
    <row r="18" spans="1:40">
      <c r="A18" s="50" t="s">
        <v>42</v>
      </c>
      <c r="B18" s="51" t="s">
        <v>43</v>
      </c>
      <c r="C18" s="52">
        <v>8</v>
      </c>
      <c r="D18" s="52">
        <v>0</v>
      </c>
      <c r="E18" s="52">
        <v>9</v>
      </c>
      <c r="F18" s="52">
        <v>9</v>
      </c>
      <c r="G18" s="52">
        <v>0</v>
      </c>
      <c r="H18" s="52">
        <v>8</v>
      </c>
      <c r="I18" s="52">
        <v>9</v>
      </c>
      <c r="J18" s="52">
        <v>9</v>
      </c>
      <c r="K18" s="52">
        <v>8</v>
      </c>
      <c r="L18" s="52">
        <v>0</v>
      </c>
      <c r="M18" s="52">
        <f t="shared" si="5"/>
        <v>26</v>
      </c>
      <c r="N18" s="52">
        <f t="shared" si="6"/>
        <v>81</v>
      </c>
      <c r="O18" s="53">
        <f t="shared" si="11"/>
        <v>0.81</v>
      </c>
      <c r="P18" s="54">
        <v>100</v>
      </c>
      <c r="Q18" s="54">
        <v>100</v>
      </c>
      <c r="R18" s="54">
        <v>100</v>
      </c>
      <c r="S18" s="54">
        <v>80</v>
      </c>
      <c r="T18" s="54">
        <v>80</v>
      </c>
      <c r="U18" s="54">
        <v>80</v>
      </c>
      <c r="V18" s="54">
        <v>80</v>
      </c>
      <c r="W18" s="54">
        <v>100</v>
      </c>
      <c r="X18" s="54">
        <v>100</v>
      </c>
      <c r="Y18" s="54">
        <v>100</v>
      </c>
      <c r="Z18" s="47">
        <f t="shared" si="7"/>
        <v>92</v>
      </c>
      <c r="AA18" s="53">
        <f t="shared" si="8"/>
        <v>0.92</v>
      </c>
      <c r="AB18" s="54">
        <v>60</v>
      </c>
      <c r="AC18" s="54">
        <v>60</v>
      </c>
      <c r="AD18" s="54">
        <v>70</v>
      </c>
      <c r="AE18" s="54">
        <v>90</v>
      </c>
      <c r="AF18" s="54">
        <v>100</v>
      </c>
      <c r="AG18" s="54">
        <v>100</v>
      </c>
      <c r="AH18" s="54">
        <v>90</v>
      </c>
      <c r="AI18" s="54">
        <v>80</v>
      </c>
      <c r="AJ18" s="54">
        <v>80</v>
      </c>
      <c r="AK18" s="55">
        <f t="shared" si="9"/>
        <v>81.1111111111111</v>
      </c>
      <c r="AL18" s="56">
        <f t="shared" si="12"/>
        <v>0.811111111111111</v>
      </c>
      <c r="AM18" s="57">
        <f t="shared" si="10"/>
        <v>84.3555555555556</v>
      </c>
      <c r="AN18" s="32"/>
    </row>
    <row r="19" spans="1:40">
      <c r="A19" s="50" t="s">
        <v>44</v>
      </c>
      <c r="B19" s="51" t="s">
        <v>45</v>
      </c>
      <c r="C19" s="52">
        <v>8</v>
      </c>
      <c r="D19" s="52">
        <v>8</v>
      </c>
      <c r="E19" s="52">
        <v>10</v>
      </c>
      <c r="F19" s="52">
        <v>9</v>
      </c>
      <c r="G19" s="52">
        <v>9</v>
      </c>
      <c r="H19" s="52">
        <v>8</v>
      </c>
      <c r="I19" s="52">
        <v>9</v>
      </c>
      <c r="J19" s="52">
        <v>9</v>
      </c>
      <c r="K19" s="52">
        <v>0</v>
      </c>
      <c r="L19" s="52">
        <v>8</v>
      </c>
      <c r="M19" s="52">
        <f t="shared" si="5"/>
        <v>26</v>
      </c>
      <c r="N19" s="52">
        <f t="shared" si="6"/>
        <v>81</v>
      </c>
      <c r="O19" s="53">
        <f t="shared" si="11"/>
        <v>0.81</v>
      </c>
      <c r="P19" s="54">
        <v>100</v>
      </c>
      <c r="Q19" s="54">
        <v>100</v>
      </c>
      <c r="R19" s="54">
        <v>100</v>
      </c>
      <c r="S19" s="54">
        <v>90</v>
      </c>
      <c r="T19" s="54">
        <v>100</v>
      </c>
      <c r="U19" s="54">
        <v>100</v>
      </c>
      <c r="V19" s="54">
        <v>100</v>
      </c>
      <c r="W19" s="54">
        <v>100</v>
      </c>
      <c r="X19" s="54">
        <v>100</v>
      </c>
      <c r="Y19" s="54">
        <v>100</v>
      </c>
      <c r="Z19" s="47">
        <f t="shared" si="7"/>
        <v>99</v>
      </c>
      <c r="AA19" s="53">
        <f t="shared" si="8"/>
        <v>0.99</v>
      </c>
      <c r="AB19" s="54">
        <v>80</v>
      </c>
      <c r="AC19" s="54">
        <v>70</v>
      </c>
      <c r="AD19" s="54">
        <v>60</v>
      </c>
      <c r="AE19" s="54">
        <v>90</v>
      </c>
      <c r="AF19" s="54">
        <v>100</v>
      </c>
      <c r="AG19" s="54">
        <v>100</v>
      </c>
      <c r="AH19" s="54">
        <v>90</v>
      </c>
      <c r="AI19" s="54">
        <v>90</v>
      </c>
      <c r="AJ19" s="54">
        <v>80</v>
      </c>
      <c r="AK19" s="55">
        <f t="shared" si="9"/>
        <v>84.4444444444444</v>
      </c>
      <c r="AL19" s="56">
        <f t="shared" si="12"/>
        <v>0.844444444444444</v>
      </c>
      <c r="AM19" s="57">
        <f t="shared" si="10"/>
        <v>88.1222222222222</v>
      </c>
      <c r="AN19" s="32"/>
    </row>
    <row r="20" spans="1:40">
      <c r="A20" s="50" t="s">
        <v>46</v>
      </c>
      <c r="B20" s="51" t="s">
        <v>47</v>
      </c>
      <c r="C20" s="52">
        <v>8</v>
      </c>
      <c r="D20" s="52">
        <v>8</v>
      </c>
      <c r="E20" s="52">
        <v>9</v>
      </c>
      <c r="F20" s="52">
        <v>9</v>
      </c>
      <c r="G20" s="52">
        <v>0</v>
      </c>
      <c r="H20" s="52">
        <v>8</v>
      </c>
      <c r="I20" s="52">
        <v>9</v>
      </c>
      <c r="J20" s="52">
        <v>9</v>
      </c>
      <c r="K20" s="52">
        <v>0</v>
      </c>
      <c r="L20" s="52">
        <v>8</v>
      </c>
      <c r="M20" s="52">
        <f t="shared" si="5"/>
        <v>26</v>
      </c>
      <c r="N20" s="52">
        <f t="shared" si="6"/>
        <v>81</v>
      </c>
      <c r="O20" s="53">
        <f t="shared" si="11"/>
        <v>0.81</v>
      </c>
      <c r="P20" s="54">
        <v>100</v>
      </c>
      <c r="Q20" s="54">
        <v>100</v>
      </c>
      <c r="R20" s="54">
        <v>100</v>
      </c>
      <c r="S20" s="54">
        <v>90</v>
      </c>
      <c r="T20" s="54">
        <v>90</v>
      </c>
      <c r="U20" s="54">
        <v>90</v>
      </c>
      <c r="V20" s="54">
        <v>90</v>
      </c>
      <c r="W20" s="54">
        <v>100</v>
      </c>
      <c r="X20" s="54">
        <v>100</v>
      </c>
      <c r="Y20" s="54">
        <v>80</v>
      </c>
      <c r="Z20" s="47">
        <f t="shared" si="7"/>
        <v>94</v>
      </c>
      <c r="AA20" s="53">
        <f t="shared" si="8"/>
        <v>0.94</v>
      </c>
      <c r="AB20" s="54">
        <v>80</v>
      </c>
      <c r="AC20" s="54">
        <v>100</v>
      </c>
      <c r="AD20" s="54">
        <v>80</v>
      </c>
      <c r="AE20" s="54">
        <v>90</v>
      </c>
      <c r="AF20" s="54">
        <v>80</v>
      </c>
      <c r="AG20" s="54">
        <v>100</v>
      </c>
      <c r="AH20" s="54">
        <v>80</v>
      </c>
      <c r="AI20" s="54">
        <v>90</v>
      </c>
      <c r="AJ20" s="54">
        <v>80</v>
      </c>
      <c r="AK20" s="55">
        <f t="shared" si="9"/>
        <v>86.6666666666667</v>
      </c>
      <c r="AL20" s="56">
        <f t="shared" si="12"/>
        <v>0.866666666666667</v>
      </c>
      <c r="AM20" s="57">
        <f t="shared" si="10"/>
        <v>87.7333333333333</v>
      </c>
      <c r="AN20" s="32"/>
    </row>
    <row r="21" spans="1:40">
      <c r="A21" s="50" t="s">
        <v>48</v>
      </c>
      <c r="B21" s="51" t="s">
        <v>49</v>
      </c>
      <c r="C21" s="52">
        <v>8</v>
      </c>
      <c r="D21" s="52">
        <v>8</v>
      </c>
      <c r="E21" s="52">
        <v>9</v>
      </c>
      <c r="F21" s="52">
        <v>9</v>
      </c>
      <c r="G21" s="52">
        <v>0</v>
      </c>
      <c r="H21" s="52">
        <v>8</v>
      </c>
      <c r="I21" s="52">
        <v>9</v>
      </c>
      <c r="J21" s="52">
        <v>9</v>
      </c>
      <c r="K21" s="52">
        <v>8</v>
      </c>
      <c r="L21" s="52">
        <v>8</v>
      </c>
      <c r="M21" s="52">
        <f t="shared" si="5"/>
        <v>34</v>
      </c>
      <c r="N21" s="52">
        <f t="shared" si="6"/>
        <v>89</v>
      </c>
      <c r="O21" s="53">
        <f t="shared" si="11"/>
        <v>0.89</v>
      </c>
      <c r="P21" s="54">
        <v>100</v>
      </c>
      <c r="Q21" s="54">
        <v>100</v>
      </c>
      <c r="R21" s="54">
        <v>100</v>
      </c>
      <c r="S21" s="54">
        <v>90</v>
      </c>
      <c r="T21" s="54">
        <v>100</v>
      </c>
      <c r="U21" s="54">
        <v>100</v>
      </c>
      <c r="V21" s="54">
        <v>80</v>
      </c>
      <c r="W21" s="54">
        <v>100</v>
      </c>
      <c r="X21" s="54">
        <v>100</v>
      </c>
      <c r="Y21" s="54">
        <v>80</v>
      </c>
      <c r="Z21" s="47">
        <f t="shared" si="7"/>
        <v>95</v>
      </c>
      <c r="AA21" s="53">
        <f t="shared" si="8"/>
        <v>0.95</v>
      </c>
      <c r="AB21" s="54">
        <v>70</v>
      </c>
      <c r="AC21" s="54">
        <v>100</v>
      </c>
      <c r="AD21" s="54">
        <v>80</v>
      </c>
      <c r="AE21" s="54">
        <v>90</v>
      </c>
      <c r="AF21" s="54">
        <v>100</v>
      </c>
      <c r="AG21" s="54">
        <v>90</v>
      </c>
      <c r="AH21" s="54">
        <v>70</v>
      </c>
      <c r="AI21" s="54">
        <v>90</v>
      </c>
      <c r="AJ21" s="54">
        <v>80</v>
      </c>
      <c r="AK21" s="55">
        <f t="shared" si="9"/>
        <v>85.5555555555556</v>
      </c>
      <c r="AL21" s="56">
        <f t="shared" si="12"/>
        <v>0.855555555555556</v>
      </c>
      <c r="AM21" s="57">
        <f t="shared" si="10"/>
        <v>89.0777777777778</v>
      </c>
      <c r="AN21" s="32"/>
    </row>
    <row r="22" spans="1:40">
      <c r="A22" s="50" t="s">
        <v>50</v>
      </c>
      <c r="B22" s="51" t="s">
        <v>51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f t="shared" si="5"/>
        <v>0</v>
      </c>
      <c r="N22" s="52">
        <f t="shared" si="6"/>
        <v>55</v>
      </c>
      <c r="O22" s="53">
        <f t="shared" si="11"/>
        <v>0.55</v>
      </c>
      <c r="P22" s="54">
        <v>0</v>
      </c>
      <c r="Q22" s="54">
        <v>0</v>
      </c>
      <c r="R22" s="54">
        <v>0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47">
        <f t="shared" si="7"/>
        <v>0</v>
      </c>
      <c r="AA22" s="53">
        <f t="shared" si="8"/>
        <v>0</v>
      </c>
      <c r="AB22" s="54">
        <v>0</v>
      </c>
      <c r="AC22" s="54">
        <v>70</v>
      </c>
      <c r="AD22" s="54">
        <v>90</v>
      </c>
      <c r="AE22" s="54">
        <v>90</v>
      </c>
      <c r="AF22" s="54">
        <v>80</v>
      </c>
      <c r="AG22" s="54">
        <v>80</v>
      </c>
      <c r="AH22" s="54">
        <v>80</v>
      </c>
      <c r="AI22" s="54">
        <v>80</v>
      </c>
      <c r="AJ22" s="54">
        <v>0</v>
      </c>
      <c r="AK22" s="55">
        <f t="shared" si="9"/>
        <v>63.3333333333333</v>
      </c>
      <c r="AL22" s="56">
        <f t="shared" si="12"/>
        <v>0.633333333333333</v>
      </c>
      <c r="AM22" s="57">
        <f t="shared" si="10"/>
        <v>42.6666666666667</v>
      </c>
      <c r="AN22" s="32"/>
    </row>
    <row r="23" spans="1:40">
      <c r="A23" s="50" t="s">
        <v>52</v>
      </c>
      <c r="B23" s="51" t="s">
        <v>53</v>
      </c>
      <c r="C23" s="52">
        <v>8</v>
      </c>
      <c r="D23" s="52">
        <v>8</v>
      </c>
      <c r="E23" s="52">
        <v>9</v>
      </c>
      <c r="F23" s="52">
        <v>9</v>
      </c>
      <c r="G23" s="52">
        <v>0</v>
      </c>
      <c r="H23" s="52">
        <v>8</v>
      </c>
      <c r="I23" s="52">
        <v>9</v>
      </c>
      <c r="J23" s="52">
        <v>9</v>
      </c>
      <c r="K23" s="52">
        <v>8</v>
      </c>
      <c r="L23" s="52">
        <v>8</v>
      </c>
      <c r="M23" s="52">
        <f t="shared" si="5"/>
        <v>34</v>
      </c>
      <c r="N23" s="52">
        <f t="shared" si="6"/>
        <v>89</v>
      </c>
      <c r="O23" s="53">
        <f t="shared" si="11"/>
        <v>0.89</v>
      </c>
      <c r="P23" s="54">
        <v>80</v>
      </c>
      <c r="Q23" s="54">
        <v>100</v>
      </c>
      <c r="R23" s="54">
        <v>60</v>
      </c>
      <c r="S23" s="54">
        <v>80</v>
      </c>
      <c r="T23" s="54">
        <v>100</v>
      </c>
      <c r="U23" s="54">
        <v>100</v>
      </c>
      <c r="V23" s="54">
        <v>100</v>
      </c>
      <c r="W23" s="54">
        <v>80</v>
      </c>
      <c r="X23" s="54">
        <v>100</v>
      </c>
      <c r="Y23" s="54">
        <v>100</v>
      </c>
      <c r="Z23" s="47">
        <f t="shared" si="7"/>
        <v>90</v>
      </c>
      <c r="AA23" s="53">
        <f t="shared" si="8"/>
        <v>0.9</v>
      </c>
      <c r="AB23" s="54">
        <v>50</v>
      </c>
      <c r="AC23" s="54">
        <v>100</v>
      </c>
      <c r="AD23" s="54">
        <v>50</v>
      </c>
      <c r="AE23" s="54">
        <v>90</v>
      </c>
      <c r="AF23" s="54">
        <v>90</v>
      </c>
      <c r="AG23" s="54">
        <v>80</v>
      </c>
      <c r="AH23" s="54">
        <v>70</v>
      </c>
      <c r="AI23" s="54">
        <v>80</v>
      </c>
      <c r="AJ23" s="54">
        <v>70</v>
      </c>
      <c r="AK23" s="55">
        <f t="shared" si="9"/>
        <v>75.5555555555556</v>
      </c>
      <c r="AL23" s="56">
        <f t="shared" si="12"/>
        <v>0.755555555555556</v>
      </c>
      <c r="AM23" s="57">
        <f t="shared" si="10"/>
        <v>82.5777777777778</v>
      </c>
      <c r="AN23" s="32"/>
    </row>
    <row r="24" spans="1:40">
      <c r="A24" s="50" t="s">
        <v>54</v>
      </c>
      <c r="B24" s="51" t="s">
        <v>55</v>
      </c>
      <c r="C24" s="52">
        <v>8</v>
      </c>
      <c r="D24" s="52">
        <v>8</v>
      </c>
      <c r="E24" s="52">
        <v>9</v>
      </c>
      <c r="F24" s="52">
        <v>0</v>
      </c>
      <c r="G24" s="52">
        <v>0</v>
      </c>
      <c r="H24" s="52">
        <v>0</v>
      </c>
      <c r="I24" s="52">
        <v>0</v>
      </c>
      <c r="J24" s="52">
        <v>9</v>
      </c>
      <c r="K24" s="52">
        <v>8</v>
      </c>
      <c r="L24" s="52">
        <v>0</v>
      </c>
      <c r="M24" s="52">
        <f t="shared" si="5"/>
        <v>17</v>
      </c>
      <c r="N24" s="52">
        <f t="shared" si="6"/>
        <v>72</v>
      </c>
      <c r="O24" s="53">
        <f t="shared" si="11"/>
        <v>0.72</v>
      </c>
      <c r="P24" s="54">
        <v>100</v>
      </c>
      <c r="Q24" s="54">
        <v>80</v>
      </c>
      <c r="R24" s="54">
        <v>100</v>
      </c>
      <c r="S24" s="54">
        <v>80</v>
      </c>
      <c r="T24" s="54">
        <v>100</v>
      </c>
      <c r="U24" s="54">
        <v>100</v>
      </c>
      <c r="V24" s="54">
        <v>80</v>
      </c>
      <c r="W24" s="54">
        <v>100</v>
      </c>
      <c r="X24" s="54">
        <v>100</v>
      </c>
      <c r="Y24" s="54">
        <v>100</v>
      </c>
      <c r="Z24" s="47">
        <f t="shared" si="7"/>
        <v>94</v>
      </c>
      <c r="AA24" s="53">
        <f t="shared" ref="AA24:AA33" si="13">Z24*0.01</f>
        <v>0.94</v>
      </c>
      <c r="AB24" s="54">
        <v>50</v>
      </c>
      <c r="AC24" s="54">
        <v>60</v>
      </c>
      <c r="AD24" s="54">
        <v>90</v>
      </c>
      <c r="AE24" s="54">
        <v>90</v>
      </c>
      <c r="AF24" s="54">
        <v>100</v>
      </c>
      <c r="AG24" s="54">
        <v>70</v>
      </c>
      <c r="AH24" s="54">
        <v>70</v>
      </c>
      <c r="AI24" s="54">
        <v>90</v>
      </c>
      <c r="AJ24" s="54">
        <v>70</v>
      </c>
      <c r="AK24" s="55">
        <f t="shared" si="9"/>
        <v>76.6666666666667</v>
      </c>
      <c r="AL24" s="56">
        <f t="shared" si="12"/>
        <v>0.766666666666667</v>
      </c>
      <c r="AM24" s="57">
        <f t="shared" si="10"/>
        <v>80.9333333333333</v>
      </c>
      <c r="AN24" s="32"/>
    </row>
    <row r="25" spans="1:40">
      <c r="A25" s="50" t="s">
        <v>56</v>
      </c>
      <c r="B25" s="51" t="s">
        <v>57</v>
      </c>
      <c r="C25" s="52">
        <v>7</v>
      </c>
      <c r="D25" s="52">
        <v>8</v>
      </c>
      <c r="E25" s="52">
        <v>9</v>
      </c>
      <c r="F25" s="47" t="s">
        <v>168</v>
      </c>
      <c r="G25" s="52">
        <v>9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f t="shared" si="5"/>
        <v>0</v>
      </c>
      <c r="N25" s="52">
        <f t="shared" si="6"/>
        <v>55</v>
      </c>
      <c r="O25" s="53">
        <f t="shared" ref="O25:O34" si="14">N25/100</f>
        <v>0.55</v>
      </c>
      <c r="P25" s="54">
        <v>100</v>
      </c>
      <c r="Q25" s="54">
        <v>100</v>
      </c>
      <c r="R25" s="54">
        <v>100</v>
      </c>
      <c r="S25" s="54">
        <v>60</v>
      </c>
      <c r="T25" s="54">
        <v>100</v>
      </c>
      <c r="U25" s="54">
        <v>100</v>
      </c>
      <c r="V25" s="54">
        <v>80</v>
      </c>
      <c r="W25" s="54">
        <v>80</v>
      </c>
      <c r="X25" s="54">
        <v>90</v>
      </c>
      <c r="Y25" s="54">
        <v>90</v>
      </c>
      <c r="Z25" s="47">
        <f t="shared" si="7"/>
        <v>90</v>
      </c>
      <c r="AA25" s="53">
        <f t="shared" si="13"/>
        <v>0.9</v>
      </c>
      <c r="AB25" s="54">
        <v>80</v>
      </c>
      <c r="AC25" s="54">
        <v>80</v>
      </c>
      <c r="AD25" s="54">
        <v>70</v>
      </c>
      <c r="AE25" s="54">
        <v>90</v>
      </c>
      <c r="AF25" s="54">
        <v>80</v>
      </c>
      <c r="AG25" s="54">
        <v>90</v>
      </c>
      <c r="AH25" s="54">
        <v>90</v>
      </c>
      <c r="AI25" s="54">
        <v>80</v>
      </c>
      <c r="AJ25" s="54">
        <v>70</v>
      </c>
      <c r="AK25" s="55">
        <f t="shared" si="9"/>
        <v>81.1111111111111</v>
      </c>
      <c r="AL25" s="56">
        <f t="shared" si="12"/>
        <v>0.811111111111111</v>
      </c>
      <c r="AM25" s="57">
        <f t="shared" si="10"/>
        <v>78.5555555555556</v>
      </c>
      <c r="AN25" s="32"/>
    </row>
    <row r="26" spans="1:40">
      <c r="A26" s="50" t="s">
        <v>58</v>
      </c>
      <c r="B26" s="51" t="s">
        <v>59</v>
      </c>
      <c r="C26" s="52">
        <v>8</v>
      </c>
      <c r="D26" s="52">
        <v>8</v>
      </c>
      <c r="E26" s="52">
        <v>9</v>
      </c>
      <c r="F26" s="52">
        <v>9</v>
      </c>
      <c r="G26" s="52">
        <v>9</v>
      </c>
      <c r="H26" s="52">
        <v>0</v>
      </c>
      <c r="I26" s="52">
        <v>9</v>
      </c>
      <c r="J26" s="52">
        <v>9</v>
      </c>
      <c r="K26" s="52">
        <v>8</v>
      </c>
      <c r="L26" s="52">
        <v>8</v>
      </c>
      <c r="M26" s="52">
        <f t="shared" si="5"/>
        <v>34</v>
      </c>
      <c r="N26" s="52">
        <f t="shared" si="6"/>
        <v>89</v>
      </c>
      <c r="O26" s="53">
        <f t="shared" si="14"/>
        <v>0.89</v>
      </c>
      <c r="P26" s="54">
        <v>100</v>
      </c>
      <c r="Q26" s="54">
        <v>80</v>
      </c>
      <c r="R26" s="54">
        <v>100</v>
      </c>
      <c r="S26" s="54">
        <v>80</v>
      </c>
      <c r="T26" s="54">
        <v>100</v>
      </c>
      <c r="U26" s="54">
        <v>100</v>
      </c>
      <c r="V26" s="54">
        <v>90</v>
      </c>
      <c r="W26" s="54">
        <v>100</v>
      </c>
      <c r="X26" s="54">
        <v>100</v>
      </c>
      <c r="Y26" s="54">
        <v>100</v>
      </c>
      <c r="Z26" s="47">
        <f t="shared" si="7"/>
        <v>95</v>
      </c>
      <c r="AA26" s="53">
        <f t="shared" si="13"/>
        <v>0.95</v>
      </c>
      <c r="AB26" s="54">
        <v>50</v>
      </c>
      <c r="AC26" s="54">
        <v>80</v>
      </c>
      <c r="AD26" s="54">
        <v>90</v>
      </c>
      <c r="AE26" s="54">
        <v>90</v>
      </c>
      <c r="AF26" s="54">
        <v>100</v>
      </c>
      <c r="AG26" s="54">
        <v>90</v>
      </c>
      <c r="AH26" s="54">
        <v>80</v>
      </c>
      <c r="AI26" s="54">
        <v>80</v>
      </c>
      <c r="AJ26" s="54">
        <v>0</v>
      </c>
      <c r="AK26" s="55">
        <f t="shared" si="9"/>
        <v>73.3333333333333</v>
      </c>
      <c r="AL26" s="56">
        <f t="shared" ref="AL26:AL35" si="15">AK26*0.01</f>
        <v>0.733333333333333</v>
      </c>
      <c r="AM26" s="57">
        <f t="shared" si="10"/>
        <v>82.9666666666667</v>
      </c>
      <c r="AN26" s="32"/>
    </row>
    <row r="27" spans="1:40">
      <c r="A27" s="50" t="s">
        <v>60</v>
      </c>
      <c r="B27" s="51" t="s">
        <v>61</v>
      </c>
      <c r="C27" s="52">
        <v>8</v>
      </c>
      <c r="D27" s="52">
        <v>8</v>
      </c>
      <c r="E27" s="52">
        <v>9</v>
      </c>
      <c r="F27" s="52">
        <v>9</v>
      </c>
      <c r="G27" s="52">
        <v>0</v>
      </c>
      <c r="H27" s="52">
        <v>8</v>
      </c>
      <c r="I27" s="52">
        <v>9</v>
      </c>
      <c r="J27" s="52">
        <v>9</v>
      </c>
      <c r="K27" s="52">
        <v>8</v>
      </c>
      <c r="L27" s="52">
        <v>0</v>
      </c>
      <c r="M27" s="52">
        <f t="shared" si="5"/>
        <v>26</v>
      </c>
      <c r="N27" s="52">
        <f t="shared" si="6"/>
        <v>81</v>
      </c>
      <c r="O27" s="53">
        <f t="shared" si="14"/>
        <v>0.81</v>
      </c>
      <c r="P27" s="54">
        <v>100</v>
      </c>
      <c r="Q27" s="54">
        <v>80</v>
      </c>
      <c r="R27" s="54">
        <v>100</v>
      </c>
      <c r="S27" s="54">
        <v>80</v>
      </c>
      <c r="T27" s="54">
        <v>80</v>
      </c>
      <c r="U27" s="54">
        <v>80</v>
      </c>
      <c r="V27" s="54">
        <v>100</v>
      </c>
      <c r="W27" s="54">
        <v>100</v>
      </c>
      <c r="X27" s="54">
        <v>100</v>
      </c>
      <c r="Y27" s="54">
        <v>100</v>
      </c>
      <c r="Z27" s="47">
        <f t="shared" si="7"/>
        <v>92</v>
      </c>
      <c r="AA27" s="53">
        <f t="shared" si="13"/>
        <v>0.92</v>
      </c>
      <c r="AB27" s="54">
        <v>80</v>
      </c>
      <c r="AC27" s="54">
        <v>80</v>
      </c>
      <c r="AD27" s="54">
        <v>80</v>
      </c>
      <c r="AE27" s="54">
        <v>90</v>
      </c>
      <c r="AF27" s="54">
        <v>100</v>
      </c>
      <c r="AG27" s="54">
        <v>90</v>
      </c>
      <c r="AH27" s="54">
        <v>80</v>
      </c>
      <c r="AI27" s="54">
        <v>80</v>
      </c>
      <c r="AJ27" s="54">
        <v>70</v>
      </c>
      <c r="AK27" s="55">
        <f t="shared" si="9"/>
        <v>83.3333333333333</v>
      </c>
      <c r="AL27" s="56">
        <f t="shared" si="15"/>
        <v>0.833333333333333</v>
      </c>
      <c r="AM27" s="57">
        <f t="shared" si="10"/>
        <v>85.4666666666667</v>
      </c>
      <c r="AN27" s="32"/>
    </row>
    <row r="28" spans="1:40">
      <c r="A28" s="50" t="s">
        <v>62</v>
      </c>
      <c r="B28" s="51" t="s">
        <v>63</v>
      </c>
      <c r="C28" s="52">
        <v>8</v>
      </c>
      <c r="D28" s="52">
        <v>8</v>
      </c>
      <c r="E28" s="52">
        <v>9</v>
      </c>
      <c r="F28" s="52">
        <v>9</v>
      </c>
      <c r="G28" s="52">
        <v>9</v>
      </c>
      <c r="H28" s="52">
        <v>8</v>
      </c>
      <c r="I28" s="52">
        <v>9</v>
      </c>
      <c r="J28" s="52">
        <v>9</v>
      </c>
      <c r="K28" s="52">
        <v>8</v>
      </c>
      <c r="L28" s="52">
        <v>8</v>
      </c>
      <c r="M28" s="52">
        <f t="shared" si="5"/>
        <v>34</v>
      </c>
      <c r="N28" s="52">
        <f t="shared" si="6"/>
        <v>89</v>
      </c>
      <c r="O28" s="53">
        <f t="shared" si="14"/>
        <v>0.89</v>
      </c>
      <c r="P28" s="54">
        <v>100</v>
      </c>
      <c r="Q28" s="54">
        <v>100</v>
      </c>
      <c r="R28" s="54">
        <v>100</v>
      </c>
      <c r="S28" s="54">
        <v>90</v>
      </c>
      <c r="T28" s="54">
        <v>100</v>
      </c>
      <c r="U28" s="54">
        <v>100</v>
      </c>
      <c r="V28" s="54">
        <v>100</v>
      </c>
      <c r="W28" s="54">
        <v>100</v>
      </c>
      <c r="X28" s="54">
        <v>100</v>
      </c>
      <c r="Y28" s="54">
        <v>100</v>
      </c>
      <c r="Z28" s="47">
        <f t="shared" si="7"/>
        <v>99</v>
      </c>
      <c r="AA28" s="53">
        <f t="shared" si="13"/>
        <v>0.99</v>
      </c>
      <c r="AB28" s="54">
        <v>50</v>
      </c>
      <c r="AC28" s="54">
        <v>100</v>
      </c>
      <c r="AD28" s="54">
        <v>70</v>
      </c>
      <c r="AE28" s="54">
        <v>90</v>
      </c>
      <c r="AF28" s="54">
        <v>90</v>
      </c>
      <c r="AG28" s="54">
        <v>80</v>
      </c>
      <c r="AH28" s="54">
        <v>80</v>
      </c>
      <c r="AI28" s="54">
        <v>80</v>
      </c>
      <c r="AJ28" s="54">
        <v>80</v>
      </c>
      <c r="AK28" s="55">
        <f t="shared" si="9"/>
        <v>80</v>
      </c>
      <c r="AL28" s="56">
        <f t="shared" si="15"/>
        <v>0.8</v>
      </c>
      <c r="AM28" s="57">
        <f t="shared" si="10"/>
        <v>87.5</v>
      </c>
      <c r="AN28" s="32"/>
    </row>
    <row r="29" spans="1:40">
      <c r="A29" s="50" t="s">
        <v>64</v>
      </c>
      <c r="B29" s="51" t="s">
        <v>65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8</v>
      </c>
      <c r="L29" s="52">
        <v>0</v>
      </c>
      <c r="M29" s="52">
        <f t="shared" si="5"/>
        <v>8</v>
      </c>
      <c r="N29" s="52">
        <f t="shared" si="6"/>
        <v>63</v>
      </c>
      <c r="O29" s="53">
        <f t="shared" si="14"/>
        <v>0.63</v>
      </c>
      <c r="P29" s="54">
        <v>100</v>
      </c>
      <c r="Q29" s="54">
        <v>80</v>
      </c>
      <c r="R29" s="54">
        <v>100</v>
      </c>
      <c r="S29" s="54">
        <v>90</v>
      </c>
      <c r="T29" s="54">
        <v>100</v>
      </c>
      <c r="U29" s="54">
        <v>100</v>
      </c>
      <c r="V29" s="54">
        <v>90</v>
      </c>
      <c r="W29" s="54">
        <v>80</v>
      </c>
      <c r="X29" s="54">
        <v>100</v>
      </c>
      <c r="Y29" s="54">
        <v>100</v>
      </c>
      <c r="Z29" s="47">
        <f t="shared" si="7"/>
        <v>94</v>
      </c>
      <c r="AA29" s="53">
        <f t="shared" si="13"/>
        <v>0.94</v>
      </c>
      <c r="AB29" s="54">
        <v>80</v>
      </c>
      <c r="AC29" s="54">
        <v>70</v>
      </c>
      <c r="AD29" s="54">
        <v>90</v>
      </c>
      <c r="AE29" s="54">
        <v>90</v>
      </c>
      <c r="AF29" s="54">
        <v>100</v>
      </c>
      <c r="AG29" s="54">
        <v>100</v>
      </c>
      <c r="AH29" s="54">
        <v>90</v>
      </c>
      <c r="AI29" s="54">
        <v>80</v>
      </c>
      <c r="AJ29" s="54">
        <v>80</v>
      </c>
      <c r="AK29" s="55">
        <f t="shared" si="9"/>
        <v>86.6666666666667</v>
      </c>
      <c r="AL29" s="56">
        <f t="shared" si="15"/>
        <v>0.866666666666667</v>
      </c>
      <c r="AM29" s="57">
        <f t="shared" si="10"/>
        <v>84.1333333333333</v>
      </c>
      <c r="AN29" s="32"/>
    </row>
    <row r="30" spans="1:40">
      <c r="A30" s="50" t="s">
        <v>66</v>
      </c>
      <c r="B30" s="51" t="s">
        <v>67</v>
      </c>
      <c r="C30" s="52">
        <v>8</v>
      </c>
      <c r="D30" s="52">
        <v>8</v>
      </c>
      <c r="E30" s="52">
        <v>10</v>
      </c>
      <c r="F30" s="52">
        <v>9</v>
      </c>
      <c r="G30" s="52">
        <v>9</v>
      </c>
      <c r="H30" s="52">
        <v>8</v>
      </c>
      <c r="I30" s="52">
        <v>9</v>
      </c>
      <c r="J30" s="52">
        <v>9</v>
      </c>
      <c r="K30" s="52">
        <v>0</v>
      </c>
      <c r="L30" s="52">
        <v>8</v>
      </c>
      <c r="M30" s="52">
        <f t="shared" si="5"/>
        <v>26</v>
      </c>
      <c r="N30" s="52">
        <f t="shared" si="6"/>
        <v>81</v>
      </c>
      <c r="O30" s="53">
        <f t="shared" si="14"/>
        <v>0.81</v>
      </c>
      <c r="P30" s="54">
        <v>100</v>
      </c>
      <c r="Q30" s="54">
        <v>100</v>
      </c>
      <c r="R30" s="54">
        <v>100</v>
      </c>
      <c r="S30" s="54">
        <v>90</v>
      </c>
      <c r="T30" s="54">
        <v>100</v>
      </c>
      <c r="U30" s="54">
        <v>100</v>
      </c>
      <c r="V30" s="54">
        <v>80</v>
      </c>
      <c r="W30" s="54">
        <v>100</v>
      </c>
      <c r="X30" s="54">
        <v>100</v>
      </c>
      <c r="Y30" s="54">
        <v>100</v>
      </c>
      <c r="Z30" s="47">
        <f t="shared" si="7"/>
        <v>97</v>
      </c>
      <c r="AA30" s="53">
        <f t="shared" si="13"/>
        <v>0.97</v>
      </c>
      <c r="AB30" s="54">
        <v>60</v>
      </c>
      <c r="AC30" s="54">
        <v>100</v>
      </c>
      <c r="AD30" s="54">
        <v>70</v>
      </c>
      <c r="AE30" s="54">
        <v>90</v>
      </c>
      <c r="AF30" s="54">
        <v>100</v>
      </c>
      <c r="AG30" s="54">
        <v>90</v>
      </c>
      <c r="AH30" s="54">
        <v>80</v>
      </c>
      <c r="AI30" s="54">
        <v>80</v>
      </c>
      <c r="AJ30" s="54">
        <v>80</v>
      </c>
      <c r="AK30" s="55">
        <f t="shared" si="9"/>
        <v>83.3333333333333</v>
      </c>
      <c r="AL30" s="56">
        <f t="shared" si="15"/>
        <v>0.833333333333333</v>
      </c>
      <c r="AM30" s="57">
        <f t="shared" si="10"/>
        <v>86.9666666666667</v>
      </c>
      <c r="AN30" s="32"/>
    </row>
    <row r="31" spans="1:40">
      <c r="A31" s="50" t="s">
        <v>68</v>
      </c>
      <c r="B31" s="51" t="s">
        <v>69</v>
      </c>
      <c r="C31" s="52">
        <v>8</v>
      </c>
      <c r="D31" s="52">
        <v>8</v>
      </c>
      <c r="E31" s="52">
        <v>10</v>
      </c>
      <c r="F31" s="52">
        <v>9</v>
      </c>
      <c r="G31" s="52">
        <v>9</v>
      </c>
      <c r="H31" s="52">
        <v>10</v>
      </c>
      <c r="I31" s="52">
        <v>9</v>
      </c>
      <c r="J31" s="52">
        <v>9</v>
      </c>
      <c r="K31" s="52">
        <v>8</v>
      </c>
      <c r="L31" s="52">
        <v>8</v>
      </c>
      <c r="M31" s="52">
        <f t="shared" si="5"/>
        <v>34</v>
      </c>
      <c r="N31" s="52">
        <f t="shared" si="6"/>
        <v>89</v>
      </c>
      <c r="O31" s="53">
        <f t="shared" si="14"/>
        <v>0.89</v>
      </c>
      <c r="P31" s="54">
        <v>100</v>
      </c>
      <c r="Q31" s="54">
        <v>100</v>
      </c>
      <c r="R31" s="54">
        <v>100</v>
      </c>
      <c r="S31" s="54">
        <v>90</v>
      </c>
      <c r="T31" s="54">
        <v>100</v>
      </c>
      <c r="U31" s="54">
        <v>100</v>
      </c>
      <c r="V31" s="54">
        <v>100</v>
      </c>
      <c r="W31" s="54">
        <v>100</v>
      </c>
      <c r="X31" s="54">
        <v>100</v>
      </c>
      <c r="Y31" s="54">
        <v>100</v>
      </c>
      <c r="Z31" s="47">
        <f t="shared" si="7"/>
        <v>99</v>
      </c>
      <c r="AA31" s="53">
        <f t="shared" si="13"/>
        <v>0.99</v>
      </c>
      <c r="AB31" s="54">
        <v>80</v>
      </c>
      <c r="AC31" s="54">
        <v>100</v>
      </c>
      <c r="AD31" s="54">
        <v>80</v>
      </c>
      <c r="AE31" s="54">
        <v>90</v>
      </c>
      <c r="AF31" s="54">
        <v>100</v>
      </c>
      <c r="AG31" s="54">
        <v>90</v>
      </c>
      <c r="AH31" s="54">
        <v>70</v>
      </c>
      <c r="AI31" s="54">
        <v>90</v>
      </c>
      <c r="AJ31" s="54">
        <v>0</v>
      </c>
      <c r="AK31" s="55">
        <f t="shared" si="9"/>
        <v>77.7777777777778</v>
      </c>
      <c r="AL31" s="56">
        <f t="shared" si="15"/>
        <v>0.777777777777778</v>
      </c>
      <c r="AM31" s="57">
        <f t="shared" si="10"/>
        <v>86.3888888888889</v>
      </c>
      <c r="AN31" s="32"/>
    </row>
    <row r="32" spans="1:40">
      <c r="A32" s="50" t="s">
        <v>70</v>
      </c>
      <c r="B32" s="51" t="s">
        <v>71</v>
      </c>
      <c r="C32" s="52">
        <v>8</v>
      </c>
      <c r="D32" s="52">
        <v>0</v>
      </c>
      <c r="E32" s="52">
        <v>0</v>
      </c>
      <c r="F32" s="52">
        <v>0</v>
      </c>
      <c r="G32" s="52">
        <v>9</v>
      </c>
      <c r="H32" s="52">
        <v>0</v>
      </c>
      <c r="I32" s="52">
        <v>9</v>
      </c>
      <c r="J32" s="52">
        <v>0</v>
      </c>
      <c r="K32" s="52">
        <v>0</v>
      </c>
      <c r="L32" s="52">
        <v>0</v>
      </c>
      <c r="M32" s="52">
        <f t="shared" si="5"/>
        <v>9</v>
      </c>
      <c r="N32" s="52">
        <f t="shared" si="6"/>
        <v>64</v>
      </c>
      <c r="O32" s="53">
        <f t="shared" si="14"/>
        <v>0.64</v>
      </c>
      <c r="P32" s="54">
        <v>100</v>
      </c>
      <c r="Q32" s="54">
        <v>80</v>
      </c>
      <c r="R32" s="54">
        <v>100</v>
      </c>
      <c r="S32" s="54">
        <v>80</v>
      </c>
      <c r="T32" s="54">
        <v>100</v>
      </c>
      <c r="U32" s="54">
        <v>100</v>
      </c>
      <c r="V32" s="54">
        <v>90</v>
      </c>
      <c r="W32" s="54">
        <v>80</v>
      </c>
      <c r="X32" s="54">
        <v>90</v>
      </c>
      <c r="Y32" s="54">
        <v>90</v>
      </c>
      <c r="Z32" s="47">
        <f t="shared" si="7"/>
        <v>91</v>
      </c>
      <c r="AA32" s="53">
        <f t="shared" si="13"/>
        <v>0.91</v>
      </c>
      <c r="AB32" s="54">
        <v>80</v>
      </c>
      <c r="AC32" s="54">
        <v>70</v>
      </c>
      <c r="AD32" s="54">
        <v>70</v>
      </c>
      <c r="AE32" s="54">
        <v>90</v>
      </c>
      <c r="AF32" s="54">
        <v>80</v>
      </c>
      <c r="AG32" s="54">
        <v>70</v>
      </c>
      <c r="AH32" s="54">
        <v>80</v>
      </c>
      <c r="AI32" s="54">
        <v>70</v>
      </c>
      <c r="AJ32" s="54">
        <v>80</v>
      </c>
      <c r="AK32" s="55">
        <f t="shared" si="9"/>
        <v>76.6666666666667</v>
      </c>
      <c r="AL32" s="56">
        <f t="shared" si="15"/>
        <v>0.766666666666667</v>
      </c>
      <c r="AM32" s="57">
        <f t="shared" si="10"/>
        <v>78.4333333333333</v>
      </c>
      <c r="AN32" s="32"/>
    </row>
    <row r="33" spans="1:40">
      <c r="A33" s="50" t="s">
        <v>72</v>
      </c>
      <c r="B33" s="51" t="s">
        <v>73</v>
      </c>
      <c r="C33" s="52">
        <v>8</v>
      </c>
      <c r="D33" s="52">
        <v>8</v>
      </c>
      <c r="E33" s="52">
        <v>9</v>
      </c>
      <c r="F33" s="52">
        <v>9</v>
      </c>
      <c r="G33" s="52">
        <v>9</v>
      </c>
      <c r="H33" s="52">
        <v>0</v>
      </c>
      <c r="I33" s="52">
        <v>9</v>
      </c>
      <c r="J33" s="52">
        <v>9</v>
      </c>
      <c r="K33" s="52">
        <v>8</v>
      </c>
      <c r="L33" s="52">
        <v>0</v>
      </c>
      <c r="M33" s="52">
        <f t="shared" si="5"/>
        <v>26</v>
      </c>
      <c r="N33" s="52">
        <f t="shared" si="6"/>
        <v>81</v>
      </c>
      <c r="O33" s="53">
        <f t="shared" si="14"/>
        <v>0.81</v>
      </c>
      <c r="P33" s="54">
        <v>100</v>
      </c>
      <c r="Q33" s="54">
        <v>100</v>
      </c>
      <c r="R33" s="54">
        <v>100</v>
      </c>
      <c r="S33" s="54">
        <v>90</v>
      </c>
      <c r="T33" s="54">
        <v>100</v>
      </c>
      <c r="U33" s="54">
        <v>100</v>
      </c>
      <c r="V33" s="54">
        <v>90</v>
      </c>
      <c r="W33" s="54">
        <v>100</v>
      </c>
      <c r="X33" s="54">
        <v>100</v>
      </c>
      <c r="Y33" s="54">
        <v>80</v>
      </c>
      <c r="Z33" s="47">
        <f t="shared" si="7"/>
        <v>96</v>
      </c>
      <c r="AA33" s="53">
        <f t="shared" si="13"/>
        <v>0.96</v>
      </c>
      <c r="AB33" s="54">
        <v>50</v>
      </c>
      <c r="AC33" s="54">
        <v>90</v>
      </c>
      <c r="AD33" s="54">
        <v>70</v>
      </c>
      <c r="AE33" s="54">
        <v>90</v>
      </c>
      <c r="AF33" s="54">
        <v>90</v>
      </c>
      <c r="AG33" s="54">
        <v>80</v>
      </c>
      <c r="AH33" s="54">
        <v>80</v>
      </c>
      <c r="AI33" s="54">
        <v>80</v>
      </c>
      <c r="AJ33" s="54">
        <v>0</v>
      </c>
      <c r="AK33" s="55">
        <f t="shared" si="9"/>
        <v>70</v>
      </c>
      <c r="AL33" s="56">
        <f t="shared" si="15"/>
        <v>0.7</v>
      </c>
      <c r="AM33" s="57">
        <f t="shared" si="10"/>
        <v>80</v>
      </c>
      <c r="AN33" s="32"/>
    </row>
    <row r="34" spans="1:40">
      <c r="A34" s="50" t="s">
        <v>74</v>
      </c>
      <c r="B34" s="51" t="s">
        <v>75</v>
      </c>
      <c r="C34" s="52">
        <v>8</v>
      </c>
      <c r="D34" s="52">
        <v>0</v>
      </c>
      <c r="E34" s="52">
        <v>9</v>
      </c>
      <c r="F34" s="52">
        <v>9</v>
      </c>
      <c r="G34" s="52">
        <v>9</v>
      </c>
      <c r="H34" s="52">
        <v>8</v>
      </c>
      <c r="I34" s="52">
        <v>9</v>
      </c>
      <c r="J34" s="52">
        <v>9</v>
      </c>
      <c r="K34" s="52">
        <v>0</v>
      </c>
      <c r="L34" s="52">
        <v>0</v>
      </c>
      <c r="M34" s="52">
        <f t="shared" si="5"/>
        <v>18</v>
      </c>
      <c r="N34" s="52">
        <f t="shared" si="6"/>
        <v>73</v>
      </c>
      <c r="O34" s="53">
        <f t="shared" si="14"/>
        <v>0.73</v>
      </c>
      <c r="P34" s="54">
        <v>100</v>
      </c>
      <c r="Q34" s="54">
        <v>100</v>
      </c>
      <c r="R34" s="54">
        <v>100</v>
      </c>
      <c r="S34" s="54">
        <v>100</v>
      </c>
      <c r="T34" s="54">
        <v>100</v>
      </c>
      <c r="U34" s="54">
        <v>100</v>
      </c>
      <c r="V34" s="54">
        <v>80</v>
      </c>
      <c r="W34" s="54">
        <v>100</v>
      </c>
      <c r="X34" s="54">
        <v>100</v>
      </c>
      <c r="Y34" s="54">
        <v>0</v>
      </c>
      <c r="Z34" s="47">
        <f t="shared" si="7"/>
        <v>88</v>
      </c>
      <c r="AA34" s="53">
        <f t="shared" ref="AA34:AA47" si="16">Z34*0.01</f>
        <v>0.88</v>
      </c>
      <c r="AB34" s="54">
        <v>80</v>
      </c>
      <c r="AC34" s="54">
        <v>70</v>
      </c>
      <c r="AD34" s="54">
        <v>70</v>
      </c>
      <c r="AE34" s="54">
        <v>90</v>
      </c>
      <c r="AF34" s="54">
        <v>100</v>
      </c>
      <c r="AG34" s="54">
        <v>60</v>
      </c>
      <c r="AH34" s="54">
        <v>70</v>
      </c>
      <c r="AI34" s="54">
        <v>70</v>
      </c>
      <c r="AJ34" s="54">
        <v>0</v>
      </c>
      <c r="AK34" s="55">
        <f t="shared" si="9"/>
        <v>67.7777777777778</v>
      </c>
      <c r="AL34" s="56">
        <f t="shared" si="15"/>
        <v>0.677777777777778</v>
      </c>
      <c r="AM34" s="57">
        <f t="shared" si="10"/>
        <v>74.8888888888889</v>
      </c>
      <c r="AN34" s="32"/>
    </row>
    <row r="35" spans="1:40">
      <c r="A35" s="50" t="s">
        <v>76</v>
      </c>
      <c r="B35" s="51" t="s">
        <v>77</v>
      </c>
      <c r="C35" s="52">
        <v>8</v>
      </c>
      <c r="D35" s="52">
        <v>8</v>
      </c>
      <c r="E35" s="52">
        <v>0</v>
      </c>
      <c r="F35" s="52">
        <v>9</v>
      </c>
      <c r="G35" s="52">
        <v>0</v>
      </c>
      <c r="H35" s="52">
        <v>10</v>
      </c>
      <c r="I35" s="52">
        <v>9</v>
      </c>
      <c r="J35" s="52">
        <v>9</v>
      </c>
      <c r="K35" s="52">
        <v>0</v>
      </c>
      <c r="L35" s="52">
        <v>8</v>
      </c>
      <c r="M35" s="52">
        <f t="shared" si="5"/>
        <v>26</v>
      </c>
      <c r="N35" s="52">
        <f t="shared" si="6"/>
        <v>81</v>
      </c>
      <c r="O35" s="53">
        <f t="shared" ref="O35:O47" si="17">N35/100</f>
        <v>0.81</v>
      </c>
      <c r="P35" s="54">
        <v>100</v>
      </c>
      <c r="Q35" s="54">
        <v>100</v>
      </c>
      <c r="R35" s="54">
        <v>100</v>
      </c>
      <c r="S35" s="54">
        <v>80</v>
      </c>
      <c r="T35" s="54">
        <v>100</v>
      </c>
      <c r="U35" s="54">
        <v>100</v>
      </c>
      <c r="V35" s="54">
        <v>90</v>
      </c>
      <c r="W35" s="54">
        <v>100</v>
      </c>
      <c r="X35" s="54">
        <v>100</v>
      </c>
      <c r="Y35" s="54">
        <v>100</v>
      </c>
      <c r="Z35" s="47">
        <f t="shared" si="7"/>
        <v>97</v>
      </c>
      <c r="AA35" s="53">
        <f t="shared" si="16"/>
        <v>0.97</v>
      </c>
      <c r="AB35" s="54">
        <v>50</v>
      </c>
      <c r="AC35" s="54">
        <v>80</v>
      </c>
      <c r="AD35" s="54">
        <v>60</v>
      </c>
      <c r="AE35" s="54">
        <v>90</v>
      </c>
      <c r="AF35" s="54">
        <v>90</v>
      </c>
      <c r="AG35" s="54">
        <v>70</v>
      </c>
      <c r="AH35" s="54">
        <v>80</v>
      </c>
      <c r="AI35" s="54">
        <v>80</v>
      </c>
      <c r="AJ35" s="54">
        <v>0</v>
      </c>
      <c r="AK35" s="55">
        <f t="shared" si="9"/>
        <v>66.6666666666667</v>
      </c>
      <c r="AL35" s="56">
        <f t="shared" si="15"/>
        <v>0.666666666666667</v>
      </c>
      <c r="AM35" s="57">
        <f t="shared" si="10"/>
        <v>78.6333333333333</v>
      </c>
      <c r="AN35" s="32"/>
    </row>
    <row r="36" spans="1:40">
      <c r="A36" s="50" t="s">
        <v>78</v>
      </c>
      <c r="B36" s="51" t="s">
        <v>79</v>
      </c>
      <c r="C36" s="52">
        <v>8</v>
      </c>
      <c r="D36" s="52">
        <v>8</v>
      </c>
      <c r="E36" s="52">
        <v>9</v>
      </c>
      <c r="F36" s="52">
        <v>9</v>
      </c>
      <c r="G36" s="52">
        <v>0</v>
      </c>
      <c r="H36" s="52">
        <v>8</v>
      </c>
      <c r="I36" s="52">
        <v>0</v>
      </c>
      <c r="J36" s="52">
        <v>9</v>
      </c>
      <c r="K36" s="52">
        <v>8</v>
      </c>
      <c r="L36" s="52">
        <v>8</v>
      </c>
      <c r="M36" s="52">
        <f t="shared" si="5"/>
        <v>25</v>
      </c>
      <c r="N36" s="52">
        <f t="shared" si="6"/>
        <v>80</v>
      </c>
      <c r="O36" s="53">
        <f t="shared" si="17"/>
        <v>0.8</v>
      </c>
      <c r="P36" s="54">
        <v>100</v>
      </c>
      <c r="Q36" s="54">
        <v>100</v>
      </c>
      <c r="R36" s="54">
        <v>100</v>
      </c>
      <c r="S36" s="54">
        <v>100</v>
      </c>
      <c r="T36" s="54">
        <v>100</v>
      </c>
      <c r="U36" s="54">
        <v>100</v>
      </c>
      <c r="V36" s="54">
        <v>80</v>
      </c>
      <c r="W36" s="54">
        <v>100</v>
      </c>
      <c r="X36" s="54">
        <v>100</v>
      </c>
      <c r="Y36" s="54">
        <v>100</v>
      </c>
      <c r="Z36" s="47">
        <f t="shared" si="7"/>
        <v>98</v>
      </c>
      <c r="AA36" s="53">
        <f t="shared" si="16"/>
        <v>0.98</v>
      </c>
      <c r="AB36" s="54">
        <v>50</v>
      </c>
      <c r="AC36" s="54">
        <v>80</v>
      </c>
      <c r="AD36" s="54">
        <v>80</v>
      </c>
      <c r="AE36" s="54">
        <v>90</v>
      </c>
      <c r="AF36" s="54">
        <v>100</v>
      </c>
      <c r="AG36" s="54">
        <v>80</v>
      </c>
      <c r="AH36" s="54">
        <v>80</v>
      </c>
      <c r="AI36" s="54">
        <v>80</v>
      </c>
      <c r="AJ36" s="54">
        <v>0</v>
      </c>
      <c r="AK36" s="55">
        <f t="shared" si="9"/>
        <v>71.1111111111111</v>
      </c>
      <c r="AL36" s="56">
        <f t="shared" ref="AL36:AL49" si="18">AK36*0.01</f>
        <v>0.711111111111111</v>
      </c>
      <c r="AM36" s="57">
        <f t="shared" si="10"/>
        <v>80.9555555555555</v>
      </c>
      <c r="AN36" s="32"/>
    </row>
    <row r="37" spans="1:40">
      <c r="A37" s="50" t="s">
        <v>80</v>
      </c>
      <c r="B37" s="51" t="s">
        <v>81</v>
      </c>
      <c r="C37" s="52">
        <v>8</v>
      </c>
      <c r="D37" s="52">
        <v>8</v>
      </c>
      <c r="E37" s="52">
        <v>9</v>
      </c>
      <c r="F37" s="52">
        <v>9</v>
      </c>
      <c r="G37" s="52">
        <v>9</v>
      </c>
      <c r="H37" s="52">
        <v>8</v>
      </c>
      <c r="I37" s="52">
        <v>9</v>
      </c>
      <c r="J37" s="52">
        <v>9</v>
      </c>
      <c r="K37" s="52">
        <v>8</v>
      </c>
      <c r="L37" s="52">
        <v>8</v>
      </c>
      <c r="M37" s="52">
        <f t="shared" si="5"/>
        <v>34</v>
      </c>
      <c r="N37" s="52">
        <f t="shared" si="6"/>
        <v>89</v>
      </c>
      <c r="O37" s="53">
        <f t="shared" si="17"/>
        <v>0.89</v>
      </c>
      <c r="P37" s="54">
        <v>100</v>
      </c>
      <c r="Q37" s="54">
        <v>100</v>
      </c>
      <c r="R37" s="54">
        <v>100</v>
      </c>
      <c r="S37" s="54">
        <v>90</v>
      </c>
      <c r="T37" s="54">
        <v>100</v>
      </c>
      <c r="U37" s="54">
        <v>100</v>
      </c>
      <c r="V37" s="54">
        <v>90</v>
      </c>
      <c r="W37" s="54">
        <v>100</v>
      </c>
      <c r="X37" s="54">
        <v>100</v>
      </c>
      <c r="Y37" s="54">
        <v>80</v>
      </c>
      <c r="Z37" s="47">
        <f t="shared" si="7"/>
        <v>96</v>
      </c>
      <c r="AA37" s="53">
        <f t="shared" si="16"/>
        <v>0.96</v>
      </c>
      <c r="AB37" s="54">
        <v>70</v>
      </c>
      <c r="AC37" s="54">
        <v>70</v>
      </c>
      <c r="AD37" s="54">
        <v>60</v>
      </c>
      <c r="AE37" s="54">
        <v>90</v>
      </c>
      <c r="AF37" s="54">
        <v>100</v>
      </c>
      <c r="AG37" s="54">
        <v>100</v>
      </c>
      <c r="AH37" s="54">
        <v>80</v>
      </c>
      <c r="AI37" s="54">
        <v>80</v>
      </c>
      <c r="AJ37" s="54">
        <v>80</v>
      </c>
      <c r="AK37" s="55">
        <f t="shared" si="9"/>
        <v>81.1111111111111</v>
      </c>
      <c r="AL37" s="56">
        <f t="shared" si="18"/>
        <v>0.811111111111111</v>
      </c>
      <c r="AM37" s="57">
        <f t="shared" si="10"/>
        <v>87.1555555555556</v>
      </c>
      <c r="AN37" s="32"/>
    </row>
    <row r="38" spans="1:40">
      <c r="A38" s="50" t="s">
        <v>82</v>
      </c>
      <c r="B38" s="51" t="s">
        <v>83</v>
      </c>
      <c r="C38" s="52">
        <v>8</v>
      </c>
      <c r="D38" s="52">
        <v>0</v>
      </c>
      <c r="E38" s="52">
        <v>9</v>
      </c>
      <c r="F38" s="52">
        <v>9</v>
      </c>
      <c r="G38" s="52">
        <v>9</v>
      </c>
      <c r="H38" s="52">
        <v>0</v>
      </c>
      <c r="I38" s="52">
        <v>9</v>
      </c>
      <c r="J38" s="52">
        <v>9</v>
      </c>
      <c r="K38" s="52">
        <v>0</v>
      </c>
      <c r="L38" s="52">
        <v>0</v>
      </c>
      <c r="M38" s="52">
        <f t="shared" si="5"/>
        <v>18</v>
      </c>
      <c r="N38" s="52">
        <f t="shared" si="6"/>
        <v>73</v>
      </c>
      <c r="O38" s="53">
        <f t="shared" si="17"/>
        <v>0.73</v>
      </c>
      <c r="P38" s="54">
        <v>100</v>
      </c>
      <c r="Q38" s="54">
        <v>100</v>
      </c>
      <c r="R38" s="54">
        <v>100</v>
      </c>
      <c r="S38" s="54">
        <v>0</v>
      </c>
      <c r="T38" s="54">
        <v>100</v>
      </c>
      <c r="U38" s="54">
        <v>100</v>
      </c>
      <c r="V38" s="54">
        <v>100</v>
      </c>
      <c r="W38" s="54">
        <v>100</v>
      </c>
      <c r="X38" s="54">
        <v>100</v>
      </c>
      <c r="Y38" s="54">
        <v>100</v>
      </c>
      <c r="Z38" s="47">
        <f t="shared" si="7"/>
        <v>90</v>
      </c>
      <c r="AA38" s="53">
        <f t="shared" si="16"/>
        <v>0.9</v>
      </c>
      <c r="AB38" s="54">
        <v>60</v>
      </c>
      <c r="AC38" s="54">
        <v>80</v>
      </c>
      <c r="AD38" s="54">
        <v>70</v>
      </c>
      <c r="AE38" s="54">
        <v>90</v>
      </c>
      <c r="AF38" s="54">
        <v>90</v>
      </c>
      <c r="AG38" s="54">
        <v>90</v>
      </c>
      <c r="AH38" s="54">
        <v>80</v>
      </c>
      <c r="AI38" s="54">
        <v>80</v>
      </c>
      <c r="AJ38" s="54">
        <v>80</v>
      </c>
      <c r="AK38" s="55">
        <f t="shared" si="9"/>
        <v>80</v>
      </c>
      <c r="AL38" s="56">
        <f t="shared" si="18"/>
        <v>0.8</v>
      </c>
      <c r="AM38" s="57">
        <f>N38*0.2+Z38*0.3+AK38*0.5</f>
        <v>81.6</v>
      </c>
      <c r="AN38" s="32"/>
    </row>
    <row r="39" spans="1:40">
      <c r="A39" s="50" t="s">
        <v>84</v>
      </c>
      <c r="B39" s="51" t="s">
        <v>85</v>
      </c>
      <c r="C39" s="52">
        <v>7</v>
      </c>
      <c r="D39" s="52">
        <v>0</v>
      </c>
      <c r="E39" s="52">
        <v>9</v>
      </c>
      <c r="F39" s="52">
        <v>9</v>
      </c>
      <c r="G39" s="52">
        <v>9</v>
      </c>
      <c r="H39" s="52">
        <v>8</v>
      </c>
      <c r="I39" s="52">
        <v>9</v>
      </c>
      <c r="J39" s="52">
        <v>9</v>
      </c>
      <c r="K39" s="52">
        <v>8</v>
      </c>
      <c r="L39" s="52">
        <v>8</v>
      </c>
      <c r="M39" s="52">
        <f t="shared" si="5"/>
        <v>34</v>
      </c>
      <c r="N39" s="52">
        <f t="shared" si="6"/>
        <v>89</v>
      </c>
      <c r="O39" s="53">
        <f t="shared" si="17"/>
        <v>0.89</v>
      </c>
      <c r="P39" s="54">
        <v>60</v>
      </c>
      <c r="Q39" s="54">
        <v>100</v>
      </c>
      <c r="R39" s="54">
        <v>100</v>
      </c>
      <c r="S39" s="54">
        <v>90</v>
      </c>
      <c r="T39" s="54">
        <v>100</v>
      </c>
      <c r="U39" s="54">
        <v>100</v>
      </c>
      <c r="V39" s="54">
        <v>100</v>
      </c>
      <c r="W39" s="54">
        <v>100</v>
      </c>
      <c r="X39" s="54">
        <v>100</v>
      </c>
      <c r="Y39" s="54">
        <v>100</v>
      </c>
      <c r="Z39" s="47">
        <f t="shared" si="7"/>
        <v>95</v>
      </c>
      <c r="AA39" s="53">
        <f t="shared" si="16"/>
        <v>0.95</v>
      </c>
      <c r="AB39" s="54">
        <v>80</v>
      </c>
      <c r="AC39" s="54">
        <v>80</v>
      </c>
      <c r="AD39" s="54">
        <v>70</v>
      </c>
      <c r="AE39" s="54">
        <v>90</v>
      </c>
      <c r="AF39" s="54">
        <v>80</v>
      </c>
      <c r="AG39" s="54">
        <v>80</v>
      </c>
      <c r="AH39" s="54">
        <v>70</v>
      </c>
      <c r="AI39" s="54">
        <v>80</v>
      </c>
      <c r="AJ39" s="54">
        <v>0</v>
      </c>
      <c r="AK39" s="55">
        <f t="shared" si="9"/>
        <v>70</v>
      </c>
      <c r="AL39" s="56">
        <f t="shared" si="18"/>
        <v>0.7</v>
      </c>
      <c r="AM39" s="57">
        <f>N39*0.2+Z39*0.3+AK39*0.5</f>
        <v>81.3</v>
      </c>
      <c r="AN39" s="32"/>
    </row>
    <row r="40" spans="1:40">
      <c r="A40" s="50" t="s">
        <v>86</v>
      </c>
      <c r="B40" s="51" t="s">
        <v>87</v>
      </c>
      <c r="C40" s="52">
        <v>8</v>
      </c>
      <c r="D40" s="52">
        <v>8</v>
      </c>
      <c r="E40" s="52">
        <v>9</v>
      </c>
      <c r="F40" s="52">
        <v>9</v>
      </c>
      <c r="G40" s="52">
        <v>0</v>
      </c>
      <c r="H40" s="52">
        <v>8</v>
      </c>
      <c r="I40" s="52">
        <v>9</v>
      </c>
      <c r="J40" s="52">
        <v>9</v>
      </c>
      <c r="K40" s="52">
        <v>0</v>
      </c>
      <c r="L40" s="52">
        <v>8</v>
      </c>
      <c r="M40" s="52">
        <f t="shared" si="5"/>
        <v>26</v>
      </c>
      <c r="N40" s="52">
        <f t="shared" si="6"/>
        <v>81</v>
      </c>
      <c r="O40" s="53">
        <f t="shared" si="17"/>
        <v>0.81</v>
      </c>
      <c r="P40" s="54">
        <v>100</v>
      </c>
      <c r="Q40" s="54">
        <v>100</v>
      </c>
      <c r="R40" s="54">
        <v>100</v>
      </c>
      <c r="S40" s="54">
        <v>90</v>
      </c>
      <c r="T40" s="54">
        <v>100</v>
      </c>
      <c r="U40" s="54">
        <v>100</v>
      </c>
      <c r="V40" s="54">
        <v>80</v>
      </c>
      <c r="W40" s="54">
        <v>80</v>
      </c>
      <c r="X40" s="54">
        <v>80</v>
      </c>
      <c r="Y40" s="54">
        <v>90</v>
      </c>
      <c r="Z40" s="47">
        <f t="shared" si="7"/>
        <v>92</v>
      </c>
      <c r="AA40" s="53">
        <f t="shared" si="16"/>
        <v>0.92</v>
      </c>
      <c r="AB40" s="54">
        <v>60</v>
      </c>
      <c r="AC40" s="54">
        <v>90</v>
      </c>
      <c r="AD40" s="54">
        <v>70</v>
      </c>
      <c r="AE40" s="54">
        <v>90</v>
      </c>
      <c r="AF40" s="54">
        <v>90</v>
      </c>
      <c r="AG40" s="54">
        <v>100</v>
      </c>
      <c r="AH40" s="54">
        <v>90</v>
      </c>
      <c r="AI40" s="54">
        <v>80</v>
      </c>
      <c r="AJ40" s="54">
        <v>80</v>
      </c>
      <c r="AK40" s="55">
        <f t="shared" si="9"/>
        <v>83.3333333333333</v>
      </c>
      <c r="AL40" s="56">
        <f t="shared" si="18"/>
        <v>0.833333333333333</v>
      </c>
      <c r="AM40" s="57">
        <f>N40*0.2+Z40*0.3+AK40*0.5</f>
        <v>85.4666666666667</v>
      </c>
      <c r="AN40" s="32"/>
    </row>
    <row r="41" spans="1:40">
      <c r="A41" s="50" t="s">
        <v>88</v>
      </c>
      <c r="B41" s="51" t="s">
        <v>89</v>
      </c>
      <c r="C41" s="52">
        <v>8</v>
      </c>
      <c r="D41" s="52">
        <v>8</v>
      </c>
      <c r="E41" s="52">
        <v>9</v>
      </c>
      <c r="F41" s="52">
        <v>9</v>
      </c>
      <c r="G41" s="52">
        <v>0</v>
      </c>
      <c r="H41" s="52">
        <v>10</v>
      </c>
      <c r="I41" s="52">
        <v>0</v>
      </c>
      <c r="J41" s="52">
        <v>9</v>
      </c>
      <c r="K41" s="52">
        <v>0</v>
      </c>
      <c r="L41" s="52">
        <v>0</v>
      </c>
      <c r="M41" s="52">
        <f t="shared" si="5"/>
        <v>9</v>
      </c>
      <c r="N41" s="52">
        <f t="shared" si="6"/>
        <v>64</v>
      </c>
      <c r="O41" s="53">
        <f t="shared" si="17"/>
        <v>0.64</v>
      </c>
      <c r="P41" s="54">
        <v>100</v>
      </c>
      <c r="Q41" s="54">
        <v>100</v>
      </c>
      <c r="R41" s="54">
        <v>100</v>
      </c>
      <c r="S41" s="54">
        <v>80</v>
      </c>
      <c r="T41" s="54">
        <v>80</v>
      </c>
      <c r="U41" s="54">
        <v>80</v>
      </c>
      <c r="V41" s="54">
        <v>90</v>
      </c>
      <c r="W41" s="54">
        <v>100</v>
      </c>
      <c r="X41" s="54">
        <v>100</v>
      </c>
      <c r="Y41" s="54">
        <v>80</v>
      </c>
      <c r="Z41" s="47">
        <f t="shared" si="7"/>
        <v>91</v>
      </c>
      <c r="AA41" s="53">
        <f t="shared" si="16"/>
        <v>0.91</v>
      </c>
      <c r="AB41" s="54">
        <v>80</v>
      </c>
      <c r="AC41" s="54">
        <v>70</v>
      </c>
      <c r="AD41" s="54">
        <v>70</v>
      </c>
      <c r="AE41" s="54">
        <v>90</v>
      </c>
      <c r="AF41" s="54">
        <v>90</v>
      </c>
      <c r="AG41" s="54">
        <v>80</v>
      </c>
      <c r="AH41" s="54">
        <v>80</v>
      </c>
      <c r="AI41" s="54">
        <v>80</v>
      </c>
      <c r="AJ41" s="54">
        <v>80</v>
      </c>
      <c r="AK41" s="55">
        <f t="shared" si="9"/>
        <v>80</v>
      </c>
      <c r="AL41" s="56">
        <f t="shared" si="18"/>
        <v>0.8</v>
      </c>
      <c r="AM41" s="57">
        <f>N41*0.2+Z41*0.3+AK41*0.5</f>
        <v>80.1</v>
      </c>
      <c r="AN41" s="32"/>
    </row>
    <row r="42" spans="1:40">
      <c r="A42" s="50" t="s">
        <v>90</v>
      </c>
      <c r="B42" s="51" t="s">
        <v>91</v>
      </c>
      <c r="C42" s="52">
        <v>8</v>
      </c>
      <c r="D42" s="52">
        <v>8</v>
      </c>
      <c r="E42" s="52">
        <v>10</v>
      </c>
      <c r="F42" s="52">
        <v>9</v>
      </c>
      <c r="G42" s="52">
        <v>9</v>
      </c>
      <c r="H42" s="52">
        <v>8</v>
      </c>
      <c r="I42" s="52">
        <v>9</v>
      </c>
      <c r="J42" s="52">
        <v>9</v>
      </c>
      <c r="K42" s="52">
        <v>0</v>
      </c>
      <c r="L42" s="52">
        <v>0</v>
      </c>
      <c r="M42" s="52">
        <f t="shared" si="5"/>
        <v>18</v>
      </c>
      <c r="N42" s="52">
        <f t="shared" si="6"/>
        <v>73</v>
      </c>
      <c r="O42" s="53">
        <f t="shared" si="17"/>
        <v>0.73</v>
      </c>
      <c r="P42" s="54">
        <v>100</v>
      </c>
      <c r="Q42" s="54">
        <v>100</v>
      </c>
      <c r="R42" s="54">
        <v>100</v>
      </c>
      <c r="S42" s="54">
        <v>80</v>
      </c>
      <c r="T42" s="54">
        <v>100</v>
      </c>
      <c r="U42" s="54">
        <v>100</v>
      </c>
      <c r="V42" s="54">
        <v>90</v>
      </c>
      <c r="W42" s="54">
        <v>90</v>
      </c>
      <c r="X42" s="54">
        <v>100</v>
      </c>
      <c r="Y42" s="54">
        <v>80</v>
      </c>
      <c r="Z42" s="47">
        <f t="shared" si="7"/>
        <v>94</v>
      </c>
      <c r="AA42" s="53">
        <f t="shared" si="16"/>
        <v>0.94</v>
      </c>
      <c r="AB42" s="54">
        <v>80</v>
      </c>
      <c r="AC42" s="54">
        <v>60</v>
      </c>
      <c r="AD42" s="54">
        <v>70</v>
      </c>
      <c r="AE42" s="54">
        <v>90</v>
      </c>
      <c r="AF42" s="54">
        <v>100</v>
      </c>
      <c r="AG42" s="54">
        <v>90</v>
      </c>
      <c r="AH42" s="54">
        <v>80</v>
      </c>
      <c r="AI42" s="54">
        <v>70</v>
      </c>
      <c r="AJ42" s="54">
        <v>80</v>
      </c>
      <c r="AK42" s="55">
        <f t="shared" si="9"/>
        <v>80</v>
      </c>
      <c r="AL42" s="56">
        <f t="shared" si="18"/>
        <v>0.8</v>
      </c>
      <c r="AM42" s="57">
        <f>N42*0.2+Z42*0.3+AK42*0.5</f>
        <v>82.8</v>
      </c>
      <c r="AN42" s="32"/>
    </row>
    <row r="43" spans="1:40">
      <c r="A43" s="50" t="s">
        <v>92</v>
      </c>
      <c r="B43" s="51" t="s">
        <v>93</v>
      </c>
      <c r="C43" s="52">
        <v>8</v>
      </c>
      <c r="D43" s="52">
        <v>0</v>
      </c>
      <c r="E43" s="52">
        <v>10</v>
      </c>
      <c r="F43" s="52">
        <v>9</v>
      </c>
      <c r="G43" s="52">
        <v>0</v>
      </c>
      <c r="H43" s="52">
        <v>8</v>
      </c>
      <c r="I43" s="52">
        <v>0</v>
      </c>
      <c r="J43" s="52">
        <v>9</v>
      </c>
      <c r="K43" s="52">
        <v>8</v>
      </c>
      <c r="L43" s="52">
        <v>8</v>
      </c>
      <c r="M43" s="52">
        <f t="shared" si="5"/>
        <v>25</v>
      </c>
      <c r="N43" s="52">
        <f t="shared" si="6"/>
        <v>80</v>
      </c>
      <c r="O43" s="53">
        <f t="shared" si="17"/>
        <v>0.8</v>
      </c>
      <c r="P43" s="54">
        <v>100</v>
      </c>
      <c r="Q43" s="54">
        <v>100</v>
      </c>
      <c r="R43" s="54">
        <v>100</v>
      </c>
      <c r="S43" s="54">
        <v>90</v>
      </c>
      <c r="T43" s="54">
        <v>100</v>
      </c>
      <c r="U43" s="54">
        <v>100</v>
      </c>
      <c r="V43" s="54">
        <v>100</v>
      </c>
      <c r="W43" s="54">
        <v>90</v>
      </c>
      <c r="X43" s="54">
        <v>100</v>
      </c>
      <c r="Y43" s="54">
        <v>100</v>
      </c>
      <c r="Z43" s="47">
        <f t="shared" si="7"/>
        <v>98</v>
      </c>
      <c r="AA43" s="53">
        <f t="shared" si="16"/>
        <v>0.98</v>
      </c>
      <c r="AB43" s="54">
        <v>80</v>
      </c>
      <c r="AC43" s="54">
        <v>70</v>
      </c>
      <c r="AD43" s="54">
        <v>70</v>
      </c>
      <c r="AE43" s="54">
        <v>90</v>
      </c>
      <c r="AF43" s="54">
        <v>100</v>
      </c>
      <c r="AG43" s="54">
        <v>80</v>
      </c>
      <c r="AH43" s="54">
        <v>80</v>
      </c>
      <c r="AI43" s="54">
        <v>80</v>
      </c>
      <c r="AJ43" s="54">
        <v>80</v>
      </c>
      <c r="AK43" s="55">
        <f t="shared" si="9"/>
        <v>81.1111111111111</v>
      </c>
      <c r="AL43" s="56">
        <f t="shared" si="18"/>
        <v>0.811111111111111</v>
      </c>
      <c r="AM43" s="57">
        <f>N43*0.2+Z43*0.3+AK43*0.5</f>
        <v>85.9555555555555</v>
      </c>
      <c r="AN43" s="32"/>
    </row>
    <row r="44" spans="1:40">
      <c r="A44" s="50" t="s">
        <v>94</v>
      </c>
      <c r="B44" s="51" t="s">
        <v>95</v>
      </c>
      <c r="C44" s="52">
        <v>8</v>
      </c>
      <c r="D44" s="52">
        <v>8</v>
      </c>
      <c r="E44" s="52">
        <v>10</v>
      </c>
      <c r="F44" s="52">
        <v>9</v>
      </c>
      <c r="G44" s="52">
        <v>9</v>
      </c>
      <c r="H44" s="52">
        <v>8</v>
      </c>
      <c r="I44" s="52">
        <v>9</v>
      </c>
      <c r="J44" s="52">
        <v>9</v>
      </c>
      <c r="K44" s="52">
        <v>8</v>
      </c>
      <c r="L44" s="52">
        <v>8</v>
      </c>
      <c r="M44" s="52">
        <f t="shared" si="5"/>
        <v>34</v>
      </c>
      <c r="N44" s="52">
        <f t="shared" si="6"/>
        <v>89</v>
      </c>
      <c r="O44" s="53">
        <f t="shared" si="17"/>
        <v>0.89</v>
      </c>
      <c r="P44" s="54">
        <v>100</v>
      </c>
      <c r="Q44" s="54">
        <v>100</v>
      </c>
      <c r="R44" s="54">
        <v>100</v>
      </c>
      <c r="S44" s="54">
        <v>90</v>
      </c>
      <c r="T44" s="54">
        <v>100</v>
      </c>
      <c r="U44" s="54">
        <v>100</v>
      </c>
      <c r="V44" s="54">
        <v>100</v>
      </c>
      <c r="W44" s="54">
        <v>100</v>
      </c>
      <c r="X44" s="54">
        <v>100</v>
      </c>
      <c r="Y44" s="54">
        <v>80</v>
      </c>
      <c r="Z44" s="47">
        <f t="shared" si="7"/>
        <v>97</v>
      </c>
      <c r="AA44" s="53">
        <f t="shared" si="16"/>
        <v>0.97</v>
      </c>
      <c r="AB44" s="54">
        <v>70</v>
      </c>
      <c r="AC44" s="54">
        <v>80</v>
      </c>
      <c r="AD44" s="54">
        <v>70</v>
      </c>
      <c r="AE44" s="54">
        <v>90</v>
      </c>
      <c r="AF44" s="54">
        <v>100</v>
      </c>
      <c r="AG44" s="54">
        <v>90</v>
      </c>
      <c r="AH44" s="54">
        <v>80</v>
      </c>
      <c r="AI44" s="54">
        <v>80</v>
      </c>
      <c r="AJ44" s="54">
        <v>80</v>
      </c>
      <c r="AK44" s="55">
        <f t="shared" si="9"/>
        <v>82.2222222222222</v>
      </c>
      <c r="AL44" s="56">
        <f t="shared" si="18"/>
        <v>0.822222222222222</v>
      </c>
      <c r="AM44" s="57">
        <f>N44*0.2+Z44*0.3+AK44*0.5</f>
        <v>88.0111111111111</v>
      </c>
      <c r="AN44" s="32"/>
    </row>
    <row r="45" spans="1:40">
      <c r="A45" s="50" t="s">
        <v>96</v>
      </c>
      <c r="B45" s="51" t="s">
        <v>97</v>
      </c>
      <c r="C45" s="52">
        <v>8</v>
      </c>
      <c r="D45" s="52">
        <v>0</v>
      </c>
      <c r="E45" s="52">
        <v>9</v>
      </c>
      <c r="F45" s="52">
        <v>9</v>
      </c>
      <c r="G45" s="52">
        <v>0</v>
      </c>
      <c r="H45" s="52">
        <v>8</v>
      </c>
      <c r="I45" s="52">
        <v>0</v>
      </c>
      <c r="J45" s="52">
        <v>9</v>
      </c>
      <c r="K45" s="52">
        <v>0</v>
      </c>
      <c r="L45" s="52">
        <v>0</v>
      </c>
      <c r="M45" s="52">
        <f t="shared" ref="M45:M53" si="19">SUM(I45:L45)</f>
        <v>9</v>
      </c>
      <c r="N45" s="52">
        <f t="shared" ref="N45:N53" si="20">M45+55</f>
        <v>64</v>
      </c>
      <c r="O45" s="53">
        <f>N45/100</f>
        <v>0.64</v>
      </c>
      <c r="P45" s="54">
        <v>100</v>
      </c>
      <c r="Q45" s="54">
        <v>100</v>
      </c>
      <c r="R45" s="54">
        <v>100</v>
      </c>
      <c r="S45" s="54">
        <v>90</v>
      </c>
      <c r="T45" s="54">
        <v>100</v>
      </c>
      <c r="U45" s="54">
        <v>100</v>
      </c>
      <c r="V45" s="54">
        <v>100</v>
      </c>
      <c r="W45" s="54">
        <v>100</v>
      </c>
      <c r="X45" s="54">
        <v>100</v>
      </c>
      <c r="Y45" s="54">
        <v>100</v>
      </c>
      <c r="Z45" s="47">
        <f>AVERAGE(P45:Y45)</f>
        <v>99</v>
      </c>
      <c r="AA45" s="53">
        <f>Z45*0.01</f>
        <v>0.99</v>
      </c>
      <c r="AB45" s="54">
        <v>80</v>
      </c>
      <c r="AC45" s="54">
        <v>80</v>
      </c>
      <c r="AD45" s="54">
        <v>70</v>
      </c>
      <c r="AE45" s="54">
        <v>90</v>
      </c>
      <c r="AF45" s="54">
        <v>100</v>
      </c>
      <c r="AG45" s="54">
        <v>100</v>
      </c>
      <c r="AH45" s="54">
        <v>90</v>
      </c>
      <c r="AI45" s="54">
        <v>80</v>
      </c>
      <c r="AJ45" s="54">
        <v>70</v>
      </c>
      <c r="AK45" s="55">
        <f t="shared" ref="AK45:AK53" si="21">AVERAGE(AB45:AJ45)</f>
        <v>84.4444444444444</v>
      </c>
      <c r="AL45" s="56">
        <f>AK45*0.01</f>
        <v>0.844444444444444</v>
      </c>
      <c r="AM45" s="57">
        <f t="shared" ref="AM45:AM53" si="22">N45*0.2+Z45*0.3+AK45*0.5</f>
        <v>84.7222222222222</v>
      </c>
      <c r="AN45" s="32"/>
    </row>
    <row r="46" spans="1:40">
      <c r="A46" s="50" t="s">
        <v>98</v>
      </c>
      <c r="B46" s="51" t="s">
        <v>99</v>
      </c>
      <c r="C46" s="52">
        <v>8</v>
      </c>
      <c r="D46" s="52">
        <v>8</v>
      </c>
      <c r="E46" s="52">
        <v>9</v>
      </c>
      <c r="F46" s="52">
        <v>9</v>
      </c>
      <c r="G46" s="52">
        <v>0</v>
      </c>
      <c r="H46" s="52">
        <v>8</v>
      </c>
      <c r="I46" s="52">
        <v>0</v>
      </c>
      <c r="J46" s="52">
        <v>9</v>
      </c>
      <c r="K46" s="52">
        <v>0</v>
      </c>
      <c r="L46" s="52">
        <v>8</v>
      </c>
      <c r="M46" s="52">
        <f t="shared" si="19"/>
        <v>17</v>
      </c>
      <c r="N46" s="52">
        <f t="shared" si="20"/>
        <v>72</v>
      </c>
      <c r="O46" s="53">
        <f>N46/100</f>
        <v>0.72</v>
      </c>
      <c r="P46" s="54">
        <v>100</v>
      </c>
      <c r="Q46" s="54">
        <v>100</v>
      </c>
      <c r="R46" s="54">
        <v>100</v>
      </c>
      <c r="S46" s="54">
        <v>80</v>
      </c>
      <c r="T46" s="54">
        <v>80</v>
      </c>
      <c r="U46" s="54">
        <v>80</v>
      </c>
      <c r="V46" s="54">
        <v>90</v>
      </c>
      <c r="W46" s="54">
        <v>100</v>
      </c>
      <c r="X46" s="54">
        <v>100</v>
      </c>
      <c r="Y46" s="54">
        <v>80</v>
      </c>
      <c r="Z46" s="47">
        <f>AVERAGE(P46:Y46)</f>
        <v>91</v>
      </c>
      <c r="AA46" s="53">
        <f>Z46*0.01</f>
        <v>0.91</v>
      </c>
      <c r="AB46" s="54">
        <v>80</v>
      </c>
      <c r="AC46" s="54">
        <v>70</v>
      </c>
      <c r="AD46" s="54">
        <v>70</v>
      </c>
      <c r="AE46" s="54">
        <v>90</v>
      </c>
      <c r="AF46" s="54">
        <v>100</v>
      </c>
      <c r="AG46" s="54">
        <v>70</v>
      </c>
      <c r="AH46" s="54">
        <v>80</v>
      </c>
      <c r="AI46" s="54">
        <v>70</v>
      </c>
      <c r="AJ46" s="54">
        <v>70</v>
      </c>
      <c r="AK46" s="55">
        <f t="shared" si="21"/>
        <v>77.7777777777778</v>
      </c>
      <c r="AL46" s="56">
        <f>AK46*0.01</f>
        <v>0.777777777777778</v>
      </c>
      <c r="AM46" s="57">
        <f t="shared" si="22"/>
        <v>80.5888888888889</v>
      </c>
      <c r="AN46" s="32"/>
    </row>
    <row r="47" spans="1:40">
      <c r="A47" s="50" t="s">
        <v>100</v>
      </c>
      <c r="B47" s="51" t="s">
        <v>101</v>
      </c>
      <c r="C47" s="52">
        <v>0</v>
      </c>
      <c r="D47" s="52">
        <v>8</v>
      </c>
      <c r="E47" s="52">
        <v>10</v>
      </c>
      <c r="F47" s="52">
        <v>9</v>
      </c>
      <c r="G47" s="52">
        <v>0</v>
      </c>
      <c r="H47" s="52">
        <v>8</v>
      </c>
      <c r="I47" s="52">
        <v>0</v>
      </c>
      <c r="J47" s="52">
        <v>9</v>
      </c>
      <c r="K47" s="52">
        <v>0</v>
      </c>
      <c r="L47" s="52">
        <v>0</v>
      </c>
      <c r="M47" s="52">
        <f t="shared" si="19"/>
        <v>9</v>
      </c>
      <c r="N47" s="52">
        <f t="shared" si="20"/>
        <v>64</v>
      </c>
      <c r="O47" s="53">
        <f t="shared" ref="O47:O53" si="23">N47/100</f>
        <v>0.64</v>
      </c>
      <c r="P47" s="54">
        <v>100</v>
      </c>
      <c r="Q47" s="54">
        <v>80</v>
      </c>
      <c r="R47" s="54">
        <v>100</v>
      </c>
      <c r="S47" s="54">
        <v>0</v>
      </c>
      <c r="T47" s="54">
        <v>80</v>
      </c>
      <c r="U47" s="54">
        <v>80</v>
      </c>
      <c r="V47" s="54">
        <v>80</v>
      </c>
      <c r="W47" s="54">
        <v>100</v>
      </c>
      <c r="X47" s="54">
        <v>100</v>
      </c>
      <c r="Y47" s="54">
        <v>100</v>
      </c>
      <c r="Z47" s="47">
        <f>AVERAGE(P47:Y47)</f>
        <v>82</v>
      </c>
      <c r="AA47" s="53">
        <f t="shared" ref="AA47:AA53" si="24">Z47*0.01</f>
        <v>0.82</v>
      </c>
      <c r="AB47" s="54">
        <v>80</v>
      </c>
      <c r="AC47" s="54">
        <v>70</v>
      </c>
      <c r="AD47" s="54">
        <v>90</v>
      </c>
      <c r="AE47" s="54">
        <v>90</v>
      </c>
      <c r="AF47" s="54">
        <v>90</v>
      </c>
      <c r="AG47" s="54">
        <v>80</v>
      </c>
      <c r="AH47" s="54">
        <v>70</v>
      </c>
      <c r="AI47" s="54">
        <v>80</v>
      </c>
      <c r="AJ47" s="54">
        <v>70</v>
      </c>
      <c r="AK47" s="55">
        <f t="shared" si="21"/>
        <v>80</v>
      </c>
      <c r="AL47" s="56">
        <f>AK47*0.01</f>
        <v>0.8</v>
      </c>
      <c r="AM47" s="57">
        <f t="shared" si="22"/>
        <v>77.4</v>
      </c>
      <c r="AN47" s="32"/>
    </row>
    <row r="48" spans="1:40">
      <c r="A48" s="50" t="s">
        <v>102</v>
      </c>
      <c r="B48" s="51" t="s">
        <v>103</v>
      </c>
      <c r="C48" s="52">
        <v>7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f t="shared" si="19"/>
        <v>0</v>
      </c>
      <c r="N48" s="52">
        <f t="shared" si="20"/>
        <v>55</v>
      </c>
      <c r="O48" s="53">
        <f t="shared" si="23"/>
        <v>0.55</v>
      </c>
      <c r="P48" s="54">
        <v>100</v>
      </c>
      <c r="Q48" s="54">
        <v>80</v>
      </c>
      <c r="R48" s="54">
        <v>100</v>
      </c>
      <c r="S48" s="54">
        <v>80</v>
      </c>
      <c r="T48" s="54">
        <v>100</v>
      </c>
      <c r="U48" s="54">
        <v>100</v>
      </c>
      <c r="V48" s="54">
        <v>100</v>
      </c>
      <c r="W48" s="54">
        <v>100</v>
      </c>
      <c r="X48" s="54">
        <v>0</v>
      </c>
      <c r="Y48" s="54">
        <v>0</v>
      </c>
      <c r="Z48" s="47">
        <f>AVERAGE(P48:Y48)</f>
        <v>76</v>
      </c>
      <c r="AA48" s="53">
        <f t="shared" si="24"/>
        <v>0.76</v>
      </c>
      <c r="AB48" s="54">
        <v>80</v>
      </c>
      <c r="AC48" s="54">
        <v>70</v>
      </c>
      <c r="AD48" s="54">
        <v>90</v>
      </c>
      <c r="AE48" s="54">
        <v>90</v>
      </c>
      <c r="AF48" s="54">
        <v>90</v>
      </c>
      <c r="AG48" s="54">
        <v>80</v>
      </c>
      <c r="AH48" s="54">
        <v>90</v>
      </c>
      <c r="AI48" s="54">
        <v>60</v>
      </c>
      <c r="AJ48" s="54">
        <v>80</v>
      </c>
      <c r="AK48" s="55">
        <f t="shared" si="21"/>
        <v>81.1111111111111</v>
      </c>
      <c r="AL48" s="56">
        <f>AK48*0.01</f>
        <v>0.811111111111111</v>
      </c>
      <c r="AM48" s="57">
        <f t="shared" si="22"/>
        <v>74.3555555555556</v>
      </c>
      <c r="AN48" s="32"/>
    </row>
    <row r="49" spans="1:40">
      <c r="A49" s="50" t="s">
        <v>104</v>
      </c>
      <c r="B49" s="51" t="s">
        <v>105</v>
      </c>
      <c r="C49" s="52">
        <v>8</v>
      </c>
      <c r="D49" s="52">
        <v>8</v>
      </c>
      <c r="E49" s="52">
        <v>0</v>
      </c>
      <c r="F49" s="52">
        <v>9</v>
      </c>
      <c r="G49" s="52">
        <v>9</v>
      </c>
      <c r="H49" s="52">
        <v>0</v>
      </c>
      <c r="I49" s="52">
        <v>9</v>
      </c>
      <c r="J49" s="52">
        <v>9</v>
      </c>
      <c r="K49" s="52">
        <v>0</v>
      </c>
      <c r="L49" s="52">
        <v>8</v>
      </c>
      <c r="M49" s="52">
        <f t="shared" si="19"/>
        <v>26</v>
      </c>
      <c r="N49" s="52">
        <f t="shared" si="20"/>
        <v>81</v>
      </c>
      <c r="O49" s="53">
        <f t="shared" si="23"/>
        <v>0.81</v>
      </c>
      <c r="P49" s="54">
        <v>100</v>
      </c>
      <c r="Q49" s="54">
        <v>100</v>
      </c>
      <c r="R49" s="54">
        <v>100</v>
      </c>
      <c r="S49" s="54">
        <v>80</v>
      </c>
      <c r="T49" s="54">
        <v>90</v>
      </c>
      <c r="U49" s="54">
        <v>90</v>
      </c>
      <c r="V49" s="54">
        <v>90</v>
      </c>
      <c r="W49" s="54">
        <v>100</v>
      </c>
      <c r="X49" s="54">
        <v>100</v>
      </c>
      <c r="Y49" s="54">
        <v>90</v>
      </c>
      <c r="Z49" s="47">
        <f>AVERAGE(P49:Y49)</f>
        <v>94</v>
      </c>
      <c r="AA49" s="53">
        <f t="shared" si="24"/>
        <v>0.94</v>
      </c>
      <c r="AB49" s="54">
        <v>80</v>
      </c>
      <c r="AC49" s="54">
        <v>60</v>
      </c>
      <c r="AD49" s="54">
        <v>70</v>
      </c>
      <c r="AE49" s="54">
        <v>90</v>
      </c>
      <c r="AF49" s="54">
        <v>90</v>
      </c>
      <c r="AG49" s="54">
        <v>90</v>
      </c>
      <c r="AH49" s="54">
        <v>80</v>
      </c>
      <c r="AI49" s="54">
        <v>80</v>
      </c>
      <c r="AJ49" s="54">
        <v>0</v>
      </c>
      <c r="AK49" s="55">
        <f t="shared" si="21"/>
        <v>71.1111111111111</v>
      </c>
      <c r="AL49" s="56">
        <f>AK49*0.01</f>
        <v>0.711111111111111</v>
      </c>
      <c r="AM49" s="57">
        <f t="shared" si="22"/>
        <v>79.9555555555555</v>
      </c>
      <c r="AN49" s="32"/>
    </row>
    <row r="50" spans="1:40">
      <c r="A50" s="50" t="s">
        <v>106</v>
      </c>
      <c r="B50" s="51" t="s">
        <v>107</v>
      </c>
      <c r="C50" s="52">
        <v>8</v>
      </c>
      <c r="D50" s="52">
        <v>8</v>
      </c>
      <c r="E50" s="52">
        <v>10</v>
      </c>
      <c r="F50" s="52">
        <v>9</v>
      </c>
      <c r="G50" s="52">
        <v>9</v>
      </c>
      <c r="H50" s="52">
        <v>0</v>
      </c>
      <c r="I50" s="52">
        <v>9</v>
      </c>
      <c r="J50" s="52">
        <v>9</v>
      </c>
      <c r="K50" s="52">
        <v>0</v>
      </c>
      <c r="L50" s="52">
        <v>8</v>
      </c>
      <c r="M50" s="52">
        <f t="shared" si="19"/>
        <v>26</v>
      </c>
      <c r="N50" s="52">
        <f t="shared" si="20"/>
        <v>81</v>
      </c>
      <c r="O50" s="53">
        <f t="shared" si="23"/>
        <v>0.81</v>
      </c>
      <c r="P50" s="54">
        <v>100</v>
      </c>
      <c r="Q50" s="54">
        <v>80</v>
      </c>
      <c r="R50" s="54">
        <v>100</v>
      </c>
      <c r="S50" s="54">
        <v>80</v>
      </c>
      <c r="T50" s="54">
        <v>100</v>
      </c>
      <c r="U50" s="54">
        <v>100</v>
      </c>
      <c r="V50" s="54">
        <v>100</v>
      </c>
      <c r="W50" s="54">
        <v>100</v>
      </c>
      <c r="X50" s="54">
        <v>100</v>
      </c>
      <c r="Y50" s="54">
        <v>100</v>
      </c>
      <c r="Z50" s="47">
        <f>AVERAGE(P50:Y50)</f>
        <v>96</v>
      </c>
      <c r="AA50" s="53">
        <f t="shared" si="24"/>
        <v>0.96</v>
      </c>
      <c r="AB50" s="54">
        <v>80</v>
      </c>
      <c r="AC50" s="54">
        <v>70</v>
      </c>
      <c r="AD50" s="54">
        <v>70</v>
      </c>
      <c r="AE50" s="54">
        <v>90</v>
      </c>
      <c r="AF50" s="54">
        <v>100</v>
      </c>
      <c r="AG50" s="54">
        <v>90</v>
      </c>
      <c r="AH50" s="54">
        <v>80</v>
      </c>
      <c r="AI50" s="54">
        <v>80</v>
      </c>
      <c r="AJ50" s="54">
        <v>70</v>
      </c>
      <c r="AK50" s="55">
        <f t="shared" si="21"/>
        <v>81.1111111111111</v>
      </c>
      <c r="AL50" s="56">
        <f>AK50*0.01</f>
        <v>0.811111111111111</v>
      </c>
      <c r="AM50" s="57">
        <f t="shared" si="22"/>
        <v>85.5555555555556</v>
      </c>
      <c r="AN50" s="32"/>
    </row>
    <row r="51" spans="1:40">
      <c r="A51" s="50" t="s">
        <v>108</v>
      </c>
      <c r="B51" s="51" t="s">
        <v>109</v>
      </c>
      <c r="C51" s="52">
        <v>8</v>
      </c>
      <c r="D51" s="52">
        <v>8</v>
      </c>
      <c r="E51" s="52">
        <v>9</v>
      </c>
      <c r="F51" s="52">
        <v>9</v>
      </c>
      <c r="G51" s="52">
        <v>9</v>
      </c>
      <c r="H51" s="52">
        <v>8</v>
      </c>
      <c r="I51" s="52">
        <v>9</v>
      </c>
      <c r="J51" s="52">
        <v>0</v>
      </c>
      <c r="K51" s="52">
        <v>0</v>
      </c>
      <c r="L51" s="52">
        <v>8</v>
      </c>
      <c r="M51" s="52">
        <f t="shared" si="19"/>
        <v>17</v>
      </c>
      <c r="N51" s="52">
        <f t="shared" si="20"/>
        <v>72</v>
      </c>
      <c r="O51" s="53">
        <f t="shared" si="23"/>
        <v>0.72</v>
      </c>
      <c r="P51" s="54">
        <v>80</v>
      </c>
      <c r="Q51" s="54">
        <v>100</v>
      </c>
      <c r="R51" s="54">
        <v>100</v>
      </c>
      <c r="S51" s="54">
        <v>100</v>
      </c>
      <c r="T51" s="54">
        <v>100</v>
      </c>
      <c r="U51" s="54">
        <v>100</v>
      </c>
      <c r="V51" s="54">
        <v>100</v>
      </c>
      <c r="W51" s="54">
        <v>0</v>
      </c>
      <c r="X51" s="54">
        <v>0</v>
      </c>
      <c r="Y51" s="54">
        <v>100</v>
      </c>
      <c r="Z51" s="47">
        <f>AVERAGE(P51:Y51)</f>
        <v>78</v>
      </c>
      <c r="AA51" s="53">
        <f t="shared" si="24"/>
        <v>0.78</v>
      </c>
      <c r="AB51" s="54">
        <v>80</v>
      </c>
      <c r="AC51" s="54">
        <v>0</v>
      </c>
      <c r="AD51" s="54">
        <v>60</v>
      </c>
      <c r="AE51" s="54">
        <v>0</v>
      </c>
      <c r="AF51" s="54">
        <v>100</v>
      </c>
      <c r="AG51" s="54">
        <v>80</v>
      </c>
      <c r="AH51" s="54">
        <v>70</v>
      </c>
      <c r="AI51" s="54">
        <v>80</v>
      </c>
      <c r="AJ51" s="54">
        <v>80</v>
      </c>
      <c r="AK51" s="55">
        <f t="shared" si="21"/>
        <v>61.1111111111111</v>
      </c>
      <c r="AL51" s="56">
        <f>AK51*0.01</f>
        <v>0.611111111111111</v>
      </c>
      <c r="AM51" s="57">
        <f t="shared" si="22"/>
        <v>68.3555555555556</v>
      </c>
      <c r="AN51" s="32"/>
    </row>
    <row r="52" spans="1:40">
      <c r="A52" s="50" t="s">
        <v>110</v>
      </c>
      <c r="B52" s="51" t="s">
        <v>111</v>
      </c>
      <c r="C52" s="52">
        <v>8</v>
      </c>
      <c r="D52" s="52">
        <v>8</v>
      </c>
      <c r="E52" s="52">
        <v>9</v>
      </c>
      <c r="F52" s="52">
        <v>0</v>
      </c>
      <c r="G52" s="52">
        <v>9</v>
      </c>
      <c r="H52" s="52">
        <v>8</v>
      </c>
      <c r="I52" s="52">
        <v>9</v>
      </c>
      <c r="J52" s="52">
        <v>9</v>
      </c>
      <c r="K52" s="52">
        <v>8</v>
      </c>
      <c r="L52" s="52">
        <v>8</v>
      </c>
      <c r="M52" s="52">
        <f t="shared" si="19"/>
        <v>34</v>
      </c>
      <c r="N52" s="52">
        <f t="shared" si="20"/>
        <v>89</v>
      </c>
      <c r="O52" s="53">
        <f t="shared" si="23"/>
        <v>0.89</v>
      </c>
      <c r="P52" s="54">
        <v>100</v>
      </c>
      <c r="Q52" s="54">
        <v>100</v>
      </c>
      <c r="R52" s="54">
        <v>100</v>
      </c>
      <c r="S52" s="54">
        <v>80</v>
      </c>
      <c r="T52" s="54">
        <v>100</v>
      </c>
      <c r="U52" s="54">
        <v>100</v>
      </c>
      <c r="V52" s="54">
        <v>100</v>
      </c>
      <c r="W52" s="54">
        <v>100</v>
      </c>
      <c r="X52" s="54">
        <v>100</v>
      </c>
      <c r="Y52" s="54">
        <v>100</v>
      </c>
      <c r="Z52" s="47">
        <f>AVERAGE(P52:Y52)</f>
        <v>98</v>
      </c>
      <c r="AA52" s="53">
        <f t="shared" si="24"/>
        <v>0.98</v>
      </c>
      <c r="AB52" s="54">
        <v>70</v>
      </c>
      <c r="AC52" s="54">
        <v>70</v>
      </c>
      <c r="AD52" s="54">
        <v>60</v>
      </c>
      <c r="AE52" s="54">
        <v>90</v>
      </c>
      <c r="AF52" s="54">
        <v>80</v>
      </c>
      <c r="AG52" s="54">
        <v>80</v>
      </c>
      <c r="AH52" s="54">
        <v>80</v>
      </c>
      <c r="AI52" s="54">
        <v>90</v>
      </c>
      <c r="AJ52" s="54">
        <v>70</v>
      </c>
      <c r="AK52" s="55">
        <f t="shared" si="21"/>
        <v>76.6666666666667</v>
      </c>
      <c r="AL52" s="56">
        <f>AK52*0.01</f>
        <v>0.766666666666667</v>
      </c>
      <c r="AM52" s="57">
        <f t="shared" si="22"/>
        <v>85.5333333333333</v>
      </c>
      <c r="AN52" s="32"/>
    </row>
    <row r="53" spans="1:40">
      <c r="A53" s="50" t="s">
        <v>112</v>
      </c>
      <c r="B53" s="51" t="s">
        <v>113</v>
      </c>
      <c r="C53" s="52">
        <v>8</v>
      </c>
      <c r="D53" s="52">
        <v>8</v>
      </c>
      <c r="E53" s="52">
        <v>0</v>
      </c>
      <c r="F53" s="52">
        <v>9</v>
      </c>
      <c r="G53" s="52">
        <v>0</v>
      </c>
      <c r="H53" s="52">
        <v>10</v>
      </c>
      <c r="I53" s="52">
        <v>9</v>
      </c>
      <c r="J53" s="52">
        <v>9</v>
      </c>
      <c r="K53" s="52">
        <v>0</v>
      </c>
      <c r="L53" s="52">
        <v>8</v>
      </c>
      <c r="M53" s="52">
        <f t="shared" si="19"/>
        <v>26</v>
      </c>
      <c r="N53" s="52">
        <f t="shared" si="20"/>
        <v>81</v>
      </c>
      <c r="O53" s="53">
        <f t="shared" si="23"/>
        <v>0.81</v>
      </c>
      <c r="P53" s="54">
        <v>100</v>
      </c>
      <c r="Q53" s="54">
        <v>100</v>
      </c>
      <c r="R53" s="54">
        <v>80</v>
      </c>
      <c r="S53" s="54">
        <v>90</v>
      </c>
      <c r="T53" s="54">
        <v>100</v>
      </c>
      <c r="U53" s="54">
        <v>100</v>
      </c>
      <c r="V53" s="54">
        <v>90</v>
      </c>
      <c r="W53" s="54">
        <v>100</v>
      </c>
      <c r="X53" s="54">
        <v>0</v>
      </c>
      <c r="Y53" s="54">
        <v>100</v>
      </c>
      <c r="Z53" s="47">
        <f>AVERAGE(P53:Y53)</f>
        <v>86</v>
      </c>
      <c r="AA53" s="53">
        <f t="shared" si="24"/>
        <v>0.86</v>
      </c>
      <c r="AB53" s="54">
        <v>70</v>
      </c>
      <c r="AC53" s="54">
        <v>80</v>
      </c>
      <c r="AD53" s="54">
        <v>70</v>
      </c>
      <c r="AE53" s="54">
        <v>90</v>
      </c>
      <c r="AF53" s="54">
        <v>90</v>
      </c>
      <c r="AG53" s="54">
        <v>80</v>
      </c>
      <c r="AH53" s="54">
        <v>80</v>
      </c>
      <c r="AI53" s="54">
        <v>80</v>
      </c>
      <c r="AJ53" s="54">
        <v>80</v>
      </c>
      <c r="AK53" s="55">
        <f t="shared" si="21"/>
        <v>80</v>
      </c>
      <c r="AL53" s="56">
        <f>AK53*0.01</f>
        <v>0.8</v>
      </c>
      <c r="AM53" s="57">
        <f t="shared" si="22"/>
        <v>82</v>
      </c>
      <c r="AN53" s="32"/>
    </row>
    <row r="54" ht="15" customHeight="1" spans="1:40">
      <c r="A54" s="58" t="s">
        <v>114</v>
      </c>
      <c r="B54" s="58"/>
      <c r="C54" s="59">
        <f>AVERAGE(C6:C53)</f>
        <v>6.89583333333333</v>
      </c>
      <c r="D54" s="59">
        <f t="shared" ref="D54:AF54" si="25">AVERAGE(D6:D53)</f>
        <v>6</v>
      </c>
      <c r="E54" s="59">
        <f t="shared" si="25"/>
        <v>7.77083333333333</v>
      </c>
      <c r="F54" s="59">
        <f t="shared" si="25"/>
        <v>7.46808510638298</v>
      </c>
      <c r="G54" s="59">
        <f t="shared" si="25"/>
        <v>5.4375</v>
      </c>
      <c r="H54" s="59">
        <f t="shared" si="25"/>
        <v>6.04166666666667</v>
      </c>
      <c r="I54" s="59">
        <f t="shared" si="25"/>
        <v>6.9375</v>
      </c>
      <c r="J54" s="59">
        <f t="shared" si="25"/>
        <v>7.6875</v>
      </c>
      <c r="K54" s="59">
        <f t="shared" si="25"/>
        <v>4.33333333333333</v>
      </c>
      <c r="L54" s="59">
        <f t="shared" si="25"/>
        <v>4.83333333333333</v>
      </c>
      <c r="M54" s="59">
        <f t="shared" si="25"/>
        <v>23.7916666666667</v>
      </c>
      <c r="N54" s="59">
        <f t="shared" si="25"/>
        <v>78.7916666666667</v>
      </c>
      <c r="O54" s="60">
        <f t="shared" si="25"/>
        <v>0.787916666666667</v>
      </c>
      <c r="P54" s="59">
        <f t="shared" si="25"/>
        <v>95.4166666666667</v>
      </c>
      <c r="Q54" s="59">
        <f t="shared" si="25"/>
        <v>92.0833333333333</v>
      </c>
      <c r="R54" s="59">
        <f t="shared" si="25"/>
        <v>96.6666666666667</v>
      </c>
      <c r="S54" s="59">
        <f t="shared" si="25"/>
        <v>80.8333333333333</v>
      </c>
      <c r="T54" s="59">
        <f t="shared" si="25"/>
        <v>95</v>
      </c>
      <c r="U54" s="59">
        <f t="shared" si="25"/>
        <v>95</v>
      </c>
      <c r="V54" s="59">
        <f t="shared" si="25"/>
        <v>86.0416666666667</v>
      </c>
      <c r="W54" s="59">
        <f t="shared" si="25"/>
        <v>90.4166666666667</v>
      </c>
      <c r="X54" s="59">
        <f t="shared" si="25"/>
        <v>90.8333333333333</v>
      </c>
      <c r="Y54" s="59">
        <f t="shared" si="25"/>
        <v>86.875</v>
      </c>
      <c r="Z54" s="59">
        <f t="shared" si="25"/>
        <v>90.9166666666667</v>
      </c>
      <c r="AA54" s="61">
        <f t="shared" si="25"/>
        <v>0.909166666666666</v>
      </c>
      <c r="AB54" s="59">
        <f t="shared" si="25"/>
        <v>70.625</v>
      </c>
      <c r="AC54" s="59">
        <f t="shared" si="25"/>
        <v>74.375</v>
      </c>
      <c r="AD54" s="59">
        <f t="shared" si="25"/>
        <v>71.875</v>
      </c>
      <c r="AE54" s="59">
        <f t="shared" si="25"/>
        <v>88.3333333333333</v>
      </c>
      <c r="AF54" s="59">
        <f t="shared" si="25"/>
        <v>94.1666666666667</v>
      </c>
      <c r="AG54" s="59">
        <f t="shared" ref="AG54:AL54" si="26">AVERAGE(AG6:AG53)</f>
        <v>86.25</v>
      </c>
      <c r="AH54" s="59">
        <f t="shared" si="26"/>
        <v>80.2083333333333</v>
      </c>
      <c r="AI54" s="59">
        <f t="shared" si="26"/>
        <v>81.4583333333333</v>
      </c>
      <c r="AJ54" s="59">
        <f t="shared" si="26"/>
        <v>59.375</v>
      </c>
      <c r="AK54" s="59">
        <f t="shared" si="26"/>
        <v>78.5185185185185</v>
      </c>
      <c r="AL54" s="61">
        <f t="shared" si="26"/>
        <v>0.785185185185185</v>
      </c>
      <c r="AM54" s="62">
        <f>AVERAGE(AM6:AM53)</f>
        <v>82.2925925925926</v>
      </c>
    </row>
    <row r="55" spans="1:40">
      <c r="A55" s="58" t="s">
        <v>115</v>
      </c>
      <c r="B55" s="58"/>
      <c r="C55" s="59"/>
      <c r="D55" s="61"/>
      <c r="E55" s="61"/>
      <c r="F55" s="61"/>
      <c r="G55" s="61"/>
      <c r="H55" s="61"/>
      <c r="I55" s="61"/>
      <c r="J55" s="63"/>
      <c r="K55" s="63"/>
      <c r="L55" s="63"/>
      <c r="M55" s="63"/>
      <c r="N55" s="63"/>
      <c r="O55" s="64">
        <f>O54</f>
        <v>0.787916666666667</v>
      </c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5">
        <f>AA54</f>
        <v>0.909166666666666</v>
      </c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5">
        <f>AL54</f>
        <v>0.785185185185185</v>
      </c>
      <c r="AM55" s="66">
        <f>AM54/100</f>
        <v>0.822925925925926</v>
      </c>
    </row>
    <row r="56" spans="1:40"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</row>
  </sheetData>
  <mergeCells count="15">
    <mergeCell ref="A1:AM1"/>
    <mergeCell ref="A2:B2"/>
    <mergeCell ref="C2:AL2"/>
    <mergeCell ref="A3:B3"/>
    <mergeCell ref="C3:O3"/>
    <mergeCell ref="P3:AA3"/>
    <mergeCell ref="AB3:AL3"/>
    <mergeCell ref="C4:O4"/>
    <mergeCell ref="P4:AA4"/>
    <mergeCell ref="AB4:AL4"/>
    <mergeCell ref="A54:B54"/>
    <mergeCell ref="A55:B55"/>
    <mergeCell ref="A4:A5"/>
    <mergeCell ref="B4:B5"/>
    <mergeCell ref="AM3:AM4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R56"/>
  <sheetViews>
    <sheetView topLeftCell="A31" workbookViewId="0">
      <selection activeCell="R7" sqref="R7:R54"/>
    </sheetView>
  </sheetViews>
  <sheetFormatPr defaultColWidth="8.8" defaultRowHeight="15.6"/>
  <cols>
    <col min="1" max="1" width="16.8" customWidth="1"/>
    <col min="2" max="2" width="12.6" customWidth="1"/>
    <col min="16" max="17" width="8.56666666666667" customWidth="1"/>
    <col min="18" max="18" width="7.5" customWidth="1"/>
  </cols>
  <sheetData>
    <row r="1" ht="43.05" hidden="1" customHeight="1" spans="1:18">
      <c r="A1" s="12" t="s">
        <v>169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ht="17.4" spans="1:18">
      <c r="A2" s="13" t="s">
        <v>130</v>
      </c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>
      <c r="A3" s="15" t="s">
        <v>4</v>
      </c>
      <c r="B3" s="15"/>
      <c r="C3" s="16">
        <v>1</v>
      </c>
      <c r="D3" s="16"/>
      <c r="E3" s="16"/>
      <c r="F3" s="16"/>
      <c r="G3" s="17">
        <v>2</v>
      </c>
      <c r="H3" s="17"/>
      <c r="I3" s="17"/>
      <c r="J3" s="17"/>
      <c r="K3" s="17">
        <v>3</v>
      </c>
      <c r="L3" s="17"/>
      <c r="M3" s="17"/>
      <c r="N3" s="17"/>
      <c r="O3" s="17">
        <v>4</v>
      </c>
      <c r="P3" s="17"/>
      <c r="Q3" s="17"/>
      <c r="R3" s="17"/>
    </row>
    <row r="4" spans="1:18">
      <c r="A4" s="15" t="s">
        <v>170</v>
      </c>
      <c r="B4" s="15"/>
      <c r="C4" s="16">
        <v>1.4</v>
      </c>
      <c r="D4" s="16"/>
      <c r="E4" s="16"/>
      <c r="F4" s="16"/>
      <c r="G4" s="17">
        <v>3.2</v>
      </c>
      <c r="H4" s="17"/>
      <c r="I4" s="17"/>
      <c r="J4" s="17"/>
      <c r="K4" s="17">
        <v>4.2</v>
      </c>
      <c r="L4" s="17"/>
      <c r="M4" s="17"/>
      <c r="N4" s="17"/>
      <c r="O4" s="17">
        <v>5.1</v>
      </c>
      <c r="P4" s="17"/>
      <c r="Q4" s="17"/>
      <c r="R4" s="17"/>
    </row>
    <row r="5" spans="1:18">
      <c r="A5" s="15" t="s">
        <v>171</v>
      </c>
      <c r="B5" s="15"/>
      <c r="C5" s="18">
        <v>0.2</v>
      </c>
      <c r="D5" s="18">
        <v>0.3</v>
      </c>
      <c r="E5" s="18">
        <v>0.5</v>
      </c>
      <c r="F5" s="18">
        <v>1</v>
      </c>
      <c r="G5" s="18">
        <v>0.2</v>
      </c>
      <c r="H5" s="18">
        <v>0.3</v>
      </c>
      <c r="I5" s="18">
        <v>0.5</v>
      </c>
      <c r="J5" s="18">
        <v>1</v>
      </c>
      <c r="K5" s="18">
        <v>0.2</v>
      </c>
      <c r="L5" s="18">
        <v>0.3</v>
      </c>
      <c r="M5" s="18">
        <v>0.5</v>
      </c>
      <c r="N5" s="18">
        <v>1</v>
      </c>
      <c r="O5" s="18">
        <v>0.2</v>
      </c>
      <c r="P5" s="18">
        <v>0.3</v>
      </c>
      <c r="Q5" s="18">
        <v>0.5</v>
      </c>
      <c r="R5" s="18">
        <v>1</v>
      </c>
    </row>
    <row r="6" ht="23.1" customHeight="1" spans="1:18">
      <c r="A6" s="19" t="s">
        <v>7</v>
      </c>
      <c r="B6" s="19" t="s">
        <v>172</v>
      </c>
      <c r="C6" s="20" t="s">
        <v>173</v>
      </c>
      <c r="D6" s="20" t="s">
        <v>174</v>
      </c>
      <c r="E6" s="20" t="s">
        <v>175</v>
      </c>
      <c r="F6" s="21" t="s">
        <v>115</v>
      </c>
      <c r="G6" s="20" t="s">
        <v>173</v>
      </c>
      <c r="H6" s="20" t="s">
        <v>174</v>
      </c>
      <c r="I6" s="20" t="s">
        <v>175</v>
      </c>
      <c r="J6" s="21" t="s">
        <v>115</v>
      </c>
      <c r="K6" s="20" t="s">
        <v>173</v>
      </c>
      <c r="L6" s="20" t="s">
        <v>174</v>
      </c>
      <c r="M6" s="20" t="s">
        <v>175</v>
      </c>
      <c r="N6" s="21" t="s">
        <v>115</v>
      </c>
      <c r="O6" s="20" t="s">
        <v>173</v>
      </c>
      <c r="P6" s="20" t="s">
        <v>174</v>
      </c>
      <c r="Q6" s="20" t="s">
        <v>175</v>
      </c>
      <c r="R6" s="21" t="s">
        <v>115</v>
      </c>
    </row>
    <row r="7" spans="1:18">
      <c r="A7" s="22" t="s">
        <v>18</v>
      </c>
      <c r="B7" s="23" t="s">
        <v>19</v>
      </c>
      <c r="C7" s="24">
        <v>0.64</v>
      </c>
      <c r="D7" s="24">
        <v>0.8</v>
      </c>
      <c r="E7" s="24">
        <v>0.76</v>
      </c>
      <c r="F7" s="1">
        <f>(C7*$C$5+D7*$D$5+E7*$E$5)</f>
        <v>0.748</v>
      </c>
      <c r="G7" s="1">
        <v>0.7</v>
      </c>
      <c r="H7" s="24">
        <v>0.9</v>
      </c>
      <c r="I7" s="1">
        <v>0.71</v>
      </c>
      <c r="J7" s="1">
        <f>(G7*$G$5+H7*$H$5+I7*$I$5)</f>
        <v>0.765</v>
      </c>
      <c r="K7" s="1">
        <v>0</v>
      </c>
      <c r="L7" s="1">
        <v>0.7</v>
      </c>
      <c r="M7" s="24">
        <v>0.72</v>
      </c>
      <c r="N7" s="1">
        <f>(K7*$K$5+L7*$L$5+M7*$M$5)</f>
        <v>0.57</v>
      </c>
      <c r="O7" s="1">
        <v>0.733333333333333</v>
      </c>
      <c r="P7" s="24">
        <v>0.7</v>
      </c>
      <c r="Q7" s="24">
        <v>0.68</v>
      </c>
      <c r="R7" s="1">
        <f>(O7*$O$5+P7*$P$5+Q7*$Q$5)</f>
        <v>0.696666666666667</v>
      </c>
    </row>
    <row r="8" spans="1:18">
      <c r="A8" s="22" t="s">
        <v>20</v>
      </c>
      <c r="B8" s="23" t="s">
        <v>21</v>
      </c>
      <c r="C8" s="24">
        <v>0.81</v>
      </c>
      <c r="D8" s="24">
        <v>0.9</v>
      </c>
      <c r="E8" s="24">
        <v>0.76</v>
      </c>
      <c r="F8" s="1">
        <f t="shared" ref="F8:F13" si="0">(C8*$C$5+D8*$D$5+E8*$E$5)</f>
        <v>0.812</v>
      </c>
      <c r="G8" s="1">
        <v>0.99</v>
      </c>
      <c r="H8" s="24">
        <v>0.9</v>
      </c>
      <c r="I8" s="1">
        <v>0.7</v>
      </c>
      <c r="J8" s="1">
        <f t="shared" ref="J8:J17" si="1">(G8*$G$5+H8*$H$5+I8*$I$5)</f>
        <v>0.818</v>
      </c>
      <c r="K8" s="1">
        <v>0</v>
      </c>
      <c r="L8" s="1">
        <v>0.75</v>
      </c>
      <c r="M8" s="24">
        <v>0.5</v>
      </c>
      <c r="N8" s="1">
        <f t="shared" ref="N8:N17" si="2">(K8*$K$5+L8*$L$5+M8*$M$5)</f>
        <v>0.475</v>
      </c>
      <c r="O8" s="1">
        <v>0.677777777777778</v>
      </c>
      <c r="P8" s="24">
        <v>0.7</v>
      </c>
      <c r="Q8" s="24">
        <v>0.8</v>
      </c>
      <c r="R8" s="1">
        <f t="shared" ref="R8:R17" si="3">(O8*$O$5+P8*$P$5+Q8*$Q$5)</f>
        <v>0.745555555555556</v>
      </c>
    </row>
    <row r="9" spans="1:18">
      <c r="A9" s="22" t="s">
        <v>22</v>
      </c>
      <c r="B9" s="23" t="s">
        <v>23</v>
      </c>
      <c r="C9" s="24">
        <v>0.89</v>
      </c>
      <c r="D9" s="24">
        <v>0.95</v>
      </c>
      <c r="E9" s="24">
        <v>0.62</v>
      </c>
      <c r="F9" s="1">
        <f t="shared" si="0"/>
        <v>0.773</v>
      </c>
      <c r="G9" s="1">
        <v>0.96</v>
      </c>
      <c r="H9" s="24">
        <v>1</v>
      </c>
      <c r="I9" s="1">
        <v>0.5</v>
      </c>
      <c r="J9" s="1">
        <f t="shared" si="1"/>
        <v>0.742</v>
      </c>
      <c r="K9" s="1">
        <v>0</v>
      </c>
      <c r="L9" s="1">
        <v>0.75</v>
      </c>
      <c r="M9" s="24">
        <v>0.5</v>
      </c>
      <c r="N9" s="1">
        <f t="shared" si="2"/>
        <v>0.475</v>
      </c>
      <c r="O9" s="1">
        <v>0.811111111111111</v>
      </c>
      <c r="P9" s="24">
        <v>0.7</v>
      </c>
      <c r="Q9" s="24">
        <v>0.6</v>
      </c>
      <c r="R9" s="1">
        <f t="shared" si="3"/>
        <v>0.672222222222222</v>
      </c>
    </row>
    <row r="10" spans="1:18">
      <c r="A10" s="22" t="s">
        <v>24</v>
      </c>
      <c r="B10" s="23" t="s">
        <v>25</v>
      </c>
      <c r="C10" s="24">
        <v>0.89</v>
      </c>
      <c r="D10" s="24">
        <v>0.95</v>
      </c>
      <c r="E10" s="24">
        <v>0.92</v>
      </c>
      <c r="F10" s="1">
        <f t="shared" si="0"/>
        <v>0.923</v>
      </c>
      <c r="G10" s="1">
        <v>1</v>
      </c>
      <c r="H10" s="24">
        <v>0.85</v>
      </c>
      <c r="I10" s="1">
        <v>0.91</v>
      </c>
      <c r="J10" s="1">
        <f t="shared" si="1"/>
        <v>0.91</v>
      </c>
      <c r="K10" s="1">
        <v>0</v>
      </c>
      <c r="L10" s="1">
        <v>0.85</v>
      </c>
      <c r="M10" s="24">
        <v>0.92</v>
      </c>
      <c r="N10" s="1">
        <f t="shared" si="2"/>
        <v>0.715</v>
      </c>
      <c r="O10" s="1">
        <v>0.888888888888889</v>
      </c>
      <c r="P10" s="24">
        <v>0.7</v>
      </c>
      <c r="Q10" s="24">
        <v>0.87</v>
      </c>
      <c r="R10" s="1">
        <f t="shared" si="3"/>
        <v>0.822777777777778</v>
      </c>
    </row>
    <row r="11" spans="1:18">
      <c r="A11" s="22" t="s">
        <v>26</v>
      </c>
      <c r="B11" s="23" t="s">
        <v>27</v>
      </c>
      <c r="C11" s="24">
        <v>0.81</v>
      </c>
      <c r="D11" s="24">
        <v>0.8</v>
      </c>
      <c r="E11" s="24">
        <v>0.92</v>
      </c>
      <c r="F11" s="1">
        <f t="shared" si="0"/>
        <v>0.862</v>
      </c>
      <c r="G11" s="1">
        <v>0.85</v>
      </c>
      <c r="H11" s="24">
        <v>0.75</v>
      </c>
      <c r="I11" s="1">
        <v>0.91</v>
      </c>
      <c r="J11" s="1">
        <f t="shared" si="1"/>
        <v>0.85</v>
      </c>
      <c r="K11" s="1">
        <v>0</v>
      </c>
      <c r="L11" s="1">
        <v>0.925</v>
      </c>
      <c r="M11" s="24">
        <v>0.92</v>
      </c>
      <c r="N11" s="1">
        <f t="shared" si="2"/>
        <v>0.7375</v>
      </c>
      <c r="O11" s="1">
        <v>0.9</v>
      </c>
      <c r="P11" s="24">
        <v>0.6</v>
      </c>
      <c r="Q11" s="24">
        <v>0.93</v>
      </c>
      <c r="R11" s="1">
        <f t="shared" si="3"/>
        <v>0.825</v>
      </c>
    </row>
    <row r="12" spans="1:18">
      <c r="A12" s="22" t="s">
        <v>28</v>
      </c>
      <c r="B12" s="23" t="s">
        <v>29</v>
      </c>
      <c r="C12" s="24">
        <v>0.89</v>
      </c>
      <c r="D12" s="24">
        <v>0.9</v>
      </c>
      <c r="E12" s="24">
        <v>0.78</v>
      </c>
      <c r="F12" s="1">
        <f t="shared" si="0"/>
        <v>0.838</v>
      </c>
      <c r="G12" s="1">
        <v>0.99</v>
      </c>
      <c r="H12" s="24">
        <v>1</v>
      </c>
      <c r="I12" s="1">
        <v>0.78</v>
      </c>
      <c r="J12" s="1">
        <f t="shared" si="1"/>
        <v>0.888</v>
      </c>
      <c r="K12" s="1">
        <v>0</v>
      </c>
      <c r="L12" s="1">
        <v>0.8</v>
      </c>
      <c r="M12" s="24">
        <v>0.86</v>
      </c>
      <c r="N12" s="1">
        <f t="shared" si="2"/>
        <v>0.67</v>
      </c>
      <c r="O12" s="1">
        <v>0.833333333333333</v>
      </c>
      <c r="P12" s="24">
        <v>0.8</v>
      </c>
      <c r="Q12" s="24">
        <v>0.87</v>
      </c>
      <c r="R12" s="1">
        <f t="shared" si="3"/>
        <v>0.841666666666667</v>
      </c>
    </row>
    <row r="13" spans="1:18">
      <c r="A13" s="22" t="s">
        <v>30</v>
      </c>
      <c r="B13" s="23" t="s">
        <v>31</v>
      </c>
      <c r="C13" s="24">
        <v>0.81</v>
      </c>
      <c r="D13" s="24">
        <v>0.95</v>
      </c>
      <c r="E13" s="24">
        <v>0.5</v>
      </c>
      <c r="F13" s="1">
        <f t="shared" si="0"/>
        <v>0.697</v>
      </c>
      <c r="G13" s="1">
        <v>0.86</v>
      </c>
      <c r="H13" s="24">
        <v>0.9</v>
      </c>
      <c r="I13" s="1">
        <v>0.5</v>
      </c>
      <c r="J13" s="1">
        <f t="shared" si="1"/>
        <v>0.692</v>
      </c>
      <c r="K13" s="1">
        <v>0</v>
      </c>
      <c r="L13" s="1">
        <v>0.75</v>
      </c>
      <c r="M13" s="24">
        <v>0.7</v>
      </c>
      <c r="N13" s="1">
        <f t="shared" si="2"/>
        <v>0.575</v>
      </c>
      <c r="O13" s="1">
        <v>0.777777777777778</v>
      </c>
      <c r="P13" s="24">
        <v>0.7</v>
      </c>
      <c r="Q13" s="24">
        <v>0.627</v>
      </c>
      <c r="R13" s="1">
        <f t="shared" si="3"/>
        <v>0.679055555555556</v>
      </c>
    </row>
    <row r="14" spans="1:18">
      <c r="A14" s="22" t="s">
        <v>32</v>
      </c>
      <c r="B14" s="23" t="s">
        <v>33</v>
      </c>
      <c r="C14" s="24">
        <v>0.89</v>
      </c>
      <c r="D14" s="24">
        <v>0.9</v>
      </c>
      <c r="E14" s="24">
        <v>0.88</v>
      </c>
      <c r="F14" s="1">
        <f>(C14*$C$5+D14*$D$5+E14*$E$5)</f>
        <v>0.888</v>
      </c>
      <c r="G14" s="1">
        <v>0.94</v>
      </c>
      <c r="H14" s="24">
        <v>0.925</v>
      </c>
      <c r="I14" s="1">
        <v>0.8</v>
      </c>
      <c r="J14" s="1">
        <f t="shared" si="1"/>
        <v>0.8655</v>
      </c>
      <c r="K14" s="1">
        <v>0</v>
      </c>
      <c r="L14" s="1">
        <v>0.7</v>
      </c>
      <c r="M14" s="24">
        <v>0.9</v>
      </c>
      <c r="N14" s="1">
        <f t="shared" si="2"/>
        <v>0.66</v>
      </c>
      <c r="O14" s="1">
        <v>0.811111111111111</v>
      </c>
      <c r="P14" s="24">
        <v>0.7</v>
      </c>
      <c r="Q14" s="24">
        <v>0.74</v>
      </c>
      <c r="R14" s="1">
        <f t="shared" si="3"/>
        <v>0.742222222222222</v>
      </c>
    </row>
    <row r="15" spans="1:18">
      <c r="A15" s="22" t="s">
        <v>34</v>
      </c>
      <c r="B15" s="23" t="s">
        <v>35</v>
      </c>
      <c r="C15" s="24">
        <v>0.89</v>
      </c>
      <c r="D15" s="24">
        <v>0.9</v>
      </c>
      <c r="E15" s="24">
        <v>0.8</v>
      </c>
      <c r="F15" s="1">
        <f t="shared" ref="F15:F26" si="4">(C15*$C$5+D15*$D$5+E15*$E$5)</f>
        <v>0.848</v>
      </c>
      <c r="G15" s="1">
        <v>0.97</v>
      </c>
      <c r="H15" s="24">
        <v>0.85</v>
      </c>
      <c r="I15" s="1">
        <v>0.7</v>
      </c>
      <c r="J15" s="1">
        <f>(G15*$G$5+H15*$H$5+I15*$I$5)</f>
        <v>0.799</v>
      </c>
      <c r="K15" s="1">
        <v>0</v>
      </c>
      <c r="L15" s="1">
        <v>0.75</v>
      </c>
      <c r="M15" s="24">
        <v>0.72</v>
      </c>
      <c r="N15" s="1">
        <f>(K15*$K$5+L15*$L$5+M15*$M$5)</f>
        <v>0.585</v>
      </c>
      <c r="O15" s="1">
        <v>0.788888888888889</v>
      </c>
      <c r="P15" s="24">
        <v>0.7</v>
      </c>
      <c r="Q15" s="24">
        <v>0.78</v>
      </c>
      <c r="R15" s="1">
        <f>(O15*$O$5+P15*$P$5+Q15*$Q$5)</f>
        <v>0.757777777777778</v>
      </c>
    </row>
    <row r="16" spans="1:18">
      <c r="A16" s="22" t="s">
        <v>36</v>
      </c>
      <c r="B16" s="23" t="s">
        <v>37</v>
      </c>
      <c r="C16" s="24">
        <v>0.81</v>
      </c>
      <c r="D16" s="24">
        <v>1</v>
      </c>
      <c r="E16" s="24">
        <v>0.94</v>
      </c>
      <c r="F16" s="1">
        <f t="shared" si="4"/>
        <v>0.932</v>
      </c>
      <c r="G16" s="1">
        <v>0.94</v>
      </c>
      <c r="H16" s="24">
        <v>0.9</v>
      </c>
      <c r="I16" s="1">
        <v>0.92</v>
      </c>
      <c r="J16" s="1">
        <f>(G16*$G$5+H16*$H$5+I16*$I$5)</f>
        <v>0.918</v>
      </c>
      <c r="K16" s="1">
        <v>0</v>
      </c>
      <c r="L16" s="1">
        <v>0.8</v>
      </c>
      <c r="M16" s="24">
        <v>0.94</v>
      </c>
      <c r="N16" s="1">
        <f>(K16*$K$5+L16*$L$5+M16*$M$5)</f>
        <v>0.71</v>
      </c>
      <c r="O16" s="1">
        <v>0.788888888888889</v>
      </c>
      <c r="P16" s="24">
        <v>0.95</v>
      </c>
      <c r="Q16" s="24">
        <v>0.847</v>
      </c>
      <c r="R16" s="1">
        <f>(O16*$O$5+P16*$P$5+Q16*$Q$5)</f>
        <v>0.866277777777778</v>
      </c>
    </row>
    <row r="17" spans="1:18">
      <c r="A17" s="22" t="s">
        <v>38</v>
      </c>
      <c r="B17" s="23" t="s">
        <v>39</v>
      </c>
      <c r="C17" s="24">
        <v>0.89</v>
      </c>
      <c r="D17" s="24">
        <v>0.9</v>
      </c>
      <c r="E17" s="24">
        <v>0.9</v>
      </c>
      <c r="F17" s="1">
        <f t="shared" si="4"/>
        <v>0.898</v>
      </c>
      <c r="G17" s="1">
        <v>1</v>
      </c>
      <c r="H17" s="24">
        <v>0.925</v>
      </c>
      <c r="I17" s="1">
        <v>0.9</v>
      </c>
      <c r="J17" s="1">
        <f t="shared" ref="J17:J28" si="5">(G17*$G$5+H17*$H$5+I17*$I$5)</f>
        <v>0.9275</v>
      </c>
      <c r="K17" s="1">
        <v>0</v>
      </c>
      <c r="L17" s="1">
        <v>0.8</v>
      </c>
      <c r="M17" s="24">
        <v>0.94</v>
      </c>
      <c r="N17" s="1">
        <f t="shared" ref="N17:N26" si="6">(K17*$K$5+L17*$L$5+M17*$M$5)</f>
        <v>0.71</v>
      </c>
      <c r="O17" s="1">
        <v>0.855555555555556</v>
      </c>
      <c r="P17" s="24">
        <v>0.7</v>
      </c>
      <c r="Q17" s="24">
        <v>0.9</v>
      </c>
      <c r="R17" s="1">
        <f t="shared" ref="R17:R27" si="7">(O17*$O$5+P17*$P$5+Q17*$Q$5)</f>
        <v>0.831111111111111</v>
      </c>
    </row>
    <row r="18" spans="1:18">
      <c r="A18" s="22" t="s">
        <v>40</v>
      </c>
      <c r="B18" s="23" t="s">
        <v>41</v>
      </c>
      <c r="C18" s="24">
        <v>0.89</v>
      </c>
      <c r="D18" s="24">
        <v>0.95</v>
      </c>
      <c r="E18" s="24">
        <v>0.8</v>
      </c>
      <c r="F18" s="1">
        <f t="shared" si="4"/>
        <v>0.863</v>
      </c>
      <c r="G18" s="1">
        <v>0.91</v>
      </c>
      <c r="H18" s="24">
        <v>0.85</v>
      </c>
      <c r="I18" s="1">
        <v>0.7</v>
      </c>
      <c r="J18" s="1">
        <f t="shared" si="5"/>
        <v>0.787</v>
      </c>
      <c r="K18" s="1">
        <v>0</v>
      </c>
      <c r="L18" s="1">
        <v>0.75</v>
      </c>
      <c r="M18" s="24">
        <v>0.7</v>
      </c>
      <c r="N18" s="1">
        <f t="shared" si="6"/>
        <v>0.575</v>
      </c>
      <c r="O18" s="1">
        <v>0.8</v>
      </c>
      <c r="P18" s="24">
        <v>0.7</v>
      </c>
      <c r="Q18" s="24">
        <v>0.833</v>
      </c>
      <c r="R18" s="1">
        <f t="shared" si="7"/>
        <v>0.7865</v>
      </c>
    </row>
    <row r="19" spans="1:18">
      <c r="A19" s="22" t="s">
        <v>42</v>
      </c>
      <c r="B19" s="23" t="s">
        <v>43</v>
      </c>
      <c r="C19" s="24">
        <v>0.81</v>
      </c>
      <c r="D19" s="24">
        <v>1</v>
      </c>
      <c r="E19" s="24">
        <v>0.9</v>
      </c>
      <c r="F19" s="1">
        <f t="shared" si="4"/>
        <v>0.912</v>
      </c>
      <c r="G19" s="1">
        <v>0.92</v>
      </c>
      <c r="H19" s="24">
        <v>0.9</v>
      </c>
      <c r="I19" s="1">
        <v>0.9</v>
      </c>
      <c r="J19" s="1">
        <f t="shared" si="5"/>
        <v>0.904</v>
      </c>
      <c r="K19" s="1">
        <v>0</v>
      </c>
      <c r="L19" s="1">
        <v>0.75</v>
      </c>
      <c r="M19" s="24">
        <v>0.9</v>
      </c>
      <c r="N19" s="1">
        <f t="shared" si="6"/>
        <v>0.675</v>
      </c>
      <c r="O19" s="1">
        <v>0.811111111111111</v>
      </c>
      <c r="P19" s="24">
        <v>0.95</v>
      </c>
      <c r="Q19" s="24">
        <v>0.93</v>
      </c>
      <c r="R19" s="1">
        <f t="shared" si="7"/>
        <v>0.912222222222222</v>
      </c>
    </row>
    <row r="20" spans="1:18">
      <c r="A20" s="22" t="s">
        <v>44</v>
      </c>
      <c r="B20" s="23" t="s">
        <v>45</v>
      </c>
      <c r="C20" s="24">
        <v>0.81</v>
      </c>
      <c r="D20" s="24">
        <v>0.95</v>
      </c>
      <c r="E20" s="24">
        <v>0.86</v>
      </c>
      <c r="F20" s="1">
        <f t="shared" si="4"/>
        <v>0.877</v>
      </c>
      <c r="G20" s="1">
        <v>0.99</v>
      </c>
      <c r="H20" s="24">
        <v>0.925</v>
      </c>
      <c r="I20" s="1">
        <v>0.84</v>
      </c>
      <c r="J20" s="1">
        <f t="shared" si="5"/>
        <v>0.8955</v>
      </c>
      <c r="K20" s="1">
        <v>0</v>
      </c>
      <c r="L20" s="1">
        <v>0.85</v>
      </c>
      <c r="M20" s="24">
        <v>0.88</v>
      </c>
      <c r="N20" s="1">
        <f t="shared" si="6"/>
        <v>0.695</v>
      </c>
      <c r="O20" s="1">
        <v>0.844444444444444</v>
      </c>
      <c r="P20" s="24">
        <v>0.7</v>
      </c>
      <c r="Q20" s="24">
        <v>0.8</v>
      </c>
      <c r="R20" s="1">
        <f t="shared" si="7"/>
        <v>0.778888888888889</v>
      </c>
    </row>
    <row r="21" spans="1:18">
      <c r="A21" s="22" t="s">
        <v>46</v>
      </c>
      <c r="B21" s="23" t="s">
        <v>47</v>
      </c>
      <c r="C21" s="24">
        <v>0.81</v>
      </c>
      <c r="D21" s="24">
        <v>0.9</v>
      </c>
      <c r="E21" s="24">
        <v>0.8</v>
      </c>
      <c r="F21" s="1">
        <f t="shared" si="4"/>
        <v>0.832</v>
      </c>
      <c r="G21" s="1">
        <v>0.94</v>
      </c>
      <c r="H21" s="24">
        <v>0.85</v>
      </c>
      <c r="I21" s="1">
        <v>0.76</v>
      </c>
      <c r="J21" s="1">
        <f t="shared" si="5"/>
        <v>0.823</v>
      </c>
      <c r="K21" s="1">
        <v>0</v>
      </c>
      <c r="L21" s="1">
        <v>0.75</v>
      </c>
      <c r="M21" s="24">
        <v>0.8</v>
      </c>
      <c r="N21" s="1">
        <f t="shared" si="6"/>
        <v>0.625</v>
      </c>
      <c r="O21" s="1">
        <v>0.866666666666667</v>
      </c>
      <c r="P21" s="24">
        <v>0.7</v>
      </c>
      <c r="Q21" s="24">
        <v>0.82</v>
      </c>
      <c r="R21" s="1">
        <f t="shared" si="7"/>
        <v>0.793333333333333</v>
      </c>
    </row>
    <row r="22" spans="1:18">
      <c r="A22" s="22" t="s">
        <v>48</v>
      </c>
      <c r="B22" s="23" t="s">
        <v>49</v>
      </c>
      <c r="C22" s="24">
        <v>0.89</v>
      </c>
      <c r="D22" s="24">
        <v>0.9</v>
      </c>
      <c r="E22" s="24">
        <v>0.78</v>
      </c>
      <c r="F22" s="1">
        <f t="shared" si="4"/>
        <v>0.838</v>
      </c>
      <c r="G22" s="1">
        <v>0.95</v>
      </c>
      <c r="H22" s="24">
        <v>1</v>
      </c>
      <c r="I22" s="1">
        <v>0.76</v>
      </c>
      <c r="J22" s="1">
        <f t="shared" si="5"/>
        <v>0.87</v>
      </c>
      <c r="K22" s="1">
        <v>0</v>
      </c>
      <c r="L22" s="1">
        <v>0.85</v>
      </c>
      <c r="M22" s="24">
        <v>0.8</v>
      </c>
      <c r="N22" s="1">
        <f t="shared" si="6"/>
        <v>0.655</v>
      </c>
      <c r="O22" s="1">
        <v>0.855555555555556</v>
      </c>
      <c r="P22" s="24">
        <v>0.7</v>
      </c>
      <c r="Q22" s="24">
        <v>0.84</v>
      </c>
      <c r="R22" s="1">
        <f t="shared" si="7"/>
        <v>0.801111111111111</v>
      </c>
    </row>
    <row r="23" spans="1:18">
      <c r="A23" s="22" t="s">
        <v>50</v>
      </c>
      <c r="B23" s="23" t="s">
        <v>51</v>
      </c>
      <c r="C23" s="24">
        <v>0.55</v>
      </c>
      <c r="D23" s="24">
        <v>0</v>
      </c>
      <c r="E23" s="24">
        <v>0.8</v>
      </c>
      <c r="F23" s="1">
        <f t="shared" si="4"/>
        <v>0.51</v>
      </c>
      <c r="G23" s="1">
        <v>0</v>
      </c>
      <c r="H23" s="24">
        <v>0</v>
      </c>
      <c r="I23" s="1">
        <v>0.7</v>
      </c>
      <c r="J23" s="1">
        <f t="shared" si="5"/>
        <v>0.35</v>
      </c>
      <c r="K23" s="1">
        <v>0</v>
      </c>
      <c r="L23" s="1">
        <v>0</v>
      </c>
      <c r="M23" s="24">
        <v>0.8</v>
      </c>
      <c r="N23" s="1">
        <f t="shared" si="6"/>
        <v>0.4</v>
      </c>
      <c r="O23" s="1">
        <v>0.633333333333333</v>
      </c>
      <c r="P23" s="24">
        <v>0</v>
      </c>
      <c r="Q23" s="24">
        <v>0.833</v>
      </c>
      <c r="R23" s="1">
        <f t="shared" si="7"/>
        <v>0.543166666666667</v>
      </c>
    </row>
    <row r="24" spans="1:18">
      <c r="A24" s="22" t="s">
        <v>52</v>
      </c>
      <c r="B24" s="23" t="s">
        <v>53</v>
      </c>
      <c r="C24" s="24">
        <v>0.89</v>
      </c>
      <c r="D24" s="24">
        <v>0.975</v>
      </c>
      <c r="E24" s="24">
        <v>0.7</v>
      </c>
      <c r="F24" s="1">
        <f t="shared" si="4"/>
        <v>0.8205</v>
      </c>
      <c r="G24" s="1">
        <v>0.9</v>
      </c>
      <c r="H24" s="24">
        <v>0.9</v>
      </c>
      <c r="I24" s="1">
        <v>0.7</v>
      </c>
      <c r="J24" s="1">
        <f t="shared" si="5"/>
        <v>0.8</v>
      </c>
      <c r="K24" s="1">
        <v>0</v>
      </c>
      <c r="L24" s="1">
        <v>0.85</v>
      </c>
      <c r="M24" s="24">
        <v>0.68</v>
      </c>
      <c r="N24" s="1">
        <f t="shared" si="6"/>
        <v>0.595</v>
      </c>
      <c r="O24" s="1">
        <v>0.755555555555556</v>
      </c>
      <c r="P24" s="24">
        <v>0.7</v>
      </c>
      <c r="Q24" s="24">
        <v>0.74</v>
      </c>
      <c r="R24" s="1">
        <f t="shared" si="7"/>
        <v>0.731111111111111</v>
      </c>
    </row>
    <row r="25" spans="1:18">
      <c r="A25" s="22" t="s">
        <v>54</v>
      </c>
      <c r="B25" s="23" t="s">
        <v>55</v>
      </c>
      <c r="C25" s="24">
        <v>0.72</v>
      </c>
      <c r="D25" s="24">
        <v>0.95</v>
      </c>
      <c r="E25" s="24">
        <v>0.9</v>
      </c>
      <c r="F25" s="1">
        <f t="shared" si="4"/>
        <v>0.879</v>
      </c>
      <c r="G25" s="1">
        <v>0.94</v>
      </c>
      <c r="H25" s="24">
        <v>0.9</v>
      </c>
      <c r="I25" s="1">
        <v>0.88</v>
      </c>
      <c r="J25" s="1">
        <f t="shared" si="5"/>
        <v>0.898</v>
      </c>
      <c r="K25" s="1">
        <v>0</v>
      </c>
      <c r="L25" s="1">
        <v>0.35</v>
      </c>
      <c r="M25" s="24">
        <v>0.93</v>
      </c>
      <c r="N25" s="1">
        <f t="shared" si="6"/>
        <v>0.57</v>
      </c>
      <c r="O25" s="1">
        <v>0.766666666666667</v>
      </c>
      <c r="P25" s="24">
        <v>0.6</v>
      </c>
      <c r="Q25" s="24">
        <v>0.907</v>
      </c>
      <c r="R25" s="1">
        <f t="shared" si="7"/>
        <v>0.786833333333333</v>
      </c>
    </row>
    <row r="26" spans="1:18">
      <c r="A26" s="22" t="s">
        <v>56</v>
      </c>
      <c r="B26" s="23" t="s">
        <v>57</v>
      </c>
      <c r="C26" s="24">
        <v>0.55</v>
      </c>
      <c r="D26" s="24">
        <v>0.9</v>
      </c>
      <c r="E26" s="24">
        <v>0.7</v>
      </c>
      <c r="F26" s="1">
        <f t="shared" si="4"/>
        <v>0.73</v>
      </c>
      <c r="G26" s="1">
        <v>0.9</v>
      </c>
      <c r="H26" s="24">
        <v>0.8</v>
      </c>
      <c r="I26" s="1">
        <v>0.7</v>
      </c>
      <c r="J26" s="1">
        <f t="shared" si="5"/>
        <v>0.77</v>
      </c>
      <c r="K26" s="1">
        <v>0</v>
      </c>
      <c r="L26" s="1">
        <v>0.65</v>
      </c>
      <c r="M26" s="24">
        <v>0.64</v>
      </c>
      <c r="N26" s="1">
        <f t="shared" si="6"/>
        <v>0.515</v>
      </c>
      <c r="O26" s="1">
        <v>0.811111111111111</v>
      </c>
      <c r="P26" s="24">
        <v>0.5</v>
      </c>
      <c r="Q26" s="24">
        <v>0.6</v>
      </c>
      <c r="R26" s="1">
        <f t="shared" si="7"/>
        <v>0.612222222222222</v>
      </c>
    </row>
    <row r="27" spans="1:18">
      <c r="A27" s="22" t="s">
        <v>58</v>
      </c>
      <c r="B27" s="23" t="s">
        <v>59</v>
      </c>
      <c r="C27" s="24">
        <v>0.89</v>
      </c>
      <c r="D27" s="24">
        <v>0.85</v>
      </c>
      <c r="E27" s="24">
        <v>0.9</v>
      </c>
      <c r="F27" s="1">
        <f t="shared" ref="F27:F38" si="8">(C27*$C$5+D27*$D$5+E27*$E$5)</f>
        <v>0.883</v>
      </c>
      <c r="G27" s="1">
        <v>0.95</v>
      </c>
      <c r="H27" s="24">
        <v>0.9</v>
      </c>
      <c r="I27" s="1">
        <v>0.88</v>
      </c>
      <c r="J27" s="1">
        <f t="shared" si="5"/>
        <v>0.9</v>
      </c>
      <c r="K27" s="1">
        <v>0</v>
      </c>
      <c r="L27" s="1">
        <v>0.75</v>
      </c>
      <c r="M27" s="24">
        <v>0.92</v>
      </c>
      <c r="N27" s="1">
        <f t="shared" ref="N27:N38" si="9">(K27*$K$5+L27*$L$5+M27*$M$5)</f>
        <v>0.685</v>
      </c>
      <c r="O27" s="1">
        <v>0.733333333333333</v>
      </c>
      <c r="P27" s="24">
        <v>0.6</v>
      </c>
      <c r="Q27" s="24">
        <v>0.81</v>
      </c>
      <c r="R27" s="1">
        <f t="shared" si="7"/>
        <v>0.731666666666667</v>
      </c>
    </row>
    <row r="28" spans="1:18">
      <c r="A28" s="22" t="s">
        <v>60</v>
      </c>
      <c r="B28" s="23" t="s">
        <v>61</v>
      </c>
      <c r="C28" s="24">
        <v>0.81</v>
      </c>
      <c r="D28" s="24">
        <v>0.85</v>
      </c>
      <c r="E28" s="24">
        <v>0.8</v>
      </c>
      <c r="F28" s="1">
        <f t="shared" si="8"/>
        <v>0.817</v>
      </c>
      <c r="G28" s="1">
        <v>0.92</v>
      </c>
      <c r="H28" s="24">
        <v>0.95</v>
      </c>
      <c r="I28" s="1">
        <v>0.8</v>
      </c>
      <c r="J28" s="1">
        <f t="shared" si="5"/>
        <v>0.869</v>
      </c>
      <c r="K28" s="1">
        <v>0</v>
      </c>
      <c r="L28" s="1">
        <v>0.7</v>
      </c>
      <c r="M28" s="24">
        <v>0.78</v>
      </c>
      <c r="N28" s="1">
        <f t="shared" si="9"/>
        <v>0.6</v>
      </c>
      <c r="O28" s="1">
        <v>0.833333333333333</v>
      </c>
      <c r="P28" s="24">
        <v>0.7</v>
      </c>
      <c r="Q28" s="24">
        <v>0.72</v>
      </c>
      <c r="R28" s="1">
        <f t="shared" ref="R28:R38" si="10">(O28*$O$5+P28*$P$5+Q28*$Q$5)</f>
        <v>0.736666666666667</v>
      </c>
    </row>
    <row r="29" spans="1:18">
      <c r="A29" s="22" t="s">
        <v>62</v>
      </c>
      <c r="B29" s="23" t="s">
        <v>63</v>
      </c>
      <c r="C29" s="24">
        <v>0.89</v>
      </c>
      <c r="D29" s="24">
        <v>1</v>
      </c>
      <c r="E29" s="24">
        <v>0.7</v>
      </c>
      <c r="F29" s="1">
        <f t="shared" si="8"/>
        <v>0.828</v>
      </c>
      <c r="G29" s="1">
        <v>0.99</v>
      </c>
      <c r="H29" s="24">
        <v>0.975</v>
      </c>
      <c r="I29" s="1">
        <v>0.7</v>
      </c>
      <c r="J29" s="1">
        <f t="shared" ref="J29:J40" si="11">(G29*$G$5+H29*$H$5+I29*$I$5)</f>
        <v>0.8405</v>
      </c>
      <c r="K29" s="1">
        <v>0</v>
      </c>
      <c r="L29" s="1">
        <v>0.75</v>
      </c>
      <c r="M29" s="24">
        <v>0.76</v>
      </c>
      <c r="N29" s="1">
        <f t="shared" si="9"/>
        <v>0.605</v>
      </c>
      <c r="O29" s="1">
        <v>0.8</v>
      </c>
      <c r="P29" s="24">
        <v>0.8</v>
      </c>
      <c r="Q29" s="24">
        <v>0.8</v>
      </c>
      <c r="R29" s="1">
        <f t="shared" si="10"/>
        <v>0.8</v>
      </c>
    </row>
    <row r="30" spans="1:18">
      <c r="A30" s="22" t="s">
        <v>64</v>
      </c>
      <c r="B30" s="23" t="s">
        <v>65</v>
      </c>
      <c r="C30" s="24">
        <v>0.63</v>
      </c>
      <c r="D30" s="24">
        <v>0.9</v>
      </c>
      <c r="E30" s="24">
        <v>0.96</v>
      </c>
      <c r="F30" s="1">
        <f t="shared" si="8"/>
        <v>0.876</v>
      </c>
      <c r="G30" s="1">
        <v>0.94</v>
      </c>
      <c r="H30" s="24">
        <v>0.85</v>
      </c>
      <c r="I30" s="1">
        <v>0.94</v>
      </c>
      <c r="J30" s="1">
        <f t="shared" si="11"/>
        <v>0.913</v>
      </c>
      <c r="K30" s="1">
        <v>0</v>
      </c>
      <c r="L30" s="1">
        <v>0.7</v>
      </c>
      <c r="M30" s="24">
        <v>0.98</v>
      </c>
      <c r="N30" s="1">
        <f t="shared" si="9"/>
        <v>0.7</v>
      </c>
      <c r="O30" s="1">
        <v>0.866666666666667</v>
      </c>
      <c r="P30" s="24">
        <v>0.95</v>
      </c>
      <c r="Q30" s="24">
        <v>0.947</v>
      </c>
      <c r="R30" s="1">
        <f t="shared" si="10"/>
        <v>0.931833333333333</v>
      </c>
    </row>
    <row r="31" spans="1:18">
      <c r="A31" s="22" t="s">
        <v>66</v>
      </c>
      <c r="B31" s="23" t="s">
        <v>67</v>
      </c>
      <c r="C31" s="24">
        <v>0.81</v>
      </c>
      <c r="D31" s="24">
        <v>1</v>
      </c>
      <c r="E31" s="24">
        <v>0.67</v>
      </c>
      <c r="F31" s="1">
        <f t="shared" si="8"/>
        <v>0.797</v>
      </c>
      <c r="G31" s="1">
        <v>0.97</v>
      </c>
      <c r="H31" s="24">
        <v>1</v>
      </c>
      <c r="I31" s="1">
        <v>0.62</v>
      </c>
      <c r="J31" s="1">
        <f t="shared" si="11"/>
        <v>0.804</v>
      </c>
      <c r="K31" s="1">
        <v>0</v>
      </c>
      <c r="L31" s="1">
        <v>0.875</v>
      </c>
      <c r="M31" s="24">
        <v>0.62</v>
      </c>
      <c r="N31" s="1">
        <f t="shared" si="9"/>
        <v>0.5725</v>
      </c>
      <c r="O31" s="1">
        <v>0.833333333333333</v>
      </c>
      <c r="P31" s="24">
        <v>0.8</v>
      </c>
      <c r="Q31" s="24">
        <v>0.82</v>
      </c>
      <c r="R31" s="1">
        <f t="shared" si="10"/>
        <v>0.816666666666667</v>
      </c>
    </row>
    <row r="32" spans="1:18">
      <c r="A32" s="22" t="s">
        <v>68</v>
      </c>
      <c r="B32" s="23" t="s">
        <v>69</v>
      </c>
      <c r="C32" s="24">
        <v>0.89</v>
      </c>
      <c r="D32" s="24">
        <v>0.9</v>
      </c>
      <c r="E32" s="24">
        <v>0.82</v>
      </c>
      <c r="F32" s="1">
        <f t="shared" si="8"/>
        <v>0.858</v>
      </c>
      <c r="G32" s="1">
        <v>0.99</v>
      </c>
      <c r="H32" s="24">
        <v>0.85</v>
      </c>
      <c r="I32" s="1">
        <v>0.8</v>
      </c>
      <c r="J32" s="1">
        <f t="shared" si="11"/>
        <v>0.853</v>
      </c>
      <c r="K32" s="1">
        <v>0</v>
      </c>
      <c r="L32" s="1">
        <v>0.8</v>
      </c>
      <c r="M32" s="24">
        <v>0.82</v>
      </c>
      <c r="N32" s="1">
        <f t="shared" si="9"/>
        <v>0.65</v>
      </c>
      <c r="O32" s="1">
        <v>0.777777777777778</v>
      </c>
      <c r="P32" s="24">
        <v>0.7</v>
      </c>
      <c r="Q32" s="24">
        <v>0.67</v>
      </c>
      <c r="R32" s="1">
        <f t="shared" si="10"/>
        <v>0.700555555555556</v>
      </c>
    </row>
    <row r="33" spans="1:18">
      <c r="A33" s="22" t="s">
        <v>70</v>
      </c>
      <c r="B33" s="23" t="s">
        <v>71</v>
      </c>
      <c r="C33" s="24">
        <v>0.64</v>
      </c>
      <c r="D33" s="24">
        <v>0.8</v>
      </c>
      <c r="E33" s="24">
        <v>0.8</v>
      </c>
      <c r="F33" s="1">
        <f t="shared" si="8"/>
        <v>0.768</v>
      </c>
      <c r="G33" s="1">
        <v>0.91</v>
      </c>
      <c r="H33" s="24">
        <v>0.8</v>
      </c>
      <c r="I33" s="1">
        <v>0.7</v>
      </c>
      <c r="J33" s="1">
        <f t="shared" si="11"/>
        <v>0.772</v>
      </c>
      <c r="K33" s="1">
        <v>0</v>
      </c>
      <c r="L33" s="1">
        <v>0.7</v>
      </c>
      <c r="M33" s="24">
        <v>0.68</v>
      </c>
      <c r="N33" s="1">
        <f t="shared" si="9"/>
        <v>0.55</v>
      </c>
      <c r="O33" s="1">
        <v>0.766666666666667</v>
      </c>
      <c r="P33" s="24">
        <v>0.6</v>
      </c>
      <c r="Q33" s="24">
        <v>0.793</v>
      </c>
      <c r="R33" s="1">
        <f t="shared" si="10"/>
        <v>0.729833333333333</v>
      </c>
    </row>
    <row r="34" spans="1:18">
      <c r="A34" s="22" t="s">
        <v>72</v>
      </c>
      <c r="B34" s="23" t="s">
        <v>73</v>
      </c>
      <c r="C34" s="24">
        <v>0.81</v>
      </c>
      <c r="D34" s="24">
        <v>0.75</v>
      </c>
      <c r="E34" s="24">
        <v>0.82</v>
      </c>
      <c r="F34" s="1">
        <f t="shared" si="8"/>
        <v>0.797</v>
      </c>
      <c r="G34" s="1">
        <v>0.96</v>
      </c>
      <c r="H34" s="24">
        <v>0.9</v>
      </c>
      <c r="I34" s="1">
        <v>0.78</v>
      </c>
      <c r="J34" s="1">
        <f t="shared" si="11"/>
        <v>0.852</v>
      </c>
      <c r="K34" s="1">
        <v>0</v>
      </c>
      <c r="L34" s="1">
        <v>0.8</v>
      </c>
      <c r="M34" s="24">
        <v>0.7</v>
      </c>
      <c r="N34" s="1">
        <f t="shared" si="9"/>
        <v>0.59</v>
      </c>
      <c r="O34" s="1">
        <v>0.7</v>
      </c>
      <c r="P34" s="24">
        <v>0.7</v>
      </c>
      <c r="Q34" s="24">
        <v>0.68</v>
      </c>
      <c r="R34" s="1">
        <f t="shared" si="10"/>
        <v>0.69</v>
      </c>
    </row>
    <row r="35" spans="1:18">
      <c r="A35" s="22" t="s">
        <v>74</v>
      </c>
      <c r="B35" s="23" t="s">
        <v>75</v>
      </c>
      <c r="C35" s="24">
        <v>0.73</v>
      </c>
      <c r="D35" s="24">
        <v>0.9</v>
      </c>
      <c r="E35" s="24">
        <v>0.8</v>
      </c>
      <c r="F35" s="1">
        <f t="shared" si="8"/>
        <v>0.816</v>
      </c>
      <c r="G35" s="1">
        <v>0.88</v>
      </c>
      <c r="H35" s="24">
        <v>0.8</v>
      </c>
      <c r="I35" s="1">
        <v>0.78</v>
      </c>
      <c r="J35" s="1">
        <f t="shared" si="11"/>
        <v>0.806</v>
      </c>
      <c r="K35" s="1">
        <v>0</v>
      </c>
      <c r="L35" s="1">
        <v>0.8</v>
      </c>
      <c r="M35" s="24">
        <v>0.78</v>
      </c>
      <c r="N35" s="1">
        <f t="shared" si="9"/>
        <v>0.63</v>
      </c>
      <c r="O35" s="1">
        <v>0.677777777777778</v>
      </c>
      <c r="P35" s="24">
        <v>0.6</v>
      </c>
      <c r="Q35" s="24">
        <v>0.73</v>
      </c>
      <c r="R35" s="1">
        <f t="shared" si="10"/>
        <v>0.680555555555556</v>
      </c>
    </row>
    <row r="36" spans="1:18">
      <c r="A36" s="22" t="s">
        <v>76</v>
      </c>
      <c r="B36" s="23" t="s">
        <v>77</v>
      </c>
      <c r="C36" s="24">
        <v>0.81</v>
      </c>
      <c r="D36" s="24">
        <v>0.85</v>
      </c>
      <c r="E36" s="24">
        <v>0.9</v>
      </c>
      <c r="F36" s="1">
        <f t="shared" si="8"/>
        <v>0.867</v>
      </c>
      <c r="G36" s="1">
        <v>0.97</v>
      </c>
      <c r="H36" s="24">
        <v>0.9</v>
      </c>
      <c r="I36" s="1">
        <v>0.88</v>
      </c>
      <c r="J36" s="1">
        <f t="shared" si="11"/>
        <v>0.904</v>
      </c>
      <c r="K36" s="1">
        <v>0</v>
      </c>
      <c r="L36" s="1">
        <v>0.85</v>
      </c>
      <c r="M36" s="24">
        <v>0.9</v>
      </c>
      <c r="N36" s="1">
        <f t="shared" si="9"/>
        <v>0.705</v>
      </c>
      <c r="O36" s="1">
        <v>0.666666666666667</v>
      </c>
      <c r="P36" s="24">
        <v>0.7</v>
      </c>
      <c r="Q36" s="24">
        <v>0.897</v>
      </c>
      <c r="R36" s="1">
        <f t="shared" si="10"/>
        <v>0.791833333333333</v>
      </c>
    </row>
    <row r="37" spans="1:18">
      <c r="A37" s="22" t="s">
        <v>78</v>
      </c>
      <c r="B37" s="23" t="s">
        <v>79</v>
      </c>
      <c r="C37" s="24">
        <v>0.8</v>
      </c>
      <c r="D37" s="24">
        <v>0.8</v>
      </c>
      <c r="E37" s="24">
        <v>0.66</v>
      </c>
      <c r="F37" s="1">
        <f t="shared" si="8"/>
        <v>0.73</v>
      </c>
      <c r="G37" s="1">
        <v>0.98</v>
      </c>
      <c r="H37" s="24">
        <v>0.9</v>
      </c>
      <c r="I37" s="1">
        <v>0.62</v>
      </c>
      <c r="J37" s="1">
        <f t="shared" si="11"/>
        <v>0.776</v>
      </c>
      <c r="K37" s="1">
        <v>0</v>
      </c>
      <c r="L37" s="1">
        <v>0.8</v>
      </c>
      <c r="M37" s="24">
        <v>0.62</v>
      </c>
      <c r="N37" s="1">
        <f t="shared" si="9"/>
        <v>0.55</v>
      </c>
      <c r="O37" s="1">
        <v>0.711111111111111</v>
      </c>
      <c r="P37" s="24">
        <v>0.7</v>
      </c>
      <c r="Q37" s="24">
        <v>0.75</v>
      </c>
      <c r="R37" s="1">
        <f t="shared" si="10"/>
        <v>0.727222222222222</v>
      </c>
    </row>
    <row r="38" spans="1:18">
      <c r="A38" s="22" t="s">
        <v>80</v>
      </c>
      <c r="B38" s="23" t="s">
        <v>81</v>
      </c>
      <c r="C38" s="24">
        <v>0.89</v>
      </c>
      <c r="D38" s="24">
        <v>1</v>
      </c>
      <c r="E38" s="24">
        <v>0.78</v>
      </c>
      <c r="F38" s="1">
        <f t="shared" si="8"/>
        <v>0.868</v>
      </c>
      <c r="G38" s="1">
        <v>0.96</v>
      </c>
      <c r="H38" s="24">
        <v>0.85</v>
      </c>
      <c r="I38" s="1">
        <v>0.76</v>
      </c>
      <c r="J38" s="1">
        <f t="shared" si="11"/>
        <v>0.827</v>
      </c>
      <c r="K38" s="1">
        <v>0</v>
      </c>
      <c r="L38" s="1">
        <v>0.8</v>
      </c>
      <c r="M38" s="24">
        <v>0.76</v>
      </c>
      <c r="N38" s="1">
        <f t="shared" si="9"/>
        <v>0.62</v>
      </c>
      <c r="O38" s="1">
        <v>0.811111111111111</v>
      </c>
      <c r="P38" s="24">
        <v>0.7</v>
      </c>
      <c r="Q38" s="24">
        <v>0.73</v>
      </c>
      <c r="R38" s="1">
        <f t="shared" si="10"/>
        <v>0.737222222222222</v>
      </c>
    </row>
    <row r="39" spans="1:18">
      <c r="A39" s="22" t="s">
        <v>82</v>
      </c>
      <c r="B39" s="23" t="s">
        <v>83</v>
      </c>
      <c r="C39" s="24">
        <v>0.73</v>
      </c>
      <c r="D39" s="24">
        <v>1</v>
      </c>
      <c r="E39" s="24">
        <v>0.88</v>
      </c>
      <c r="F39" s="1">
        <f t="shared" ref="F39:F50" si="12">(C39*$C$5+D39*$D$5+E39*$E$5)</f>
        <v>0.886</v>
      </c>
      <c r="G39" s="1">
        <v>0.9</v>
      </c>
      <c r="H39" s="24">
        <v>0.7</v>
      </c>
      <c r="I39" s="1">
        <v>0.86</v>
      </c>
      <c r="J39" s="1">
        <f t="shared" si="11"/>
        <v>0.82</v>
      </c>
      <c r="K39" s="1">
        <v>0</v>
      </c>
      <c r="L39" s="1">
        <v>0.7</v>
      </c>
      <c r="M39" s="24">
        <v>0.84</v>
      </c>
      <c r="N39" s="1">
        <f t="shared" ref="N39:N46" si="13">(K39*$K$5+L39*$L$5+M39*$M$5)</f>
        <v>0.63</v>
      </c>
      <c r="O39" s="1">
        <v>0.8</v>
      </c>
      <c r="P39" s="24">
        <v>0.7</v>
      </c>
      <c r="Q39" s="24">
        <v>0.87</v>
      </c>
      <c r="R39" s="1">
        <f t="shared" ref="R39:R50" si="14">(O39*$O$5+P39*$P$5+Q39*$Q$5)</f>
        <v>0.805</v>
      </c>
    </row>
    <row r="40" spans="1:18">
      <c r="A40" s="22" t="s">
        <v>84</v>
      </c>
      <c r="B40" s="23" t="s">
        <v>85</v>
      </c>
      <c r="C40" s="24">
        <v>0.89</v>
      </c>
      <c r="D40" s="24">
        <v>0.8</v>
      </c>
      <c r="E40" s="24">
        <v>0.78</v>
      </c>
      <c r="F40" s="1">
        <f t="shared" si="12"/>
        <v>0.808</v>
      </c>
      <c r="G40" s="1">
        <v>0.95</v>
      </c>
      <c r="H40" s="24">
        <v>0.9</v>
      </c>
      <c r="I40" s="1">
        <v>0.76</v>
      </c>
      <c r="J40" s="1">
        <f t="shared" si="11"/>
        <v>0.84</v>
      </c>
      <c r="K40" s="1">
        <v>0</v>
      </c>
      <c r="L40" s="1">
        <v>0.7</v>
      </c>
      <c r="M40" s="24">
        <v>0.82</v>
      </c>
      <c r="N40" s="1">
        <f t="shared" si="13"/>
        <v>0.62</v>
      </c>
      <c r="O40" s="1">
        <v>0.7</v>
      </c>
      <c r="P40" s="24">
        <v>0.7</v>
      </c>
      <c r="Q40" s="24">
        <v>0.883</v>
      </c>
      <c r="R40" s="1">
        <f t="shared" si="14"/>
        <v>0.7915</v>
      </c>
    </row>
    <row r="41" spans="1:18">
      <c r="A41" s="22" t="s">
        <v>86</v>
      </c>
      <c r="B41" s="23" t="s">
        <v>87</v>
      </c>
      <c r="C41" s="24">
        <v>0.81</v>
      </c>
      <c r="D41" s="24">
        <v>0.95</v>
      </c>
      <c r="E41" s="24">
        <v>0.94</v>
      </c>
      <c r="F41" s="1">
        <f t="shared" si="12"/>
        <v>0.917</v>
      </c>
      <c r="G41" s="1">
        <v>0.92</v>
      </c>
      <c r="H41" s="24">
        <v>0.8</v>
      </c>
      <c r="I41" s="1">
        <v>0.92</v>
      </c>
      <c r="J41" s="1">
        <f>(G41*$G$5+H41*$H$5+I41*$I$5)</f>
        <v>0.884</v>
      </c>
      <c r="K41" s="1">
        <v>0</v>
      </c>
      <c r="L41" s="1">
        <v>0.75</v>
      </c>
      <c r="M41" s="24">
        <v>0.96</v>
      </c>
      <c r="N41" s="1">
        <f t="shared" si="13"/>
        <v>0.705</v>
      </c>
      <c r="O41" s="1">
        <v>0.833333333333333</v>
      </c>
      <c r="P41" s="24">
        <v>0.7</v>
      </c>
      <c r="Q41" s="24">
        <v>0.92</v>
      </c>
      <c r="R41" s="1">
        <f t="shared" si="14"/>
        <v>0.836666666666667</v>
      </c>
    </row>
    <row r="42" spans="1:18">
      <c r="A42" s="22" t="s">
        <v>88</v>
      </c>
      <c r="B42" s="23" t="s">
        <v>89</v>
      </c>
      <c r="C42" s="24">
        <v>0.64</v>
      </c>
      <c r="D42" s="24">
        <v>0.85</v>
      </c>
      <c r="E42" s="24">
        <v>0.78</v>
      </c>
      <c r="F42" s="1">
        <f t="shared" si="12"/>
        <v>0.773</v>
      </c>
      <c r="G42" s="1">
        <v>0.91</v>
      </c>
      <c r="H42" s="24">
        <v>0.9</v>
      </c>
      <c r="I42" s="1">
        <v>0.76</v>
      </c>
      <c r="J42" s="1">
        <f>(G42*$G$5+H42*$H$5+I42*$I$5)</f>
        <v>0.832</v>
      </c>
      <c r="K42" s="1">
        <v>0</v>
      </c>
      <c r="L42" s="1">
        <v>0.75</v>
      </c>
      <c r="M42" s="24">
        <v>0.74</v>
      </c>
      <c r="N42" s="1">
        <f t="shared" si="13"/>
        <v>0.595</v>
      </c>
      <c r="O42" s="1">
        <v>0.8</v>
      </c>
      <c r="P42" s="24">
        <v>0.6</v>
      </c>
      <c r="Q42" s="24">
        <v>0.793</v>
      </c>
      <c r="R42" s="1">
        <f t="shared" si="14"/>
        <v>0.7365</v>
      </c>
    </row>
    <row r="43" spans="1:18">
      <c r="A43" s="22" t="s">
        <v>90</v>
      </c>
      <c r="B43" s="23" t="s">
        <v>91</v>
      </c>
      <c r="C43" s="24">
        <v>0.73</v>
      </c>
      <c r="D43" s="24">
        <v>0.85</v>
      </c>
      <c r="E43" s="24">
        <v>0.92</v>
      </c>
      <c r="F43" s="1">
        <f t="shared" si="12"/>
        <v>0.861</v>
      </c>
      <c r="G43" s="1">
        <v>0.94</v>
      </c>
      <c r="H43" s="24">
        <v>0.85</v>
      </c>
      <c r="I43" s="1">
        <v>0.9</v>
      </c>
      <c r="J43" s="1">
        <f>(G43*$G$5+H43*$H$5+I43*$I$5)</f>
        <v>0.893</v>
      </c>
      <c r="K43" s="1">
        <v>0</v>
      </c>
      <c r="L43" s="1">
        <v>0.75</v>
      </c>
      <c r="M43" s="24">
        <v>0.88</v>
      </c>
      <c r="N43" s="1">
        <f t="shared" si="13"/>
        <v>0.665</v>
      </c>
      <c r="O43" s="1">
        <v>0.8</v>
      </c>
      <c r="P43" s="24">
        <v>0.7</v>
      </c>
      <c r="Q43" s="24">
        <v>0.92</v>
      </c>
      <c r="R43" s="1">
        <f t="shared" si="14"/>
        <v>0.83</v>
      </c>
    </row>
    <row r="44" spans="1:18">
      <c r="A44" s="22" t="s">
        <v>92</v>
      </c>
      <c r="B44" s="23" t="s">
        <v>93</v>
      </c>
      <c r="C44" s="24">
        <v>0.8</v>
      </c>
      <c r="D44" s="24">
        <v>0.875</v>
      </c>
      <c r="E44" s="24">
        <v>0.8</v>
      </c>
      <c r="F44" s="1">
        <f t="shared" si="12"/>
        <v>0.8225</v>
      </c>
      <c r="G44" s="1">
        <v>0.98</v>
      </c>
      <c r="H44" s="24">
        <v>0.975</v>
      </c>
      <c r="I44" s="1">
        <v>0.7</v>
      </c>
      <c r="J44" s="1">
        <f>(G44*$G$5+H44*$H$5+I44*$I$5)</f>
        <v>0.8385</v>
      </c>
      <c r="K44" s="1">
        <v>0</v>
      </c>
      <c r="L44" s="1">
        <v>0.8</v>
      </c>
      <c r="M44" s="24">
        <v>0.8</v>
      </c>
      <c r="N44" s="1">
        <f t="shared" si="13"/>
        <v>0.64</v>
      </c>
      <c r="O44" s="1">
        <v>0.811111111111111</v>
      </c>
      <c r="P44" s="24">
        <v>0.7</v>
      </c>
      <c r="Q44" s="24">
        <v>0.5</v>
      </c>
      <c r="R44" s="1">
        <f t="shared" si="14"/>
        <v>0.622222222222222</v>
      </c>
    </row>
    <row r="45" spans="1:18">
      <c r="A45" s="22" t="s">
        <v>94</v>
      </c>
      <c r="B45" s="23" t="s">
        <v>95</v>
      </c>
      <c r="C45" s="24">
        <v>0.89</v>
      </c>
      <c r="D45" s="24">
        <v>0.95</v>
      </c>
      <c r="E45" s="24">
        <v>0.78</v>
      </c>
      <c r="F45" s="1">
        <f t="shared" si="12"/>
        <v>0.853</v>
      </c>
      <c r="G45" s="1">
        <v>0.97</v>
      </c>
      <c r="H45" s="24">
        <v>0.85</v>
      </c>
      <c r="I45" s="1">
        <v>0.76</v>
      </c>
      <c r="J45" s="1">
        <f>(G45*$G$5+H45*$H$5+I45*$I$5)</f>
        <v>0.829</v>
      </c>
      <c r="K45" s="1">
        <v>0</v>
      </c>
      <c r="L45" s="1">
        <v>0.8</v>
      </c>
      <c r="M45" s="24">
        <v>0.8</v>
      </c>
      <c r="N45" s="1">
        <f t="shared" si="13"/>
        <v>0.64</v>
      </c>
      <c r="O45" s="1">
        <v>0.822222222222222</v>
      </c>
      <c r="P45" s="24">
        <v>0.7</v>
      </c>
      <c r="Q45" s="24">
        <v>0.9</v>
      </c>
      <c r="R45" s="1">
        <f t="shared" si="14"/>
        <v>0.824444444444445</v>
      </c>
    </row>
    <row r="46" spans="1:18">
      <c r="A46" s="22" t="s">
        <v>96</v>
      </c>
      <c r="B46" s="23" t="s">
        <v>97</v>
      </c>
      <c r="C46" s="24">
        <v>0.64</v>
      </c>
      <c r="D46" s="24">
        <v>0.9</v>
      </c>
      <c r="E46" s="24">
        <v>0.5</v>
      </c>
      <c r="F46" s="1">
        <f>(C46*$C$5+D46*$D$5+E46*$E$5)</f>
        <v>0.648</v>
      </c>
      <c r="G46" s="1">
        <v>0.99</v>
      </c>
      <c r="H46" s="24">
        <v>0.9</v>
      </c>
      <c r="I46" s="1">
        <v>0.5</v>
      </c>
      <c r="J46" s="1">
        <f t="shared" ref="J46:J51" si="15">(G46*$G$5+H46*$H$5+I46*$I$5)</f>
        <v>0.718</v>
      </c>
      <c r="K46" s="1">
        <v>0</v>
      </c>
      <c r="L46" s="1">
        <v>0.85</v>
      </c>
      <c r="M46" s="24">
        <v>0.5</v>
      </c>
      <c r="N46" s="1">
        <f t="shared" ref="N46:N54" si="16">(K46*$K$5+L46*$L$5+M46*$M$5)</f>
        <v>0.505</v>
      </c>
      <c r="O46" s="1">
        <v>0.844444444444444</v>
      </c>
      <c r="P46" s="24">
        <v>0.8</v>
      </c>
      <c r="Q46" s="24">
        <v>0.6</v>
      </c>
      <c r="R46" s="1">
        <f>(O46*$O$5+P46*$P$5+Q46*$Q$5)</f>
        <v>0.708888888888889</v>
      </c>
    </row>
    <row r="47" spans="1:18">
      <c r="A47" s="22" t="s">
        <v>98</v>
      </c>
      <c r="B47" s="23" t="s">
        <v>99</v>
      </c>
      <c r="C47" s="24">
        <v>0.72</v>
      </c>
      <c r="D47" s="24">
        <v>0.975</v>
      </c>
      <c r="E47" s="24">
        <v>0.86</v>
      </c>
      <c r="F47" s="1">
        <f>(C47*$C$5+D47*$D$5+E47*$E$5)</f>
        <v>0.8665</v>
      </c>
      <c r="G47" s="1">
        <v>0.91</v>
      </c>
      <c r="H47" s="24">
        <v>0.9</v>
      </c>
      <c r="I47" s="1">
        <v>0.82</v>
      </c>
      <c r="J47" s="1">
        <f t="shared" si="15"/>
        <v>0.862</v>
      </c>
      <c r="K47" s="1">
        <v>0</v>
      </c>
      <c r="L47" s="1">
        <v>0.75</v>
      </c>
      <c r="M47" s="24">
        <v>0.8</v>
      </c>
      <c r="N47" s="1">
        <f t="shared" si="16"/>
        <v>0.625</v>
      </c>
      <c r="O47" s="1">
        <v>0.777777777777778</v>
      </c>
      <c r="P47" s="24">
        <v>0.7</v>
      </c>
      <c r="Q47" s="24">
        <v>0.81</v>
      </c>
      <c r="R47" s="1">
        <f>(O47*$O$5+P47*$P$5+Q47*$Q$5)</f>
        <v>0.770555555555556</v>
      </c>
    </row>
    <row r="48" spans="1:18">
      <c r="A48" s="22" t="s">
        <v>100</v>
      </c>
      <c r="B48" s="23" t="s">
        <v>101</v>
      </c>
      <c r="C48" s="24">
        <v>0.64</v>
      </c>
      <c r="D48" s="24">
        <v>0.85</v>
      </c>
      <c r="E48" s="24">
        <v>0.64</v>
      </c>
      <c r="F48" s="1">
        <f>(C48*$C$5+D48*$D$5+E48*$E$5)</f>
        <v>0.703</v>
      </c>
      <c r="G48" s="1">
        <v>0.82</v>
      </c>
      <c r="H48" s="24">
        <v>0.8</v>
      </c>
      <c r="I48" s="1">
        <v>0.62</v>
      </c>
      <c r="J48" s="1">
        <f t="shared" si="15"/>
        <v>0.714</v>
      </c>
      <c r="K48" s="1">
        <v>0</v>
      </c>
      <c r="L48" s="1">
        <v>0.7</v>
      </c>
      <c r="M48" s="24">
        <v>0.68</v>
      </c>
      <c r="N48" s="1">
        <f t="shared" si="16"/>
        <v>0.55</v>
      </c>
      <c r="O48" s="1">
        <v>0.8</v>
      </c>
      <c r="P48" s="24">
        <v>0.6</v>
      </c>
      <c r="Q48" s="24">
        <v>0.673</v>
      </c>
      <c r="R48" s="1">
        <f>(O48*$O$5+P48*$P$5+Q48*$Q$5)</f>
        <v>0.6765</v>
      </c>
    </row>
    <row r="49" spans="1:18">
      <c r="A49" s="22" t="s">
        <v>102</v>
      </c>
      <c r="B49" s="23" t="s">
        <v>103</v>
      </c>
      <c r="C49" s="24">
        <v>0.55</v>
      </c>
      <c r="D49" s="24">
        <v>0.8</v>
      </c>
      <c r="E49" s="24">
        <v>0.8</v>
      </c>
      <c r="F49" s="1">
        <f>(C49*$C$5+D49*$D$5+E49*$E$5)</f>
        <v>0.75</v>
      </c>
      <c r="G49" s="1">
        <v>0.76</v>
      </c>
      <c r="H49" s="24">
        <v>1</v>
      </c>
      <c r="I49" s="1">
        <v>0.78</v>
      </c>
      <c r="J49" s="1">
        <f t="shared" si="15"/>
        <v>0.842</v>
      </c>
      <c r="K49" s="1">
        <v>0</v>
      </c>
      <c r="L49" s="1">
        <v>0.75</v>
      </c>
      <c r="M49" s="24">
        <v>0.78</v>
      </c>
      <c r="N49" s="1">
        <f t="shared" si="16"/>
        <v>0.615</v>
      </c>
      <c r="O49" s="1">
        <v>0.811111111111111</v>
      </c>
      <c r="P49" s="24">
        <v>0</v>
      </c>
      <c r="Q49" s="24">
        <v>0.7</v>
      </c>
      <c r="R49" s="1">
        <f>(O49*$O$5+P49*$P$5+Q49*$Q$5)</f>
        <v>0.512222222222222</v>
      </c>
    </row>
    <row r="50" spans="1:18">
      <c r="A50" s="22" t="s">
        <v>104</v>
      </c>
      <c r="B50" s="23" t="s">
        <v>105</v>
      </c>
      <c r="C50" s="24">
        <v>0.81</v>
      </c>
      <c r="D50" s="24">
        <v>0.9</v>
      </c>
      <c r="E50" s="24">
        <v>0.8</v>
      </c>
      <c r="F50" s="1">
        <f>(C50*$C$5+D50*$D$5+E50*$E$5)</f>
        <v>0.832</v>
      </c>
      <c r="G50" s="1">
        <v>0.94</v>
      </c>
      <c r="H50" s="24">
        <v>1</v>
      </c>
      <c r="I50" s="1">
        <v>0.7</v>
      </c>
      <c r="J50" s="1">
        <f t="shared" si="15"/>
        <v>0.838</v>
      </c>
      <c r="K50" s="1">
        <v>0</v>
      </c>
      <c r="L50" s="1">
        <v>0.65</v>
      </c>
      <c r="M50" s="24">
        <v>0.76</v>
      </c>
      <c r="N50" s="1">
        <f t="shared" si="16"/>
        <v>0.575</v>
      </c>
      <c r="O50" s="1">
        <v>0.711111111111111</v>
      </c>
      <c r="P50" s="24">
        <v>0.7</v>
      </c>
      <c r="Q50" s="24">
        <v>0.767</v>
      </c>
      <c r="R50" s="1">
        <f>(O50*$O$5+P50*$P$5+Q50*$Q$5)</f>
        <v>0.735722222222222</v>
      </c>
    </row>
    <row r="51" spans="1:18">
      <c r="A51" s="22" t="s">
        <v>106</v>
      </c>
      <c r="B51" s="23" t="s">
        <v>107</v>
      </c>
      <c r="C51" s="24">
        <v>0.81</v>
      </c>
      <c r="D51" s="24">
        <v>0.9</v>
      </c>
      <c r="E51" s="24">
        <v>0.6</v>
      </c>
      <c r="F51" s="1">
        <f>(C51*$C$5+D51*$D$5+E51*$E$5)</f>
        <v>0.732</v>
      </c>
      <c r="G51" s="1">
        <v>0.96</v>
      </c>
      <c r="H51" s="24">
        <v>0.95</v>
      </c>
      <c r="I51" s="1">
        <v>0.6</v>
      </c>
      <c r="J51" s="1">
        <f t="shared" si="15"/>
        <v>0.777</v>
      </c>
      <c r="K51" s="1">
        <v>0</v>
      </c>
      <c r="L51" s="1">
        <v>0.8</v>
      </c>
      <c r="M51" s="24">
        <v>0.5</v>
      </c>
      <c r="N51" s="1">
        <f t="shared" si="16"/>
        <v>0.49</v>
      </c>
      <c r="O51" s="1">
        <v>0.811111111111111</v>
      </c>
      <c r="P51" s="24">
        <v>0.7</v>
      </c>
      <c r="Q51" s="24">
        <v>0.6</v>
      </c>
      <c r="R51" s="1">
        <f>(O51*$O$5+P51*$P$5+Q51*$Q$5)</f>
        <v>0.672222222222222</v>
      </c>
    </row>
    <row r="52" spans="1:18">
      <c r="A52" s="22" t="s">
        <v>108</v>
      </c>
      <c r="B52" s="23" t="s">
        <v>109</v>
      </c>
      <c r="C52" s="24">
        <v>0.72</v>
      </c>
      <c r="D52" s="24">
        <v>0.85</v>
      </c>
      <c r="E52" s="24">
        <v>0.78</v>
      </c>
      <c r="F52" s="1">
        <f>(C52*$C$5+D52*$D$5+E52*$E$5)</f>
        <v>0.789</v>
      </c>
      <c r="G52" s="1">
        <v>0.78</v>
      </c>
      <c r="H52" s="24">
        <v>0.75</v>
      </c>
      <c r="I52" s="1">
        <v>0.76</v>
      </c>
      <c r="J52" s="1">
        <f>(G52*$G$5+H52*$H$5+I52*$I$5)</f>
        <v>0.761</v>
      </c>
      <c r="K52" s="1">
        <v>0</v>
      </c>
      <c r="L52" s="1">
        <v>0.35</v>
      </c>
      <c r="M52" s="24">
        <v>0.78</v>
      </c>
      <c r="N52" s="1">
        <f t="shared" si="16"/>
        <v>0.495</v>
      </c>
      <c r="O52" s="1">
        <v>0.611111111111111</v>
      </c>
      <c r="P52" s="24">
        <v>0.8</v>
      </c>
      <c r="Q52" s="24">
        <v>0.77</v>
      </c>
      <c r="R52" s="1">
        <f>(O52*$O$5+P52*$P$5+Q52*$Q$5)</f>
        <v>0.747222222222222</v>
      </c>
    </row>
    <row r="53" spans="1:18">
      <c r="A53" s="22" t="s">
        <v>110</v>
      </c>
      <c r="B53" s="23" t="s">
        <v>111</v>
      </c>
      <c r="C53" s="24">
        <v>0.89</v>
      </c>
      <c r="D53" s="24">
        <v>0.8</v>
      </c>
      <c r="E53" s="24">
        <v>0.76</v>
      </c>
      <c r="F53" s="1">
        <f>(C53*$C$5+D53*$D$5+E53*$E$5)</f>
        <v>0.798</v>
      </c>
      <c r="G53" s="1">
        <v>0.98</v>
      </c>
      <c r="H53" s="24">
        <v>0.9</v>
      </c>
      <c r="I53" s="1">
        <v>0.74</v>
      </c>
      <c r="J53" s="1">
        <f>(G53*$G$5+H53*$H$5+I53*$I$5)</f>
        <v>0.836</v>
      </c>
      <c r="K53" s="1">
        <v>0</v>
      </c>
      <c r="L53" s="1">
        <v>0.75</v>
      </c>
      <c r="M53" s="24">
        <v>0.6</v>
      </c>
      <c r="N53" s="1">
        <f t="shared" si="16"/>
        <v>0.525</v>
      </c>
      <c r="O53" s="1">
        <v>0.766666666666667</v>
      </c>
      <c r="P53" s="24">
        <v>0.7</v>
      </c>
      <c r="Q53" s="24">
        <v>0.6</v>
      </c>
      <c r="R53" s="1">
        <f>(O53*$O$5+P53*$P$5+Q53*$Q$5)</f>
        <v>0.663333333333333</v>
      </c>
    </row>
    <row r="54" spans="1:18">
      <c r="A54" s="22" t="s">
        <v>112</v>
      </c>
      <c r="B54" s="23" t="s">
        <v>113</v>
      </c>
      <c r="C54" s="24">
        <v>0.81</v>
      </c>
      <c r="D54" s="24">
        <v>0.975</v>
      </c>
      <c r="E54" s="24">
        <v>0.92</v>
      </c>
      <c r="F54" s="1">
        <f>(C54*$C$5+D54*$D$5+E54*$E$5)</f>
        <v>0.9145</v>
      </c>
      <c r="G54" s="1">
        <v>0.86</v>
      </c>
      <c r="H54" s="24">
        <v>0.85</v>
      </c>
      <c r="I54" s="1">
        <v>0.92</v>
      </c>
      <c r="J54" s="1">
        <f>(G54*$G$5+H54*$H$5+I54*$I$5)</f>
        <v>0.887</v>
      </c>
      <c r="K54" s="1">
        <v>0</v>
      </c>
      <c r="L54" s="1">
        <v>0.85</v>
      </c>
      <c r="M54" s="24">
        <v>0.94</v>
      </c>
      <c r="N54" s="1">
        <f t="shared" si="16"/>
        <v>0.725</v>
      </c>
      <c r="O54" s="1">
        <v>0.8</v>
      </c>
      <c r="P54" s="24">
        <v>0.7</v>
      </c>
      <c r="Q54" s="24">
        <v>0.9</v>
      </c>
      <c r="R54" s="1">
        <f>(O54*$O$5+P54*$P$5+Q54*$Q$5)</f>
        <v>0.82</v>
      </c>
    </row>
    <row r="55" spans="1:18">
      <c r="A55" s="25" t="s">
        <v>114</v>
      </c>
      <c r="B55" s="26"/>
      <c r="C55" s="27">
        <f>AVERAGE(C7:C54)</f>
        <v>0.787916666666667</v>
      </c>
      <c r="D55" s="27">
        <f t="shared" ref="D55:L55" si="17">AVERAGE(D7:D54)</f>
        <v>0.88125</v>
      </c>
      <c r="E55" s="27">
        <f t="shared" si="17"/>
        <v>0.795208333333333</v>
      </c>
      <c r="F55" s="27">
        <f t="shared" si="17"/>
        <v>0.8195625</v>
      </c>
      <c r="G55" s="27">
        <f t="shared" si="17"/>
        <v>0.909166666666666</v>
      </c>
      <c r="H55" s="27">
        <f t="shared" si="17"/>
        <v>0.869270833333333</v>
      </c>
      <c r="I55" s="27">
        <f t="shared" si="17"/>
        <v>0.763125</v>
      </c>
      <c r="J55" s="27">
        <f t="shared" si="17"/>
        <v>0.824177083333334</v>
      </c>
      <c r="K55" s="27">
        <f t="shared" si="17"/>
        <v>0</v>
      </c>
      <c r="L55" s="27">
        <f t="shared" si="17"/>
        <v>0.7375</v>
      </c>
      <c r="M55" s="27">
        <f t="shared" ref="M55:R55" si="18">AVERAGE(M7:M54)</f>
        <v>0.776041666666667</v>
      </c>
      <c r="N55" s="27">
        <f t="shared" si="18"/>
        <v>0.609270833333333</v>
      </c>
      <c r="O55" s="27">
        <f t="shared" si="18"/>
        <v>0.785185185185185</v>
      </c>
      <c r="P55" s="27">
        <f t="shared" si="18"/>
        <v>0.678125</v>
      </c>
      <c r="Q55" s="27">
        <f t="shared" si="18"/>
        <v>0.78125</v>
      </c>
      <c r="R55" s="27">
        <f t="shared" si="18"/>
        <v>0.751099537037037</v>
      </c>
    </row>
    <row r="56" spans="1:18">
      <c r="A56" s="25" t="s">
        <v>13</v>
      </c>
      <c r="B56" s="26"/>
      <c r="C56" s="27">
        <f>F55</f>
        <v>0.8195625</v>
      </c>
      <c r="D56" s="27"/>
      <c r="E56" s="27"/>
      <c r="F56" s="27"/>
      <c r="G56" s="28">
        <f>J55</f>
        <v>0.824177083333334</v>
      </c>
      <c r="H56" s="29"/>
      <c r="I56" s="29"/>
      <c r="J56" s="30"/>
      <c r="K56" s="28">
        <f>N55</f>
        <v>0.609270833333333</v>
      </c>
      <c r="L56" s="29"/>
      <c r="M56" s="29"/>
      <c r="N56" s="30"/>
      <c r="O56" s="28">
        <f>R55</f>
        <v>0.751099537037037</v>
      </c>
      <c r="P56" s="29"/>
      <c r="Q56" s="29"/>
      <c r="R56" s="30"/>
    </row>
  </sheetData>
  <mergeCells count="19">
    <mergeCell ref="A1:J1"/>
    <mergeCell ref="C2:R2"/>
    <mergeCell ref="A3:B3"/>
    <mergeCell ref="C3:F3"/>
    <mergeCell ref="G3:J3"/>
    <mergeCell ref="K3:N3"/>
    <mergeCell ref="O3:R3"/>
    <mergeCell ref="A4:B4"/>
    <mergeCell ref="C4:F4"/>
    <mergeCell ref="G4:J4"/>
    <mergeCell ref="K4:N4"/>
    <mergeCell ref="O4:R4"/>
    <mergeCell ref="A5:B5"/>
    <mergeCell ref="A55:B55"/>
    <mergeCell ref="A56:B56"/>
    <mergeCell ref="C56:F56"/>
    <mergeCell ref="G56:J56"/>
    <mergeCell ref="K56:N56"/>
    <mergeCell ref="O56:R56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J20"/>
  <sheetViews>
    <sheetView zoomScale="115" zoomScaleNormal="115" workbookViewId="0">
      <selection activeCell="A3" sqref="A3:J20"/>
    </sheetView>
  </sheetViews>
  <sheetFormatPr defaultColWidth="8.8" defaultRowHeight="9.6"/>
  <cols>
    <col min="1" max="1" width="10.9583333333333" style="4" customWidth="1"/>
    <col min="2" max="2" width="6.44166666666667" style="4" customWidth="1"/>
    <col min="3" max="3" width="9.25" style="4" customWidth="1"/>
    <col min="4" max="4" width="10.125" style="4" customWidth="1"/>
    <col min="5" max="5" width="10.625" style="4" customWidth="1"/>
    <col min="6" max="6" width="11.7333333333333" style="4" customWidth="1"/>
    <col min="7" max="7" width="9.75" style="4" customWidth="1"/>
    <col min="8" max="8" width="7.06666666666667" style="4" customWidth="1"/>
    <col min="9" max="9" width="6.08333333333333" style="4" customWidth="1"/>
    <col min="10" max="10" width="8.08333333333333" style="4" customWidth="1"/>
    <col min="11" max="32" width="9" style="4"/>
    <col min="33" max="16384" width="8.8" style="4"/>
  </cols>
  <sheetData>
    <row r="2" ht="67.05" customHeight="1" spans="1:10">
      <c r="A2" s="5" t="s">
        <v>176</v>
      </c>
      <c r="B2" s="5"/>
      <c r="C2" s="5"/>
      <c r="D2" s="5"/>
      <c r="E2" s="5"/>
      <c r="F2" s="5"/>
      <c r="G2" s="5"/>
      <c r="H2" s="5"/>
      <c r="I2" s="5"/>
      <c r="J2" s="5"/>
    </row>
    <row r="3" spans="1:10">
      <c r="A3" s="6" t="s">
        <v>177</v>
      </c>
      <c r="B3" s="7"/>
      <c r="C3" s="6" t="s">
        <v>178</v>
      </c>
      <c r="D3" s="6"/>
      <c r="E3" s="6"/>
      <c r="F3" s="6"/>
      <c r="G3" s="6"/>
      <c r="H3" s="6" t="s">
        <v>179</v>
      </c>
      <c r="I3" s="6" t="s">
        <v>180</v>
      </c>
      <c r="J3" s="6"/>
    </row>
    <row r="4" ht="26" customHeight="1" spans="1:10">
      <c r="A4" s="7"/>
      <c r="B4" s="7"/>
      <c r="C4" s="6"/>
      <c r="D4" s="6"/>
      <c r="E4" s="6"/>
      <c r="F4" s="6"/>
      <c r="G4" s="6"/>
      <c r="H4" s="6"/>
      <c r="I4" s="6"/>
      <c r="J4" s="6"/>
    </row>
    <row r="5" spans="1:10">
      <c r="A5" s="6" t="s">
        <v>181</v>
      </c>
      <c r="B5" s="6" t="s">
        <v>171</v>
      </c>
      <c r="C5" s="6" t="s">
        <v>182</v>
      </c>
      <c r="D5" s="6" t="s">
        <v>183</v>
      </c>
      <c r="E5" s="6" t="s">
        <v>158</v>
      </c>
      <c r="F5" s="6" t="s">
        <v>184</v>
      </c>
      <c r="G5" s="6" t="s">
        <v>171</v>
      </c>
      <c r="H5" s="6"/>
      <c r="I5" s="6" t="s">
        <v>185</v>
      </c>
      <c r="J5" s="6" t="s">
        <v>184</v>
      </c>
    </row>
    <row r="6" spans="1:10">
      <c r="A6" s="7"/>
      <c r="B6" s="7"/>
      <c r="C6" s="7"/>
      <c r="D6" s="7"/>
      <c r="E6" s="7"/>
      <c r="F6" s="7"/>
      <c r="G6" s="7"/>
      <c r="H6" s="6"/>
      <c r="I6" s="7"/>
      <c r="J6" s="7"/>
    </row>
    <row r="7" ht="30" customHeight="1" spans="1:10">
      <c r="A7" s="7"/>
      <c r="B7" s="7"/>
      <c r="C7" s="7"/>
      <c r="D7" s="7"/>
      <c r="E7" s="7"/>
      <c r="F7" s="7"/>
      <c r="G7" s="7"/>
      <c r="H7" s="6"/>
      <c r="I7" s="7"/>
      <c r="J7" s="7"/>
    </row>
    <row r="8" ht="14.4" spans="1:10">
      <c r="A8" s="7" t="s">
        <v>186</v>
      </c>
      <c r="B8" s="6">
        <v>0.1</v>
      </c>
      <c r="C8" s="6" t="s">
        <v>187</v>
      </c>
      <c r="D8" s="6">
        <v>20</v>
      </c>
      <c r="E8" s="8">
        <v>15.2</v>
      </c>
      <c r="F8" s="8">
        <v>0.79</v>
      </c>
      <c r="G8" s="6">
        <v>0.2</v>
      </c>
      <c r="H8" s="8">
        <f>F8*G8+F10*G10+F9*G9</f>
        <v>0.822</v>
      </c>
      <c r="I8" s="6">
        <v>1.4</v>
      </c>
      <c r="J8" s="8">
        <f>H8</f>
        <v>0.822</v>
      </c>
    </row>
    <row r="9" ht="14.4" spans="1:10">
      <c r="A9" s="7"/>
      <c r="B9" s="6"/>
      <c r="C9" s="6" t="s">
        <v>188</v>
      </c>
      <c r="D9" s="6">
        <v>30</v>
      </c>
      <c r="E9" s="8">
        <v>26.4</v>
      </c>
      <c r="F9" s="8">
        <v>0.88</v>
      </c>
      <c r="G9" s="6">
        <v>0.3</v>
      </c>
      <c r="H9" s="8"/>
      <c r="I9" s="6"/>
      <c r="J9" s="8"/>
    </row>
    <row r="10" ht="14.4" spans="1:10">
      <c r="A10" s="7"/>
      <c r="B10" s="6"/>
      <c r="C10" s="6" t="s">
        <v>189</v>
      </c>
      <c r="D10" s="6">
        <v>50</v>
      </c>
      <c r="E10" s="8">
        <v>40</v>
      </c>
      <c r="F10" s="8">
        <v>0.8</v>
      </c>
      <c r="G10" s="6">
        <v>0.5</v>
      </c>
      <c r="H10" s="8"/>
      <c r="I10" s="6"/>
      <c r="J10" s="8"/>
    </row>
    <row r="11" ht="14.4" spans="1:10">
      <c r="A11" s="9" t="s">
        <v>190</v>
      </c>
      <c r="B11" s="10">
        <v>0.2</v>
      </c>
      <c r="C11" s="6" t="s">
        <v>187</v>
      </c>
      <c r="D11" s="6">
        <v>20</v>
      </c>
      <c r="E11" s="8">
        <v>19.8</v>
      </c>
      <c r="F11" s="8">
        <v>0.91</v>
      </c>
      <c r="G11" s="6">
        <v>0.2</v>
      </c>
      <c r="H11" s="8">
        <f>F11*G11+F13*G13+F12*G12</f>
        <v>0.823</v>
      </c>
      <c r="I11" s="10">
        <v>3.2</v>
      </c>
      <c r="J11" s="11">
        <f>H11</f>
        <v>0.823</v>
      </c>
    </row>
    <row r="12" ht="14.4" spans="1:10">
      <c r="A12" s="9"/>
      <c r="B12" s="10"/>
      <c r="C12" s="6" t="s">
        <v>188</v>
      </c>
      <c r="D12" s="6">
        <v>30</v>
      </c>
      <c r="E12" s="8">
        <v>26.1</v>
      </c>
      <c r="F12" s="8">
        <v>0.87</v>
      </c>
      <c r="G12" s="6">
        <v>0.3</v>
      </c>
      <c r="H12" s="8"/>
      <c r="I12" s="10"/>
      <c r="J12" s="11"/>
    </row>
    <row r="13" ht="13.9" customHeight="1" spans="1:10">
      <c r="A13" s="9"/>
      <c r="B13" s="10"/>
      <c r="C13" s="6" t="s">
        <v>189</v>
      </c>
      <c r="D13" s="6">
        <v>50</v>
      </c>
      <c r="E13" s="8">
        <v>38</v>
      </c>
      <c r="F13" s="8">
        <v>0.76</v>
      </c>
      <c r="G13" s="6">
        <v>0.5</v>
      </c>
      <c r="H13" s="8"/>
      <c r="I13" s="10"/>
      <c r="J13" s="11"/>
    </row>
    <row r="14" ht="13.9" customHeight="1" spans="1:10">
      <c r="A14" s="9" t="s">
        <v>191</v>
      </c>
      <c r="B14" s="10">
        <v>0.3</v>
      </c>
      <c r="C14" s="6" t="s">
        <v>187</v>
      </c>
      <c r="D14" s="6">
        <v>20</v>
      </c>
      <c r="E14" s="8">
        <v>0</v>
      </c>
      <c r="F14" s="8">
        <v>0</v>
      </c>
      <c r="G14" s="6">
        <v>0.2</v>
      </c>
      <c r="H14" s="8">
        <f>F14*G14+F16*G16+F15*G15</f>
        <v>0.612</v>
      </c>
      <c r="I14" s="10">
        <v>4.2</v>
      </c>
      <c r="J14" s="11">
        <f>H14</f>
        <v>0.612</v>
      </c>
    </row>
    <row r="15" ht="13.9" customHeight="1" spans="1:10">
      <c r="A15" s="9"/>
      <c r="B15" s="10"/>
      <c r="C15" s="6" t="s">
        <v>188</v>
      </c>
      <c r="D15" s="6">
        <v>30</v>
      </c>
      <c r="E15" s="8">
        <v>22.2</v>
      </c>
      <c r="F15" s="8">
        <v>0.74</v>
      </c>
      <c r="G15" s="6">
        <v>0.3</v>
      </c>
      <c r="H15" s="8"/>
      <c r="I15" s="10"/>
      <c r="J15" s="11"/>
    </row>
    <row r="16" ht="13.5" customHeight="1" spans="1:10">
      <c r="A16" s="9"/>
      <c r="B16" s="10"/>
      <c r="C16" s="6" t="s">
        <v>189</v>
      </c>
      <c r="D16" s="6">
        <v>50</v>
      </c>
      <c r="E16" s="8">
        <v>39</v>
      </c>
      <c r="F16" s="8">
        <v>0.78</v>
      </c>
      <c r="G16" s="6">
        <v>0.5</v>
      </c>
      <c r="H16" s="8"/>
      <c r="I16" s="10"/>
      <c r="J16" s="11"/>
    </row>
    <row r="17" ht="13.5" customHeight="1" spans="1:10">
      <c r="A17" s="9" t="s">
        <v>192</v>
      </c>
      <c r="B17" s="10">
        <v>0.4</v>
      </c>
      <c r="C17" s="6" t="s">
        <v>187</v>
      </c>
      <c r="D17" s="6">
        <v>20</v>
      </c>
      <c r="E17" s="8">
        <v>15</v>
      </c>
      <c r="F17" s="8">
        <v>0.79</v>
      </c>
      <c r="G17" s="6">
        <v>0.2</v>
      </c>
      <c r="H17" s="8">
        <f>F17*G17+F19*G19+F18*G18</f>
        <v>0.752</v>
      </c>
      <c r="I17" s="10">
        <v>5.1</v>
      </c>
      <c r="J17" s="11">
        <f>H17</f>
        <v>0.752</v>
      </c>
    </row>
    <row r="18" ht="13.5" customHeight="1" spans="1:10">
      <c r="A18" s="9"/>
      <c r="B18" s="10"/>
      <c r="C18" s="6" t="s">
        <v>188</v>
      </c>
      <c r="D18" s="6">
        <v>30</v>
      </c>
      <c r="E18" s="8">
        <v>18.4</v>
      </c>
      <c r="F18" s="8">
        <v>0.68</v>
      </c>
      <c r="G18" s="6">
        <v>0.3</v>
      </c>
      <c r="H18" s="8"/>
      <c r="I18" s="10"/>
      <c r="J18" s="11"/>
    </row>
    <row r="19" ht="14.4" spans="1:10">
      <c r="A19" s="9"/>
      <c r="B19" s="10"/>
      <c r="C19" s="6" t="s">
        <v>189</v>
      </c>
      <c r="D19" s="6">
        <v>50</v>
      </c>
      <c r="E19" s="8">
        <v>39</v>
      </c>
      <c r="F19" s="8">
        <v>0.78</v>
      </c>
      <c r="G19" s="6">
        <v>0.5</v>
      </c>
      <c r="H19" s="8"/>
      <c r="I19" s="10"/>
      <c r="J19" s="11"/>
    </row>
    <row r="20" ht="43.2" spans="1:10">
      <c r="A20" s="6" t="s">
        <v>193</v>
      </c>
      <c r="B20" s="6">
        <v>0.6</v>
      </c>
      <c r="C20" s="6"/>
      <c r="D20" s="6"/>
      <c r="E20" s="6"/>
      <c r="F20" s="6" t="s">
        <v>194</v>
      </c>
      <c r="G20" s="8">
        <f>H8*B8+H11*B11+H14*B14+H17*B17</f>
        <v>0.7312</v>
      </c>
      <c r="H20" s="8"/>
      <c r="I20" s="8"/>
      <c r="J20" s="8"/>
    </row>
  </sheetData>
  <mergeCells count="36">
    <mergeCell ref="A2:J2"/>
    <mergeCell ref="B20:E20"/>
    <mergeCell ref="G20:J20"/>
    <mergeCell ref="A5:A7"/>
    <mergeCell ref="A8:A10"/>
    <mergeCell ref="A11:A13"/>
    <mergeCell ref="A14:A16"/>
    <mergeCell ref="A17:A19"/>
    <mergeCell ref="B5:B7"/>
    <mergeCell ref="B8:B10"/>
    <mergeCell ref="B11:B13"/>
    <mergeCell ref="B14:B16"/>
    <mergeCell ref="B17:B19"/>
    <mergeCell ref="C5:C7"/>
    <mergeCell ref="D5:D7"/>
    <mergeCell ref="E5:E7"/>
    <mergeCell ref="F5:F7"/>
    <mergeCell ref="G5:G7"/>
    <mergeCell ref="H3:H7"/>
    <mergeCell ref="H8:H10"/>
    <mergeCell ref="H11:H13"/>
    <mergeCell ref="H14:H16"/>
    <mergeCell ref="H17:H19"/>
    <mergeCell ref="I5:I7"/>
    <mergeCell ref="I8:I10"/>
    <mergeCell ref="I11:I13"/>
    <mergeCell ref="I14:I16"/>
    <mergeCell ref="I17:I19"/>
    <mergeCell ref="J5:J7"/>
    <mergeCell ref="J8:J10"/>
    <mergeCell ref="J11:J13"/>
    <mergeCell ref="J14:J16"/>
    <mergeCell ref="J17:J19"/>
    <mergeCell ref="C3:G4"/>
    <mergeCell ref="A3:B4"/>
    <mergeCell ref="I3:J4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8193" progId="Equation.KSEE3" r:id="rId3">
          <objectPr defaultSize="0" r:id="rId4">
            <anchor moveWithCells="1" siz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633095</xdr:colOff>
                <xdr:row>23</xdr:row>
                <xdr:rowOff>76200</xdr:rowOff>
              </to>
            </anchor>
          </objectPr>
        </oleObject>
      </mc:Choice>
      <mc:Fallback>
        <oleObject shapeId="8193" progId="Equation.KSEE3" r:id="rId3"/>
      </mc:Fallback>
    </mc:AlternateContent>
    <mc:AlternateContent xmlns:mc="http://schemas.openxmlformats.org/markup-compatibility/2006">
      <mc:Choice Requires="x14">
        <oleObject shapeId="8194" progId="Equation.KSEE3" r:id="rId5">
          <objectPr defaultSize="0" r:id="rId6">
            <anchor moveWithCells="1" sizeWithCells="1">
              <from>
                <xdr:col>1</xdr:col>
                <xdr:colOff>271145</xdr:colOff>
                <xdr:row>20</xdr:row>
                <xdr:rowOff>118745</xdr:rowOff>
              </from>
              <to>
                <xdr:col>2</xdr:col>
                <xdr:colOff>381000</xdr:colOff>
                <xdr:row>23</xdr:row>
                <xdr:rowOff>71120</xdr:rowOff>
              </to>
            </anchor>
          </objectPr>
        </oleObject>
      </mc:Choice>
      <mc:Fallback>
        <oleObject shapeId="8194" progId="Equation.KSEE3" r:id="rId5"/>
      </mc:Fallback>
    </mc:AlternateContent>
    <mc:AlternateContent xmlns:mc="http://schemas.openxmlformats.org/markup-compatibility/2006">
      <mc:Choice Requires="x14">
        <oleObject shapeId="8195" progId="Equation.KSEE3" r:id="rId7">
          <objectPr defaultSize="0" r:id="rId8">
            <anchor moveWithCells="1" sizeWithCells="1">
              <from>
                <xdr:col>3</xdr:col>
                <xdr:colOff>166370</xdr:colOff>
                <xdr:row>21</xdr:row>
                <xdr:rowOff>19050</xdr:rowOff>
              </from>
              <to>
                <xdr:col>4</xdr:col>
                <xdr:colOff>309245</xdr:colOff>
                <xdr:row>22</xdr:row>
                <xdr:rowOff>123825</xdr:rowOff>
              </to>
            </anchor>
          </objectPr>
        </oleObject>
      </mc:Choice>
      <mc:Fallback>
        <oleObject shapeId="8195" progId="Equation.KSEE3" r:id="rId7"/>
      </mc:Fallback>
    </mc:AlternateContent>
    <mc:AlternateContent xmlns:mc="http://schemas.openxmlformats.org/markup-compatibility/2006">
      <mc:Choice Requires="x14">
        <oleObject shapeId="8196" progId="Equation.KSEE3" r:id="rId9">
          <objectPr defaultSize="0" r:id="rId10">
            <anchor moveWithCells="1" sizeWithCells="1">
              <from>
                <xdr:col>4</xdr:col>
                <xdr:colOff>590550</xdr:colOff>
                <xdr:row>20</xdr:row>
                <xdr:rowOff>99695</xdr:rowOff>
              </from>
              <to>
                <xdr:col>6</xdr:col>
                <xdr:colOff>42545</xdr:colOff>
                <xdr:row>23</xdr:row>
                <xdr:rowOff>57150</xdr:rowOff>
              </to>
            </anchor>
          </objectPr>
        </oleObject>
      </mc:Choice>
      <mc:Fallback>
        <oleObject shapeId="8196" progId="Equation.KSEE3" r:id="rId9"/>
      </mc:Fallback>
    </mc:AlternateContent>
    <mc:AlternateContent xmlns:mc="http://schemas.openxmlformats.org/markup-compatibility/2006">
      <mc:Choice Requires="x14">
        <oleObject shapeId="8197" progId="Equation.KSEE3" r:id="rId11">
          <objectPr defaultSize="0" r:id="rId12">
            <anchor moveWithCells="1" sizeWithCells="1">
              <from>
                <xdr:col>6</xdr:col>
                <xdr:colOff>309245</xdr:colOff>
                <xdr:row>20</xdr:row>
                <xdr:rowOff>85725</xdr:rowOff>
              </from>
              <to>
                <xdr:col>8</xdr:col>
                <xdr:colOff>28575</xdr:colOff>
                <xdr:row>23</xdr:row>
                <xdr:rowOff>28575</xdr:rowOff>
              </to>
            </anchor>
          </objectPr>
        </oleObject>
      </mc:Choice>
      <mc:Fallback>
        <oleObject shapeId="8197" progId="Equation.KSEE3" r:id="rId11"/>
      </mc:Fallback>
    </mc:AlternateContent>
    <mc:AlternateContent xmlns:mc="http://schemas.openxmlformats.org/markup-compatibility/2006">
      <mc:Choice Requires="x14">
        <oleObject shapeId="8198" progId="Equation.KSEE3" r:id="rId13">
          <objectPr defaultSize="0" r:id="rId14">
            <anchor moveWithCells="1" sizeWithCells="1">
              <from>
                <xdr:col>9</xdr:col>
                <xdr:colOff>0</xdr:colOff>
                <xdr:row>21</xdr:row>
                <xdr:rowOff>0</xdr:rowOff>
              </from>
              <to>
                <xdr:col>9</xdr:col>
                <xdr:colOff>723900</xdr:colOff>
                <xdr:row>23</xdr:row>
                <xdr:rowOff>76200</xdr:rowOff>
              </to>
            </anchor>
          </objectPr>
        </oleObject>
      </mc:Choice>
      <mc:Fallback>
        <oleObject shapeId="8198" progId="Equation.KSEE3" r:id="rId13"/>
      </mc:Fallback>
    </mc:AlternateContent>
    <mc:AlternateContent xmlns:mc="http://schemas.openxmlformats.org/markup-compatibility/2006">
      <mc:Choice Requires="x14">
        <oleObject shapeId="8200" progId="Equation.KSEE3" r:id="rId15">
          <objectPr defaultSize="0" r:id="rId16">
            <anchor moveWithCells="1" sizeWithCells="1">
              <from>
                <xdr:col>1</xdr:col>
                <xdr:colOff>128270</xdr:colOff>
                <xdr:row>6</xdr:row>
                <xdr:rowOff>123825</xdr:rowOff>
              </from>
              <to>
                <xdr:col>1</xdr:col>
                <xdr:colOff>371475</xdr:colOff>
                <xdr:row>6</xdr:row>
                <xdr:rowOff>352425</xdr:rowOff>
              </to>
            </anchor>
          </objectPr>
        </oleObject>
      </mc:Choice>
      <mc:Fallback>
        <oleObject shapeId="8200" progId="Equation.KSEE3" r:id="rId15"/>
      </mc:Fallback>
    </mc:AlternateContent>
    <mc:AlternateContent xmlns:mc="http://schemas.openxmlformats.org/markup-compatibility/2006">
      <mc:Choice Requires="x14">
        <oleObject shapeId="8201" progId="Equation.KSEE3" r:id="rId17">
          <objectPr defaultSize="0" r:id="rId18">
            <anchor moveWithCells="1" sizeWithCells="1">
              <from>
                <xdr:col>3</xdr:col>
                <xdr:colOff>280670</xdr:colOff>
                <xdr:row>6</xdr:row>
                <xdr:rowOff>90170</xdr:rowOff>
              </from>
              <to>
                <xdr:col>3</xdr:col>
                <xdr:colOff>442595</xdr:colOff>
                <xdr:row>6</xdr:row>
                <xdr:rowOff>333375</xdr:rowOff>
              </to>
            </anchor>
          </objectPr>
        </oleObject>
      </mc:Choice>
      <mc:Fallback>
        <oleObject shapeId="8201" progId="Equation.KSEE3" r:id="rId17"/>
      </mc:Fallback>
    </mc:AlternateContent>
    <mc:AlternateContent xmlns:mc="http://schemas.openxmlformats.org/markup-compatibility/2006">
      <mc:Choice Requires="x14">
        <oleObject shapeId="8202" progId="Equation.KSEE3" r:id="rId19">
          <objectPr defaultSize="0" r:id="rId20">
            <anchor moveWithCells="1" sizeWithCells="1">
              <from>
                <xdr:col>4</xdr:col>
                <xdr:colOff>238125</xdr:colOff>
                <xdr:row>6</xdr:row>
                <xdr:rowOff>123825</xdr:rowOff>
              </from>
              <to>
                <xdr:col>4</xdr:col>
                <xdr:colOff>566420</xdr:colOff>
                <xdr:row>6</xdr:row>
                <xdr:rowOff>366395</xdr:rowOff>
              </to>
            </anchor>
          </objectPr>
        </oleObject>
      </mc:Choice>
      <mc:Fallback>
        <oleObject shapeId="8202" progId="Equation.KSEE3" r:id="rId19"/>
      </mc:Fallback>
    </mc:AlternateContent>
    <mc:AlternateContent xmlns:mc="http://schemas.openxmlformats.org/markup-compatibility/2006">
      <mc:Choice Requires="x14">
        <oleObject shapeId="8203" progId="Equation.KSEE3" r:id="rId21">
          <objectPr defaultSize="0" r:id="rId22">
            <anchor moveWithCells="1" sizeWithCells="1">
              <from>
                <xdr:col>5</xdr:col>
                <xdr:colOff>252095</xdr:colOff>
                <xdr:row>6</xdr:row>
                <xdr:rowOff>137795</xdr:rowOff>
              </from>
              <to>
                <xdr:col>5</xdr:col>
                <xdr:colOff>495300</xdr:colOff>
                <xdr:row>7</xdr:row>
                <xdr:rowOff>0</xdr:rowOff>
              </to>
            </anchor>
          </objectPr>
        </oleObject>
      </mc:Choice>
      <mc:Fallback>
        <oleObject shapeId="8203" progId="Equation.KSEE3" r:id="rId21"/>
      </mc:Fallback>
    </mc:AlternateContent>
    <mc:AlternateContent xmlns:mc="http://schemas.openxmlformats.org/markup-compatibility/2006">
      <mc:Choice Requires="x14">
        <oleObject shapeId="8204" progId="Equation.KSEE3" r:id="rId23">
          <objectPr defaultSize="0" r:id="rId24">
            <anchor moveWithCells="1" sizeWithCells="1">
              <from>
                <xdr:col>6</xdr:col>
                <xdr:colOff>261620</xdr:colOff>
                <xdr:row>6</xdr:row>
                <xdr:rowOff>147320</xdr:rowOff>
              </from>
              <to>
                <xdr:col>6</xdr:col>
                <xdr:colOff>466725</xdr:colOff>
                <xdr:row>7</xdr:row>
                <xdr:rowOff>9525</xdr:rowOff>
              </to>
            </anchor>
          </objectPr>
        </oleObject>
      </mc:Choice>
      <mc:Fallback>
        <oleObject shapeId="8204" progId="Equation.KSEE3" r:id="rId23"/>
      </mc:Fallback>
    </mc:AlternateContent>
    <mc:AlternateContent xmlns:mc="http://schemas.openxmlformats.org/markup-compatibility/2006">
      <mc:Choice Requires="x14">
        <oleObject shapeId="8205" progId="Equation.KSEE3" r:id="rId25">
          <objectPr defaultSize="0" r:id="rId26">
            <anchor moveWithCells="1" sizeWithCells="1">
              <from>
                <xdr:col>7</xdr:col>
                <xdr:colOff>190500</xdr:colOff>
                <xdr:row>6</xdr:row>
                <xdr:rowOff>118745</xdr:rowOff>
              </from>
              <to>
                <xdr:col>7</xdr:col>
                <xdr:colOff>404495</xdr:colOff>
                <xdr:row>6</xdr:row>
                <xdr:rowOff>347345</xdr:rowOff>
              </to>
            </anchor>
          </objectPr>
        </oleObject>
      </mc:Choice>
      <mc:Fallback>
        <oleObject shapeId="8205" progId="Equation.KSEE3" r:id="rId25"/>
      </mc:Fallback>
    </mc:AlternateContent>
    <mc:AlternateContent xmlns:mc="http://schemas.openxmlformats.org/markup-compatibility/2006">
      <mc:Choice Requires="x14">
        <oleObject shapeId="8206" progId="Equation.KSEE3" r:id="rId27">
          <objectPr defaultSize="0" r:id="rId24">
            <anchor moveWithCells="1" sizeWithCells="1">
              <from>
                <xdr:col>6</xdr:col>
                <xdr:colOff>261620</xdr:colOff>
                <xdr:row>9</xdr:row>
                <xdr:rowOff>147320</xdr:rowOff>
              </from>
              <to>
                <xdr:col>6</xdr:col>
                <xdr:colOff>466725</xdr:colOff>
                <xdr:row>10</xdr:row>
                <xdr:rowOff>9525</xdr:rowOff>
              </to>
            </anchor>
          </objectPr>
        </oleObject>
      </mc:Choice>
      <mc:Fallback>
        <oleObject shapeId="8206" progId="Equation.KSEE3" r:id="rId27"/>
      </mc:Fallback>
    </mc:AlternateContent>
    <mc:AlternateContent xmlns:mc="http://schemas.openxmlformats.org/markup-compatibility/2006">
      <mc:Choice Requires="x14">
        <oleObject shapeId="8207" progId="Equation.KSEE3" r:id="rId28">
          <objectPr defaultSize="0" r:id="rId24">
            <anchor moveWithCells="1" sizeWithCells="1">
              <from>
                <xdr:col>6</xdr:col>
                <xdr:colOff>261620</xdr:colOff>
                <xdr:row>12</xdr:row>
                <xdr:rowOff>147320</xdr:rowOff>
              </from>
              <to>
                <xdr:col>6</xdr:col>
                <xdr:colOff>466725</xdr:colOff>
                <xdr:row>13</xdr:row>
                <xdr:rowOff>9525</xdr:rowOff>
              </to>
            </anchor>
          </objectPr>
        </oleObject>
      </mc:Choice>
      <mc:Fallback>
        <oleObject shapeId="8207" progId="Equation.KSEE3" r:id="rId28"/>
      </mc:Fallback>
    </mc:AlternateContent>
    <mc:AlternateContent xmlns:mc="http://schemas.openxmlformats.org/markup-compatibility/2006">
      <mc:Choice Requires="x14">
        <oleObject shapeId="8208" progId="Equation.KSEE3" r:id="rId29">
          <objectPr defaultSize="0" r:id="rId24">
            <anchor moveWithCells="1" sizeWithCells="1">
              <from>
                <xdr:col>6</xdr:col>
                <xdr:colOff>261620</xdr:colOff>
                <xdr:row>15</xdr:row>
                <xdr:rowOff>147320</xdr:rowOff>
              </from>
              <to>
                <xdr:col>6</xdr:col>
                <xdr:colOff>466725</xdr:colOff>
                <xdr:row>16</xdr:row>
                <xdr:rowOff>9525</xdr:rowOff>
              </to>
            </anchor>
          </objectPr>
        </oleObject>
      </mc:Choice>
      <mc:Fallback>
        <oleObject shapeId="8208" progId="Equation.KSEE3" r:id="rId29"/>
      </mc:Fallback>
    </mc:AlternateContent>
    <mc:AlternateContent xmlns:mc="http://schemas.openxmlformats.org/markup-compatibility/2006">
      <mc:Choice Requires="x14">
        <oleObject shapeId="8209" progId="Equation.KSEE3" r:id="rId30">
          <objectPr defaultSize="0" r:id="rId24">
            <anchor moveWithCells="1" sizeWithCells="1">
              <from>
                <xdr:col>6</xdr:col>
                <xdr:colOff>261620</xdr:colOff>
                <xdr:row>15</xdr:row>
                <xdr:rowOff>147320</xdr:rowOff>
              </from>
              <to>
                <xdr:col>6</xdr:col>
                <xdr:colOff>466725</xdr:colOff>
                <xdr:row>16</xdr:row>
                <xdr:rowOff>9525</xdr:rowOff>
              </to>
            </anchor>
          </objectPr>
        </oleObject>
      </mc:Choice>
      <mc:Fallback>
        <oleObject shapeId="8209" progId="Equation.KSEE3" r:id="rId30"/>
      </mc:Fallback>
    </mc:AlternateContent>
    <mc:AlternateContent xmlns:mc="http://schemas.openxmlformats.org/markup-compatibility/2006">
      <mc:Choice Requires="x14">
        <oleObject shapeId="8210" progId="Equation.KSEE3" r:id="rId31">
          <objectPr defaultSize="0" r:id="rId24">
            <anchor moveWithCells="1" sizeWithCells="1">
              <from>
                <xdr:col>6</xdr:col>
                <xdr:colOff>261620</xdr:colOff>
                <xdr:row>18</xdr:row>
                <xdr:rowOff>147320</xdr:rowOff>
              </from>
              <to>
                <xdr:col>6</xdr:col>
                <xdr:colOff>466725</xdr:colOff>
                <xdr:row>19</xdr:row>
                <xdr:rowOff>9525</xdr:rowOff>
              </to>
            </anchor>
          </objectPr>
        </oleObject>
      </mc:Choice>
      <mc:Fallback>
        <oleObject shapeId="8210" progId="Equation.KSEE3" r:id="rId31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B7:C12"/>
  <sheetViews>
    <sheetView zoomScale="70" zoomScaleNormal="70" workbookViewId="0">
      <selection activeCell="F29" sqref="F29"/>
    </sheetView>
  </sheetViews>
  <sheetFormatPr defaultColWidth="8.8" defaultRowHeight="15.6" outlineLevelCol="2"/>
  <cols>
    <col min="2" max="2" width="11.3166666666667" customWidth="1"/>
    <col min="3" max="3" width="7.19166666666667" customWidth="1"/>
  </cols>
  <sheetData>
    <row r="7" spans="2:3">
      <c r="B7" t="s">
        <v>195</v>
      </c>
      <c r="C7" s="2">
        <v>0.82</v>
      </c>
    </row>
    <row r="8" spans="2:3">
      <c r="B8" t="s">
        <v>196</v>
      </c>
      <c r="C8" s="2">
        <v>0.82</v>
      </c>
    </row>
    <row r="9" spans="2:3">
      <c r="B9" s="3" t="s">
        <v>197</v>
      </c>
      <c r="C9" s="2">
        <v>0.61</v>
      </c>
    </row>
    <row r="10" spans="2:3">
      <c r="B10" s="3" t="s">
        <v>198</v>
      </c>
      <c r="C10" s="2">
        <v>0.75</v>
      </c>
    </row>
    <row r="12" spans="2:3">
      <c r="C12" s="2"/>
    </row>
  </sheetData>
  <pageMargins left="0.75" right="0.75" top="1" bottom="1" header="0.511805555555556" footer="0.511805555555556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1:E48"/>
  <sheetViews>
    <sheetView workbookViewId="0">
      <selection activeCell="D1" sqref="D1:E1"/>
    </sheetView>
  </sheetViews>
  <sheetFormatPr defaultColWidth="8.8" defaultRowHeight="15.6" outlineLevelCol="4"/>
  <sheetData>
    <row r="1" spans="2:5">
      <c r="B1">
        <v>1</v>
      </c>
      <c r="C1" s="1">
        <v>0.748</v>
      </c>
      <c r="D1" s="1">
        <v>0.82</v>
      </c>
      <c r="E1" s="1">
        <v>0.6</v>
      </c>
    </row>
    <row r="2" spans="2:5">
      <c r="B2">
        <v>2</v>
      </c>
      <c r="C2" s="1">
        <v>0.812</v>
      </c>
      <c r="D2" s="1">
        <v>0.82</v>
      </c>
      <c r="E2" s="1">
        <v>0.6</v>
      </c>
    </row>
    <row r="3" spans="2:5">
      <c r="B3">
        <v>3</v>
      </c>
      <c r="C3" s="1">
        <v>0.773</v>
      </c>
      <c r="D3" s="1">
        <v>0.82</v>
      </c>
      <c r="E3" s="1">
        <v>0.6</v>
      </c>
    </row>
    <row r="4" spans="2:5">
      <c r="B4">
        <v>4</v>
      </c>
      <c r="C4" s="1">
        <v>0.923</v>
      </c>
      <c r="D4" s="1">
        <v>0.82</v>
      </c>
      <c r="E4" s="1">
        <v>0.6</v>
      </c>
    </row>
    <row r="5" spans="2:5">
      <c r="B5">
        <v>5</v>
      </c>
      <c r="C5" s="1">
        <v>0.862</v>
      </c>
      <c r="D5" s="1">
        <v>0.82</v>
      </c>
      <c r="E5" s="1">
        <v>0.6</v>
      </c>
    </row>
    <row r="6" spans="2:5">
      <c r="B6">
        <v>6</v>
      </c>
      <c r="C6" s="1">
        <v>0.838</v>
      </c>
      <c r="D6" s="1">
        <v>0.82</v>
      </c>
      <c r="E6" s="1">
        <v>0.6</v>
      </c>
    </row>
    <row r="7" spans="2:5">
      <c r="B7">
        <v>7</v>
      </c>
      <c r="C7" s="1">
        <v>0.697</v>
      </c>
      <c r="D7" s="1">
        <v>0.82</v>
      </c>
      <c r="E7" s="1">
        <v>0.6</v>
      </c>
    </row>
    <row r="8" spans="2:5">
      <c r="B8">
        <v>8</v>
      </c>
      <c r="C8" s="1">
        <v>0.888</v>
      </c>
      <c r="D8" s="1">
        <v>0.82</v>
      </c>
      <c r="E8" s="1">
        <v>0.6</v>
      </c>
    </row>
    <row r="9" spans="2:5">
      <c r="B9">
        <v>9</v>
      </c>
      <c r="C9" s="1">
        <v>0.848</v>
      </c>
      <c r="D9" s="1">
        <v>0.82</v>
      </c>
      <c r="E9" s="1">
        <v>0.6</v>
      </c>
    </row>
    <row r="10" spans="2:5">
      <c r="B10">
        <v>10</v>
      </c>
      <c r="C10" s="1">
        <v>0.932</v>
      </c>
      <c r="D10" s="1">
        <v>0.82</v>
      </c>
      <c r="E10" s="1">
        <v>0.6</v>
      </c>
    </row>
    <row r="11" spans="2:5">
      <c r="B11">
        <v>11</v>
      </c>
      <c r="C11" s="1">
        <v>0.898</v>
      </c>
      <c r="D11" s="1">
        <v>0.82</v>
      </c>
      <c r="E11" s="1">
        <v>0.6</v>
      </c>
    </row>
    <row r="12" spans="2:5">
      <c r="B12">
        <v>12</v>
      </c>
      <c r="C12" s="1">
        <v>0.863</v>
      </c>
      <c r="D12" s="1">
        <v>0.82</v>
      </c>
      <c r="E12" s="1">
        <v>0.6</v>
      </c>
    </row>
    <row r="13" spans="2:5">
      <c r="B13">
        <v>13</v>
      </c>
      <c r="C13" s="1">
        <v>0.912</v>
      </c>
      <c r="D13" s="1">
        <v>0.82</v>
      </c>
      <c r="E13" s="1">
        <v>0.6</v>
      </c>
    </row>
    <row r="14" spans="2:5">
      <c r="B14">
        <v>14</v>
      </c>
      <c r="C14" s="1">
        <v>0.877</v>
      </c>
      <c r="D14" s="1">
        <v>0.82</v>
      </c>
      <c r="E14" s="1">
        <v>0.6</v>
      </c>
    </row>
    <row r="15" spans="2:5">
      <c r="B15">
        <v>15</v>
      </c>
      <c r="C15" s="1">
        <v>0.832</v>
      </c>
      <c r="D15" s="1">
        <v>0.82</v>
      </c>
      <c r="E15" s="1">
        <v>0.6</v>
      </c>
    </row>
    <row r="16" spans="2:5">
      <c r="B16">
        <v>16</v>
      </c>
      <c r="C16" s="1">
        <v>0.838</v>
      </c>
      <c r="D16" s="1">
        <v>0.82</v>
      </c>
      <c r="E16" s="1">
        <v>0.6</v>
      </c>
    </row>
    <row r="17" spans="2:5">
      <c r="B17">
        <v>17</v>
      </c>
      <c r="C17" s="1">
        <v>0.51</v>
      </c>
      <c r="D17" s="1">
        <v>0.82</v>
      </c>
      <c r="E17" s="1">
        <v>0.6</v>
      </c>
    </row>
    <row r="18" spans="2:5">
      <c r="B18">
        <v>18</v>
      </c>
      <c r="C18" s="1">
        <v>0.8205</v>
      </c>
      <c r="D18" s="1">
        <v>0.82</v>
      </c>
      <c r="E18" s="1">
        <v>0.6</v>
      </c>
    </row>
    <row r="19" spans="2:5">
      <c r="B19">
        <v>19</v>
      </c>
      <c r="C19" s="1">
        <v>0.879</v>
      </c>
      <c r="D19" s="1">
        <v>0.82</v>
      </c>
      <c r="E19" s="1">
        <v>0.6</v>
      </c>
    </row>
    <row r="20" spans="2:5">
      <c r="B20">
        <v>20</v>
      </c>
      <c r="C20" s="1">
        <v>0.73</v>
      </c>
      <c r="D20" s="1">
        <v>0.82</v>
      </c>
      <c r="E20" s="1">
        <v>0.6</v>
      </c>
    </row>
    <row r="21" spans="2:5">
      <c r="B21">
        <v>21</v>
      </c>
      <c r="C21" s="1">
        <v>0.883</v>
      </c>
      <c r="D21" s="1">
        <v>0.82</v>
      </c>
      <c r="E21" s="1">
        <v>0.6</v>
      </c>
    </row>
    <row r="22" spans="2:5">
      <c r="B22">
        <v>22</v>
      </c>
      <c r="C22" s="1">
        <v>0.817</v>
      </c>
      <c r="D22" s="1">
        <v>0.82</v>
      </c>
      <c r="E22" s="1">
        <v>0.6</v>
      </c>
    </row>
    <row r="23" spans="2:5">
      <c r="B23">
        <v>23</v>
      </c>
      <c r="C23" s="1">
        <v>0.828</v>
      </c>
      <c r="D23" s="1">
        <v>0.82</v>
      </c>
      <c r="E23" s="1">
        <v>0.6</v>
      </c>
    </row>
    <row r="24" spans="2:5">
      <c r="B24">
        <v>24</v>
      </c>
      <c r="C24" s="1">
        <v>0.876</v>
      </c>
      <c r="D24" s="1">
        <v>0.82</v>
      </c>
      <c r="E24" s="1">
        <v>0.6</v>
      </c>
    </row>
    <row r="25" spans="2:5">
      <c r="B25">
        <v>25</v>
      </c>
      <c r="C25" s="1">
        <v>0.797</v>
      </c>
      <c r="D25" s="1">
        <v>0.82</v>
      </c>
      <c r="E25" s="1">
        <v>0.6</v>
      </c>
    </row>
    <row r="26" spans="2:5">
      <c r="B26">
        <v>26</v>
      </c>
      <c r="C26" s="1">
        <v>0.858</v>
      </c>
      <c r="D26" s="1">
        <v>0.82</v>
      </c>
      <c r="E26" s="1">
        <v>0.6</v>
      </c>
    </row>
    <row r="27" spans="2:5">
      <c r="B27">
        <v>27</v>
      </c>
      <c r="C27" s="1">
        <v>0.768</v>
      </c>
      <c r="D27" s="1">
        <v>0.82</v>
      </c>
      <c r="E27" s="1">
        <v>0.6</v>
      </c>
    </row>
    <row r="28" spans="2:5">
      <c r="B28">
        <v>28</v>
      </c>
      <c r="C28" s="1">
        <v>0.797</v>
      </c>
      <c r="D28" s="1">
        <v>0.82</v>
      </c>
      <c r="E28" s="1">
        <v>0.6</v>
      </c>
    </row>
    <row r="29" spans="2:5">
      <c r="B29">
        <v>29</v>
      </c>
      <c r="C29" s="1">
        <v>0.816</v>
      </c>
      <c r="D29" s="1">
        <v>0.82</v>
      </c>
      <c r="E29" s="1">
        <v>0.6</v>
      </c>
    </row>
    <row r="30" spans="2:5">
      <c r="B30">
        <v>30</v>
      </c>
      <c r="C30" s="1">
        <v>0.867</v>
      </c>
      <c r="D30" s="1">
        <v>0.82</v>
      </c>
      <c r="E30" s="1">
        <v>0.6</v>
      </c>
    </row>
    <row r="31" spans="2:5">
      <c r="B31">
        <v>31</v>
      </c>
      <c r="C31" s="1">
        <v>0.73</v>
      </c>
      <c r="D31" s="1">
        <v>0.82</v>
      </c>
      <c r="E31" s="1">
        <v>0.6</v>
      </c>
    </row>
    <row r="32" spans="2:5">
      <c r="B32">
        <v>32</v>
      </c>
      <c r="C32" s="1">
        <v>0.868</v>
      </c>
      <c r="D32" s="1">
        <v>0.82</v>
      </c>
      <c r="E32" s="1">
        <v>0.6</v>
      </c>
    </row>
    <row r="33" spans="2:5">
      <c r="B33">
        <v>33</v>
      </c>
      <c r="C33" s="1">
        <v>0.886</v>
      </c>
      <c r="D33" s="1">
        <v>0.82</v>
      </c>
      <c r="E33" s="1">
        <v>0.6</v>
      </c>
    </row>
    <row r="34" spans="2:5">
      <c r="B34">
        <v>34</v>
      </c>
      <c r="C34" s="1">
        <v>0.808</v>
      </c>
      <c r="D34" s="1">
        <v>0.82</v>
      </c>
      <c r="E34" s="1">
        <v>0.6</v>
      </c>
    </row>
    <row r="35" spans="2:5">
      <c r="B35">
        <v>35</v>
      </c>
      <c r="C35" s="1">
        <v>0.917</v>
      </c>
      <c r="D35" s="1">
        <v>0.82</v>
      </c>
      <c r="E35" s="1">
        <v>0.6</v>
      </c>
    </row>
    <row r="36" spans="2:5">
      <c r="B36">
        <v>36</v>
      </c>
      <c r="C36" s="1">
        <v>0.773</v>
      </c>
      <c r="D36" s="1">
        <v>0.82</v>
      </c>
      <c r="E36" s="1">
        <v>0.6</v>
      </c>
    </row>
    <row r="37" spans="2:5">
      <c r="B37">
        <v>37</v>
      </c>
      <c r="C37" s="1">
        <v>0.861</v>
      </c>
      <c r="D37" s="1">
        <v>0.82</v>
      </c>
      <c r="E37" s="1">
        <v>0.6</v>
      </c>
    </row>
    <row r="38" spans="2:5">
      <c r="B38">
        <v>38</v>
      </c>
      <c r="C38" s="1">
        <v>0.8225</v>
      </c>
      <c r="D38" s="1">
        <v>0.82</v>
      </c>
      <c r="E38" s="1">
        <v>0.6</v>
      </c>
    </row>
    <row r="39" spans="2:5">
      <c r="B39">
        <v>39</v>
      </c>
      <c r="C39" s="1">
        <v>0.853</v>
      </c>
      <c r="D39" s="1">
        <v>0.82</v>
      </c>
      <c r="E39" s="1">
        <v>0.6</v>
      </c>
    </row>
    <row r="40" spans="2:5">
      <c r="B40">
        <v>40</v>
      </c>
      <c r="C40" s="1">
        <v>0.648</v>
      </c>
      <c r="D40" s="1">
        <v>0.82</v>
      </c>
      <c r="E40" s="1">
        <v>0.6</v>
      </c>
    </row>
    <row r="41" spans="2:5">
      <c r="B41">
        <v>41</v>
      </c>
      <c r="C41" s="1">
        <v>0.8665</v>
      </c>
      <c r="D41" s="1">
        <v>0.82</v>
      </c>
      <c r="E41" s="1">
        <v>0.6</v>
      </c>
    </row>
    <row r="42" spans="2:5">
      <c r="B42">
        <v>42</v>
      </c>
      <c r="C42" s="1">
        <v>0.703</v>
      </c>
      <c r="D42" s="1">
        <v>0.82</v>
      </c>
      <c r="E42" s="1">
        <v>0.6</v>
      </c>
    </row>
    <row r="43" spans="2:5">
      <c r="B43">
        <v>43</v>
      </c>
      <c r="C43" s="1">
        <v>0.75</v>
      </c>
      <c r="D43" s="1">
        <v>0.82</v>
      </c>
      <c r="E43" s="1">
        <v>0.6</v>
      </c>
    </row>
    <row r="44" spans="2:5">
      <c r="B44">
        <v>44</v>
      </c>
      <c r="C44" s="1">
        <v>0.832</v>
      </c>
      <c r="D44" s="1">
        <v>0.82</v>
      </c>
      <c r="E44" s="1">
        <v>0.6</v>
      </c>
    </row>
    <row r="45" spans="2:5">
      <c r="B45">
        <v>45</v>
      </c>
      <c r="C45" s="1">
        <v>0.732</v>
      </c>
      <c r="D45" s="1">
        <v>0.82</v>
      </c>
      <c r="E45" s="1">
        <v>0.6</v>
      </c>
    </row>
    <row r="46" spans="2:5">
      <c r="B46">
        <v>46</v>
      </c>
      <c r="C46" s="1">
        <v>0.789</v>
      </c>
      <c r="D46" s="1">
        <v>0.82</v>
      </c>
      <c r="E46" s="1">
        <v>0.6</v>
      </c>
    </row>
    <row r="47" spans="2:5">
      <c r="B47">
        <v>47</v>
      </c>
      <c r="C47" s="1">
        <v>0.798</v>
      </c>
      <c r="D47" s="1">
        <v>0.82</v>
      </c>
      <c r="E47" s="1">
        <v>0.6</v>
      </c>
    </row>
    <row r="48" spans="2:5">
      <c r="B48">
        <v>48</v>
      </c>
      <c r="C48" s="1">
        <v>0.9145</v>
      </c>
      <c r="D48" s="1">
        <v>0.82</v>
      </c>
      <c r="E48" s="1">
        <v>0.6</v>
      </c>
    </row>
  </sheetData>
  <pageMargins left="0.75" right="0.75" top="1" bottom="1" header="0.511805555555556" footer="0.511805555555556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B1:E48"/>
  <sheetViews>
    <sheetView zoomScale="70" zoomScaleNormal="70" workbookViewId="0">
      <selection activeCell="D1" sqref="D1:E48"/>
    </sheetView>
  </sheetViews>
  <sheetFormatPr defaultColWidth="8.8" defaultRowHeight="15.6" outlineLevelCol="4"/>
  <sheetData>
    <row r="1" spans="2:5">
      <c r="B1">
        <v>1</v>
      </c>
      <c r="C1" s="1">
        <v>0.765</v>
      </c>
      <c r="D1" s="1">
        <v>0.82</v>
      </c>
      <c r="E1" s="1">
        <v>0.6</v>
      </c>
    </row>
    <row r="2" spans="2:5">
      <c r="B2">
        <v>2</v>
      </c>
      <c r="C2" s="1">
        <v>0.818</v>
      </c>
      <c r="D2" s="1">
        <v>0.82</v>
      </c>
      <c r="E2" s="1">
        <v>0.6</v>
      </c>
    </row>
    <row r="3" spans="2:5">
      <c r="B3">
        <v>3</v>
      </c>
      <c r="C3" s="1">
        <v>0.742</v>
      </c>
      <c r="D3" s="1">
        <v>0.82</v>
      </c>
      <c r="E3" s="1">
        <v>0.6</v>
      </c>
    </row>
    <row r="4" spans="2:5">
      <c r="B4">
        <v>4</v>
      </c>
      <c r="C4" s="1">
        <v>0.91</v>
      </c>
      <c r="D4" s="1">
        <v>0.82</v>
      </c>
      <c r="E4" s="1">
        <v>0.6</v>
      </c>
    </row>
    <row r="5" spans="2:5">
      <c r="B5">
        <v>5</v>
      </c>
      <c r="C5" s="1">
        <v>0.85</v>
      </c>
      <c r="D5" s="1">
        <v>0.82</v>
      </c>
      <c r="E5" s="1">
        <v>0.6</v>
      </c>
    </row>
    <row r="6" spans="2:5">
      <c r="B6">
        <v>6</v>
      </c>
      <c r="C6" s="1">
        <v>0.888</v>
      </c>
      <c r="D6" s="1">
        <v>0.82</v>
      </c>
      <c r="E6" s="1">
        <v>0.6</v>
      </c>
    </row>
    <row r="7" spans="2:5">
      <c r="B7">
        <v>7</v>
      </c>
      <c r="C7" s="1">
        <v>0.692</v>
      </c>
      <c r="D7" s="1">
        <v>0.82</v>
      </c>
      <c r="E7" s="1">
        <v>0.6</v>
      </c>
    </row>
    <row r="8" spans="2:5">
      <c r="B8">
        <v>8</v>
      </c>
      <c r="C8" s="1">
        <v>0.8655</v>
      </c>
      <c r="D8" s="1">
        <v>0.82</v>
      </c>
      <c r="E8" s="1">
        <v>0.6</v>
      </c>
    </row>
    <row r="9" spans="2:5">
      <c r="B9">
        <v>9</v>
      </c>
      <c r="C9" s="1">
        <v>0.799</v>
      </c>
      <c r="D9" s="1">
        <v>0.82</v>
      </c>
      <c r="E9" s="1">
        <v>0.6</v>
      </c>
    </row>
    <row r="10" spans="2:5">
      <c r="B10">
        <v>10</v>
      </c>
      <c r="C10" s="1">
        <v>0.918</v>
      </c>
      <c r="D10" s="1">
        <v>0.82</v>
      </c>
      <c r="E10" s="1">
        <v>0.6</v>
      </c>
    </row>
    <row r="11" spans="2:5">
      <c r="B11">
        <v>11</v>
      </c>
      <c r="C11" s="1">
        <v>0.9275</v>
      </c>
      <c r="D11" s="1">
        <v>0.82</v>
      </c>
      <c r="E11" s="1">
        <v>0.6</v>
      </c>
    </row>
    <row r="12" spans="2:5">
      <c r="B12">
        <v>12</v>
      </c>
      <c r="C12" s="1">
        <v>0.787</v>
      </c>
      <c r="D12" s="1">
        <v>0.82</v>
      </c>
      <c r="E12" s="1">
        <v>0.6</v>
      </c>
    </row>
    <row r="13" spans="2:5">
      <c r="B13">
        <v>13</v>
      </c>
      <c r="C13" s="1">
        <v>0.904</v>
      </c>
      <c r="D13" s="1">
        <v>0.82</v>
      </c>
      <c r="E13" s="1">
        <v>0.6</v>
      </c>
    </row>
    <row r="14" spans="2:5">
      <c r="B14">
        <v>14</v>
      </c>
      <c r="C14" s="1">
        <v>0.8955</v>
      </c>
      <c r="D14" s="1">
        <v>0.82</v>
      </c>
      <c r="E14" s="1">
        <v>0.6</v>
      </c>
    </row>
    <row r="15" spans="2:5">
      <c r="B15">
        <v>15</v>
      </c>
      <c r="C15" s="1">
        <v>0.823</v>
      </c>
      <c r="D15" s="1">
        <v>0.82</v>
      </c>
      <c r="E15" s="1">
        <v>0.6</v>
      </c>
    </row>
    <row r="16" spans="2:5">
      <c r="B16">
        <v>16</v>
      </c>
      <c r="C16" s="1">
        <v>0.87</v>
      </c>
      <c r="D16" s="1">
        <v>0.82</v>
      </c>
      <c r="E16" s="1">
        <v>0.6</v>
      </c>
    </row>
    <row r="17" spans="2:5">
      <c r="B17">
        <v>17</v>
      </c>
      <c r="C17" s="1">
        <v>0.35</v>
      </c>
      <c r="D17" s="1">
        <v>0.82</v>
      </c>
      <c r="E17" s="1">
        <v>0.6</v>
      </c>
    </row>
    <row r="18" spans="2:5">
      <c r="B18">
        <v>18</v>
      </c>
      <c r="C18" s="1">
        <v>0.8</v>
      </c>
      <c r="D18" s="1">
        <v>0.82</v>
      </c>
      <c r="E18" s="1">
        <v>0.6</v>
      </c>
    </row>
    <row r="19" spans="2:5">
      <c r="B19">
        <v>19</v>
      </c>
      <c r="C19" s="1">
        <v>0.898</v>
      </c>
      <c r="D19" s="1">
        <v>0.82</v>
      </c>
      <c r="E19" s="1">
        <v>0.6</v>
      </c>
    </row>
    <row r="20" spans="2:5">
      <c r="B20">
        <v>20</v>
      </c>
      <c r="C20" s="1">
        <v>0.77</v>
      </c>
      <c r="D20" s="1">
        <v>0.82</v>
      </c>
      <c r="E20" s="1">
        <v>0.6</v>
      </c>
    </row>
    <row r="21" spans="2:5">
      <c r="B21">
        <v>21</v>
      </c>
      <c r="C21" s="1">
        <v>0.9</v>
      </c>
      <c r="D21" s="1">
        <v>0.82</v>
      </c>
      <c r="E21" s="1">
        <v>0.6</v>
      </c>
    </row>
    <row r="22" spans="2:5">
      <c r="B22">
        <v>22</v>
      </c>
      <c r="C22" s="1">
        <v>0.869</v>
      </c>
      <c r="D22" s="1">
        <v>0.82</v>
      </c>
      <c r="E22" s="1">
        <v>0.6</v>
      </c>
    </row>
    <row r="23" spans="2:5">
      <c r="B23">
        <v>23</v>
      </c>
      <c r="C23" s="1">
        <v>0.8405</v>
      </c>
      <c r="D23" s="1">
        <v>0.82</v>
      </c>
      <c r="E23" s="1">
        <v>0.6</v>
      </c>
    </row>
    <row r="24" spans="2:5">
      <c r="B24">
        <v>24</v>
      </c>
      <c r="C24" s="1">
        <v>0.913</v>
      </c>
      <c r="D24" s="1">
        <v>0.82</v>
      </c>
      <c r="E24" s="1">
        <v>0.6</v>
      </c>
    </row>
    <row r="25" spans="2:5">
      <c r="B25">
        <v>25</v>
      </c>
      <c r="C25" s="1">
        <v>0.804</v>
      </c>
      <c r="D25" s="1">
        <v>0.82</v>
      </c>
      <c r="E25" s="1">
        <v>0.6</v>
      </c>
    </row>
    <row r="26" spans="2:5">
      <c r="B26">
        <v>26</v>
      </c>
      <c r="C26" s="1">
        <v>0.853</v>
      </c>
      <c r="D26" s="1">
        <v>0.82</v>
      </c>
      <c r="E26" s="1">
        <v>0.6</v>
      </c>
    </row>
    <row r="27" spans="2:5">
      <c r="B27">
        <v>27</v>
      </c>
      <c r="C27" s="1">
        <v>0.772</v>
      </c>
      <c r="D27" s="1">
        <v>0.82</v>
      </c>
      <c r="E27" s="1">
        <v>0.6</v>
      </c>
    </row>
    <row r="28" spans="2:5">
      <c r="B28">
        <v>28</v>
      </c>
      <c r="C28" s="1">
        <v>0.852</v>
      </c>
      <c r="D28" s="1">
        <v>0.82</v>
      </c>
      <c r="E28" s="1">
        <v>0.6</v>
      </c>
    </row>
    <row r="29" spans="2:5">
      <c r="B29">
        <v>29</v>
      </c>
      <c r="C29" s="1">
        <v>0.806</v>
      </c>
      <c r="D29" s="1">
        <v>0.82</v>
      </c>
      <c r="E29" s="1">
        <v>0.6</v>
      </c>
    </row>
    <row r="30" spans="2:5">
      <c r="B30">
        <v>30</v>
      </c>
      <c r="C30" s="1">
        <v>0.904</v>
      </c>
      <c r="D30" s="1">
        <v>0.82</v>
      </c>
      <c r="E30" s="1">
        <v>0.6</v>
      </c>
    </row>
    <row r="31" spans="2:5">
      <c r="B31">
        <v>31</v>
      </c>
      <c r="C31" s="1">
        <v>0.776</v>
      </c>
      <c r="D31" s="1">
        <v>0.82</v>
      </c>
      <c r="E31" s="1">
        <v>0.6</v>
      </c>
    </row>
    <row r="32" spans="2:5">
      <c r="B32">
        <v>32</v>
      </c>
      <c r="C32" s="1">
        <v>0.827</v>
      </c>
      <c r="D32" s="1">
        <v>0.82</v>
      </c>
      <c r="E32" s="1">
        <v>0.6</v>
      </c>
    </row>
    <row r="33" spans="2:5">
      <c r="B33">
        <v>33</v>
      </c>
      <c r="C33" s="1">
        <v>0.82</v>
      </c>
      <c r="D33" s="1">
        <v>0.82</v>
      </c>
      <c r="E33" s="1">
        <v>0.6</v>
      </c>
    </row>
    <row r="34" spans="2:5">
      <c r="B34">
        <v>34</v>
      </c>
      <c r="C34" s="1">
        <v>0.84</v>
      </c>
      <c r="D34" s="1">
        <v>0.82</v>
      </c>
      <c r="E34" s="1">
        <v>0.6</v>
      </c>
    </row>
    <row r="35" spans="2:5">
      <c r="B35">
        <v>35</v>
      </c>
      <c r="C35" s="1">
        <v>0.884</v>
      </c>
      <c r="D35" s="1">
        <v>0.82</v>
      </c>
      <c r="E35" s="1">
        <v>0.6</v>
      </c>
    </row>
    <row r="36" spans="2:5">
      <c r="B36">
        <v>36</v>
      </c>
      <c r="C36" s="1">
        <v>0.832</v>
      </c>
      <c r="D36" s="1">
        <v>0.82</v>
      </c>
      <c r="E36" s="1">
        <v>0.6</v>
      </c>
    </row>
    <row r="37" spans="2:5">
      <c r="B37">
        <v>37</v>
      </c>
      <c r="C37" s="1">
        <v>0.893</v>
      </c>
      <c r="D37" s="1">
        <v>0.82</v>
      </c>
      <c r="E37" s="1">
        <v>0.6</v>
      </c>
    </row>
    <row r="38" spans="2:5">
      <c r="B38">
        <v>38</v>
      </c>
      <c r="C38" s="1">
        <v>0.8385</v>
      </c>
      <c r="D38" s="1">
        <v>0.82</v>
      </c>
      <c r="E38" s="1">
        <v>0.6</v>
      </c>
    </row>
    <row r="39" spans="2:5">
      <c r="B39">
        <v>39</v>
      </c>
      <c r="C39" s="1">
        <v>0.829</v>
      </c>
      <c r="D39" s="1">
        <v>0.82</v>
      </c>
      <c r="E39" s="1">
        <v>0.6</v>
      </c>
    </row>
    <row r="40" spans="2:5">
      <c r="B40">
        <v>40</v>
      </c>
      <c r="C40" s="1">
        <v>0.718</v>
      </c>
      <c r="D40" s="1">
        <v>0.82</v>
      </c>
      <c r="E40" s="1">
        <v>0.6</v>
      </c>
    </row>
    <row r="41" spans="2:5">
      <c r="B41">
        <v>41</v>
      </c>
      <c r="C41" s="1">
        <v>0.862</v>
      </c>
      <c r="D41" s="1">
        <v>0.82</v>
      </c>
      <c r="E41" s="1">
        <v>0.6</v>
      </c>
    </row>
    <row r="42" spans="2:5">
      <c r="B42">
        <v>42</v>
      </c>
      <c r="C42" s="1">
        <v>0.714</v>
      </c>
      <c r="D42" s="1">
        <v>0.82</v>
      </c>
      <c r="E42" s="1">
        <v>0.6</v>
      </c>
    </row>
    <row r="43" spans="2:5">
      <c r="B43">
        <v>43</v>
      </c>
      <c r="C43" s="1">
        <v>0.842</v>
      </c>
      <c r="D43" s="1">
        <v>0.82</v>
      </c>
      <c r="E43" s="1">
        <v>0.6</v>
      </c>
    </row>
    <row r="44" spans="2:5">
      <c r="B44">
        <v>44</v>
      </c>
      <c r="C44" s="1">
        <v>0.838</v>
      </c>
      <c r="D44" s="1">
        <v>0.82</v>
      </c>
      <c r="E44" s="1">
        <v>0.6</v>
      </c>
    </row>
    <row r="45" spans="2:5">
      <c r="B45">
        <v>45</v>
      </c>
      <c r="C45" s="1">
        <v>0.777</v>
      </c>
      <c r="D45" s="1">
        <v>0.82</v>
      </c>
      <c r="E45" s="1">
        <v>0.6</v>
      </c>
    </row>
    <row r="46" spans="2:5">
      <c r="B46">
        <v>46</v>
      </c>
      <c r="C46" s="1">
        <v>0.761</v>
      </c>
      <c r="D46" s="1">
        <v>0.82</v>
      </c>
      <c r="E46" s="1">
        <v>0.6</v>
      </c>
    </row>
    <row r="47" spans="2:5">
      <c r="B47">
        <v>47</v>
      </c>
      <c r="C47" s="1">
        <v>0.836</v>
      </c>
      <c r="D47" s="1">
        <v>0.82</v>
      </c>
      <c r="E47" s="1">
        <v>0.6</v>
      </c>
    </row>
    <row r="48" spans="2:5">
      <c r="B48">
        <v>48</v>
      </c>
      <c r="C48" s="1">
        <v>0.887</v>
      </c>
      <c r="D48" s="1">
        <v>0.82</v>
      </c>
      <c r="E48" s="1">
        <v>0.6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8"/>
  <sheetViews>
    <sheetView zoomScale="115" zoomScaleNormal="115" workbookViewId="0">
      <selection activeCell="D1" sqref="D1:E48"/>
    </sheetView>
  </sheetViews>
  <sheetFormatPr defaultColWidth="8.8" defaultRowHeight="15.6" outlineLevelCol="4"/>
  <sheetData>
    <row r="1" spans="2:5">
      <c r="B1">
        <v>1</v>
      </c>
      <c r="C1" s="1">
        <v>0.57</v>
      </c>
      <c r="D1" s="1">
        <v>0.61</v>
      </c>
      <c r="E1" s="1">
        <v>0.6</v>
      </c>
    </row>
    <row r="2" spans="2:5">
      <c r="B2">
        <v>2</v>
      </c>
      <c r="C2" s="1">
        <v>0.475</v>
      </c>
      <c r="D2" s="1">
        <v>0.61</v>
      </c>
      <c r="E2" s="1">
        <v>0.6</v>
      </c>
    </row>
    <row r="3" spans="2:5">
      <c r="B3">
        <v>3</v>
      </c>
      <c r="C3" s="1">
        <v>0.475</v>
      </c>
      <c r="D3" s="1">
        <v>0.61</v>
      </c>
      <c r="E3" s="1">
        <v>0.6</v>
      </c>
    </row>
    <row r="4" spans="2:5">
      <c r="B4">
        <v>4</v>
      </c>
      <c r="C4" s="1">
        <v>0.715</v>
      </c>
      <c r="D4" s="1">
        <v>0.61</v>
      </c>
      <c r="E4" s="1">
        <v>0.6</v>
      </c>
    </row>
    <row r="5" spans="2:5">
      <c r="B5">
        <v>5</v>
      </c>
      <c r="C5" s="1">
        <v>0.7375</v>
      </c>
      <c r="D5" s="1">
        <v>0.61</v>
      </c>
      <c r="E5" s="1">
        <v>0.6</v>
      </c>
    </row>
    <row r="6" spans="2:5">
      <c r="B6">
        <v>6</v>
      </c>
      <c r="C6" s="1">
        <v>0.67</v>
      </c>
      <c r="D6" s="1">
        <v>0.61</v>
      </c>
      <c r="E6" s="1">
        <v>0.6</v>
      </c>
    </row>
    <row r="7" spans="2:5">
      <c r="B7">
        <v>7</v>
      </c>
      <c r="C7" s="1">
        <v>0.575</v>
      </c>
      <c r="D7" s="1">
        <v>0.61</v>
      </c>
      <c r="E7" s="1">
        <v>0.6</v>
      </c>
    </row>
    <row r="8" spans="2:5">
      <c r="B8">
        <v>8</v>
      </c>
      <c r="C8" s="1">
        <v>0.66</v>
      </c>
      <c r="D8" s="1">
        <v>0.61</v>
      </c>
      <c r="E8" s="1">
        <v>0.6</v>
      </c>
    </row>
    <row r="9" spans="2:5">
      <c r="B9">
        <v>9</v>
      </c>
      <c r="C9" s="1">
        <v>0.585</v>
      </c>
      <c r="D9" s="1">
        <v>0.61</v>
      </c>
      <c r="E9" s="1">
        <v>0.6</v>
      </c>
    </row>
    <row r="10" spans="2:5">
      <c r="B10">
        <v>10</v>
      </c>
      <c r="C10" s="1">
        <v>0.71</v>
      </c>
      <c r="D10" s="1">
        <v>0.61</v>
      </c>
      <c r="E10" s="1">
        <v>0.6</v>
      </c>
    </row>
    <row r="11" spans="2:5">
      <c r="B11">
        <v>11</v>
      </c>
      <c r="C11" s="1">
        <v>0.71</v>
      </c>
      <c r="D11" s="1">
        <v>0.61</v>
      </c>
      <c r="E11" s="1">
        <v>0.6</v>
      </c>
    </row>
    <row r="12" spans="2:5">
      <c r="B12">
        <v>12</v>
      </c>
      <c r="C12" s="1">
        <v>0.575</v>
      </c>
      <c r="D12" s="1">
        <v>0.61</v>
      </c>
      <c r="E12" s="1">
        <v>0.6</v>
      </c>
    </row>
    <row r="13" spans="2:5">
      <c r="B13">
        <v>13</v>
      </c>
      <c r="C13" s="1">
        <v>0.675</v>
      </c>
      <c r="D13" s="1">
        <v>0.61</v>
      </c>
      <c r="E13" s="1">
        <v>0.6</v>
      </c>
    </row>
    <row r="14" spans="2:5">
      <c r="B14">
        <v>14</v>
      </c>
      <c r="C14" s="1">
        <v>0.695</v>
      </c>
      <c r="D14" s="1">
        <v>0.61</v>
      </c>
      <c r="E14" s="1">
        <v>0.6</v>
      </c>
    </row>
    <row r="15" spans="2:5">
      <c r="B15">
        <v>15</v>
      </c>
      <c r="C15" s="1">
        <v>0.625</v>
      </c>
      <c r="D15" s="1">
        <v>0.61</v>
      </c>
      <c r="E15" s="1">
        <v>0.6</v>
      </c>
    </row>
    <row r="16" spans="2:5">
      <c r="B16">
        <v>16</v>
      </c>
      <c r="C16" s="1">
        <v>0.655</v>
      </c>
      <c r="D16" s="1">
        <v>0.61</v>
      </c>
      <c r="E16" s="1">
        <v>0.6</v>
      </c>
    </row>
    <row r="17" spans="2:5">
      <c r="B17">
        <v>17</v>
      </c>
      <c r="C17" s="1">
        <v>0.4</v>
      </c>
      <c r="D17" s="1">
        <v>0.61</v>
      </c>
      <c r="E17" s="1">
        <v>0.6</v>
      </c>
    </row>
    <row r="18" spans="2:5">
      <c r="B18">
        <v>18</v>
      </c>
      <c r="C18" s="1">
        <v>0.595</v>
      </c>
      <c r="D18" s="1">
        <v>0.61</v>
      </c>
      <c r="E18" s="1">
        <v>0.6</v>
      </c>
    </row>
    <row r="19" spans="2:5">
      <c r="B19">
        <v>19</v>
      </c>
      <c r="C19" s="1">
        <v>0.57</v>
      </c>
      <c r="D19" s="1">
        <v>0.61</v>
      </c>
      <c r="E19" s="1">
        <v>0.6</v>
      </c>
    </row>
    <row r="20" spans="2:5">
      <c r="B20">
        <v>20</v>
      </c>
      <c r="C20" s="1">
        <v>0.515</v>
      </c>
      <c r="D20" s="1">
        <v>0.61</v>
      </c>
      <c r="E20" s="1">
        <v>0.6</v>
      </c>
    </row>
    <row r="21" spans="2:5">
      <c r="B21">
        <v>21</v>
      </c>
      <c r="C21" s="1">
        <v>0.685</v>
      </c>
      <c r="D21" s="1">
        <v>0.61</v>
      </c>
      <c r="E21" s="1">
        <v>0.6</v>
      </c>
    </row>
    <row r="22" spans="2:5">
      <c r="B22">
        <v>22</v>
      </c>
      <c r="C22" s="1">
        <v>0.6</v>
      </c>
      <c r="D22" s="1">
        <v>0.61</v>
      </c>
      <c r="E22" s="1">
        <v>0.6</v>
      </c>
    </row>
    <row r="23" spans="2:5">
      <c r="B23">
        <v>23</v>
      </c>
      <c r="C23" s="1">
        <v>0.605</v>
      </c>
      <c r="D23" s="1">
        <v>0.61</v>
      </c>
      <c r="E23" s="1">
        <v>0.6</v>
      </c>
    </row>
    <row r="24" spans="2:5">
      <c r="B24">
        <v>24</v>
      </c>
      <c r="C24" s="1">
        <v>0.7</v>
      </c>
      <c r="D24" s="1">
        <v>0.61</v>
      </c>
      <c r="E24" s="1">
        <v>0.6</v>
      </c>
    </row>
    <row r="25" spans="2:5">
      <c r="B25">
        <v>25</v>
      </c>
      <c r="C25" s="1">
        <v>0.5725</v>
      </c>
      <c r="D25" s="1">
        <v>0.61</v>
      </c>
      <c r="E25" s="1">
        <v>0.6</v>
      </c>
    </row>
    <row r="26" spans="2:5">
      <c r="B26">
        <v>26</v>
      </c>
      <c r="C26" s="1">
        <v>0.65</v>
      </c>
      <c r="D26" s="1">
        <v>0.61</v>
      </c>
      <c r="E26" s="1">
        <v>0.6</v>
      </c>
    </row>
    <row r="27" spans="2:5">
      <c r="B27">
        <v>27</v>
      </c>
      <c r="C27" s="1">
        <v>0.55</v>
      </c>
      <c r="D27" s="1">
        <v>0.61</v>
      </c>
      <c r="E27" s="1">
        <v>0.6</v>
      </c>
    </row>
    <row r="28" spans="2:5">
      <c r="B28">
        <v>28</v>
      </c>
      <c r="C28" s="1">
        <v>0.59</v>
      </c>
      <c r="D28" s="1">
        <v>0.61</v>
      </c>
      <c r="E28" s="1">
        <v>0.6</v>
      </c>
    </row>
    <row r="29" spans="2:5">
      <c r="B29">
        <v>29</v>
      </c>
      <c r="C29" s="1">
        <v>0.63</v>
      </c>
      <c r="D29" s="1">
        <v>0.61</v>
      </c>
      <c r="E29" s="1">
        <v>0.6</v>
      </c>
    </row>
    <row r="30" spans="2:5">
      <c r="B30">
        <v>30</v>
      </c>
      <c r="C30" s="1">
        <v>0.705</v>
      </c>
      <c r="D30" s="1">
        <v>0.61</v>
      </c>
      <c r="E30" s="1">
        <v>0.6</v>
      </c>
    </row>
    <row r="31" spans="2:5">
      <c r="B31">
        <v>31</v>
      </c>
      <c r="C31" s="1">
        <v>0.55</v>
      </c>
      <c r="D31" s="1">
        <v>0.61</v>
      </c>
      <c r="E31" s="1">
        <v>0.6</v>
      </c>
    </row>
    <row r="32" spans="2:5">
      <c r="B32">
        <v>32</v>
      </c>
      <c r="C32" s="1">
        <v>0.62</v>
      </c>
      <c r="D32" s="1">
        <v>0.61</v>
      </c>
      <c r="E32" s="1">
        <v>0.6</v>
      </c>
    </row>
    <row r="33" spans="2:5">
      <c r="B33">
        <v>33</v>
      </c>
      <c r="C33" s="1">
        <v>0.63</v>
      </c>
      <c r="D33" s="1">
        <v>0.61</v>
      </c>
      <c r="E33" s="1">
        <v>0.6</v>
      </c>
    </row>
    <row r="34" spans="2:5">
      <c r="B34">
        <v>34</v>
      </c>
      <c r="C34" s="1">
        <v>0.62</v>
      </c>
      <c r="D34" s="1">
        <v>0.61</v>
      </c>
      <c r="E34" s="1">
        <v>0.6</v>
      </c>
    </row>
    <row r="35" spans="2:5">
      <c r="B35">
        <v>35</v>
      </c>
      <c r="C35" s="1">
        <v>0.705</v>
      </c>
      <c r="D35" s="1">
        <v>0.61</v>
      </c>
      <c r="E35" s="1">
        <v>0.6</v>
      </c>
    </row>
    <row r="36" spans="2:5">
      <c r="B36">
        <v>36</v>
      </c>
      <c r="C36" s="1">
        <v>0.595</v>
      </c>
      <c r="D36" s="1">
        <v>0.61</v>
      </c>
      <c r="E36" s="1">
        <v>0.6</v>
      </c>
    </row>
    <row r="37" spans="2:5">
      <c r="B37">
        <v>37</v>
      </c>
      <c r="C37" s="1">
        <v>0.665</v>
      </c>
      <c r="D37" s="1">
        <v>0.61</v>
      </c>
      <c r="E37" s="1">
        <v>0.6</v>
      </c>
    </row>
    <row r="38" spans="2:5">
      <c r="B38">
        <v>38</v>
      </c>
      <c r="C38" s="1">
        <v>0.64</v>
      </c>
      <c r="D38" s="1">
        <v>0.61</v>
      </c>
      <c r="E38" s="1">
        <v>0.6</v>
      </c>
    </row>
    <row r="39" spans="2:5">
      <c r="B39">
        <v>39</v>
      </c>
      <c r="C39" s="1">
        <v>0.64</v>
      </c>
      <c r="D39" s="1">
        <v>0.61</v>
      </c>
      <c r="E39" s="1">
        <v>0.6</v>
      </c>
    </row>
    <row r="40" spans="2:5">
      <c r="B40">
        <v>40</v>
      </c>
      <c r="C40" s="1">
        <v>0.505</v>
      </c>
      <c r="D40" s="1">
        <v>0.61</v>
      </c>
      <c r="E40" s="1">
        <v>0.6</v>
      </c>
    </row>
    <row r="41" spans="2:5">
      <c r="B41">
        <v>41</v>
      </c>
      <c r="C41" s="1">
        <v>0.625</v>
      </c>
      <c r="D41" s="1">
        <v>0.61</v>
      </c>
      <c r="E41" s="1">
        <v>0.6</v>
      </c>
    </row>
    <row r="42" spans="2:5">
      <c r="B42">
        <v>42</v>
      </c>
      <c r="C42" s="1">
        <v>0.55</v>
      </c>
      <c r="D42" s="1">
        <v>0.61</v>
      </c>
      <c r="E42" s="1">
        <v>0.6</v>
      </c>
    </row>
    <row r="43" spans="2:5">
      <c r="B43">
        <v>43</v>
      </c>
      <c r="C43" s="1">
        <v>0.615</v>
      </c>
      <c r="D43" s="1">
        <v>0.61</v>
      </c>
      <c r="E43" s="1">
        <v>0.6</v>
      </c>
    </row>
    <row r="44" spans="2:5">
      <c r="B44">
        <v>44</v>
      </c>
      <c r="C44" s="1">
        <v>0.575</v>
      </c>
      <c r="D44" s="1">
        <v>0.61</v>
      </c>
      <c r="E44" s="1">
        <v>0.6</v>
      </c>
    </row>
    <row r="45" spans="2:5">
      <c r="B45">
        <v>45</v>
      </c>
      <c r="C45" s="1">
        <v>0.49</v>
      </c>
      <c r="D45" s="1">
        <v>0.61</v>
      </c>
      <c r="E45" s="1">
        <v>0.6</v>
      </c>
    </row>
    <row r="46" spans="2:5">
      <c r="B46">
        <v>46</v>
      </c>
      <c r="C46" s="1">
        <v>0.495</v>
      </c>
      <c r="D46" s="1">
        <v>0.61</v>
      </c>
      <c r="E46" s="1">
        <v>0.6</v>
      </c>
    </row>
    <row r="47" spans="2:5">
      <c r="B47">
        <v>47</v>
      </c>
      <c r="C47" s="1">
        <v>0.525</v>
      </c>
      <c r="D47" s="1">
        <v>0.61</v>
      </c>
      <c r="E47" s="1">
        <v>0.6</v>
      </c>
    </row>
    <row r="48" spans="2:5">
      <c r="B48">
        <v>48</v>
      </c>
      <c r="C48" s="1">
        <v>0.725</v>
      </c>
      <c r="D48" s="1">
        <v>0.61</v>
      </c>
      <c r="E48" s="1">
        <v>0.6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8"/>
  <sheetViews>
    <sheetView tabSelected="1" workbookViewId="0">
      <selection activeCell="D1" sqref="D1:E48"/>
    </sheetView>
  </sheetViews>
  <sheetFormatPr defaultColWidth="8.8" defaultRowHeight="15.6" outlineLevelCol="4"/>
  <sheetData>
    <row r="1" spans="2:5">
      <c r="B1">
        <v>1</v>
      </c>
      <c r="C1" s="1">
        <v>0.696666666666667</v>
      </c>
      <c r="D1" s="1">
        <v>0.75</v>
      </c>
      <c r="E1" s="1">
        <v>0.6</v>
      </c>
    </row>
    <row r="2" spans="2:5">
      <c r="B2">
        <v>2</v>
      </c>
      <c r="C2" s="1">
        <v>0.745555555555556</v>
      </c>
      <c r="D2" s="1">
        <v>0.75</v>
      </c>
      <c r="E2" s="1">
        <v>0.6</v>
      </c>
    </row>
    <row r="3" spans="2:5">
      <c r="B3">
        <v>3</v>
      </c>
      <c r="C3" s="1">
        <v>0.672222222222222</v>
      </c>
      <c r="D3" s="1">
        <v>0.75</v>
      </c>
      <c r="E3" s="1">
        <v>0.6</v>
      </c>
    </row>
    <row r="4" spans="2:5">
      <c r="B4">
        <v>4</v>
      </c>
      <c r="C4" s="1">
        <v>0.822777777777778</v>
      </c>
      <c r="D4" s="1">
        <v>0.75</v>
      </c>
      <c r="E4" s="1">
        <v>0.6</v>
      </c>
    </row>
    <row r="5" spans="2:5">
      <c r="B5">
        <v>5</v>
      </c>
      <c r="C5" s="1">
        <v>0.825</v>
      </c>
      <c r="D5" s="1">
        <v>0.75</v>
      </c>
      <c r="E5" s="1">
        <v>0.6</v>
      </c>
    </row>
    <row r="6" spans="2:5">
      <c r="B6">
        <v>6</v>
      </c>
      <c r="C6" s="1">
        <v>0.841666666666667</v>
      </c>
      <c r="D6" s="1">
        <v>0.75</v>
      </c>
      <c r="E6" s="1">
        <v>0.6</v>
      </c>
    </row>
    <row r="7" spans="2:5">
      <c r="B7">
        <v>7</v>
      </c>
      <c r="C7" s="1">
        <v>0.679055555555556</v>
      </c>
      <c r="D7" s="1">
        <v>0.75</v>
      </c>
      <c r="E7" s="1">
        <v>0.6</v>
      </c>
    </row>
    <row r="8" spans="2:5">
      <c r="B8">
        <v>8</v>
      </c>
      <c r="C8" s="1">
        <v>0.742222222222222</v>
      </c>
      <c r="D8" s="1">
        <v>0.75</v>
      </c>
      <c r="E8" s="1">
        <v>0.6</v>
      </c>
    </row>
    <row r="9" spans="2:5">
      <c r="B9">
        <v>9</v>
      </c>
      <c r="C9" s="1">
        <v>0.757777777777778</v>
      </c>
      <c r="D9" s="1">
        <v>0.75</v>
      </c>
      <c r="E9" s="1">
        <v>0.6</v>
      </c>
    </row>
    <row r="10" spans="2:5">
      <c r="B10">
        <v>10</v>
      </c>
      <c r="C10" s="1">
        <v>0.866277777777778</v>
      </c>
      <c r="D10" s="1">
        <v>0.75</v>
      </c>
      <c r="E10" s="1">
        <v>0.6</v>
      </c>
    </row>
    <row r="11" spans="2:5">
      <c r="B11">
        <v>11</v>
      </c>
      <c r="C11" s="1">
        <v>0.831111111111111</v>
      </c>
      <c r="D11" s="1">
        <v>0.75</v>
      </c>
      <c r="E11" s="1">
        <v>0.6</v>
      </c>
    </row>
    <row r="12" spans="2:5">
      <c r="B12">
        <v>12</v>
      </c>
      <c r="C12" s="1">
        <v>0.7865</v>
      </c>
      <c r="D12" s="1">
        <v>0.75</v>
      </c>
      <c r="E12" s="1">
        <v>0.6</v>
      </c>
    </row>
    <row r="13" spans="2:5">
      <c r="B13">
        <v>13</v>
      </c>
      <c r="C13" s="1">
        <v>0.912222222222222</v>
      </c>
      <c r="D13" s="1">
        <v>0.75</v>
      </c>
      <c r="E13" s="1">
        <v>0.6</v>
      </c>
    </row>
    <row r="14" spans="2:5">
      <c r="B14">
        <v>14</v>
      </c>
      <c r="C14" s="1">
        <v>0.778888888888889</v>
      </c>
      <c r="D14" s="1">
        <v>0.75</v>
      </c>
      <c r="E14" s="1">
        <v>0.6</v>
      </c>
    </row>
    <row r="15" spans="2:5">
      <c r="B15">
        <v>15</v>
      </c>
      <c r="C15" s="1">
        <v>0.793333333333333</v>
      </c>
      <c r="D15" s="1">
        <v>0.75</v>
      </c>
      <c r="E15" s="1">
        <v>0.6</v>
      </c>
    </row>
    <row r="16" spans="2:5">
      <c r="B16">
        <v>16</v>
      </c>
      <c r="C16" s="1">
        <v>0.801111111111111</v>
      </c>
      <c r="D16" s="1">
        <v>0.75</v>
      </c>
      <c r="E16" s="1">
        <v>0.6</v>
      </c>
    </row>
    <row r="17" spans="2:5">
      <c r="B17">
        <v>17</v>
      </c>
      <c r="C17" s="1">
        <v>0.543166666666667</v>
      </c>
      <c r="D17" s="1">
        <v>0.75</v>
      </c>
      <c r="E17" s="1">
        <v>0.6</v>
      </c>
    </row>
    <row r="18" spans="2:5">
      <c r="B18">
        <v>18</v>
      </c>
      <c r="C18" s="1">
        <v>0.731111111111111</v>
      </c>
      <c r="D18" s="1">
        <v>0.75</v>
      </c>
      <c r="E18" s="1">
        <v>0.6</v>
      </c>
    </row>
    <row r="19" spans="2:5">
      <c r="B19">
        <v>19</v>
      </c>
      <c r="C19" s="1">
        <v>0.786833333333333</v>
      </c>
      <c r="D19" s="1">
        <v>0.75</v>
      </c>
      <c r="E19" s="1">
        <v>0.6</v>
      </c>
    </row>
    <row r="20" spans="2:5">
      <c r="B20">
        <v>20</v>
      </c>
      <c r="C20" s="1">
        <v>0.612222222222222</v>
      </c>
      <c r="D20" s="1">
        <v>0.75</v>
      </c>
      <c r="E20" s="1">
        <v>0.6</v>
      </c>
    </row>
    <row r="21" spans="2:5">
      <c r="B21">
        <v>21</v>
      </c>
      <c r="C21" s="1">
        <v>0.731666666666667</v>
      </c>
      <c r="D21" s="1">
        <v>0.75</v>
      </c>
      <c r="E21" s="1">
        <v>0.6</v>
      </c>
    </row>
    <row r="22" spans="2:5">
      <c r="B22">
        <v>22</v>
      </c>
      <c r="C22" s="1">
        <v>0.736666666666667</v>
      </c>
      <c r="D22" s="1">
        <v>0.75</v>
      </c>
      <c r="E22" s="1">
        <v>0.6</v>
      </c>
    </row>
    <row r="23" spans="2:5">
      <c r="B23">
        <v>23</v>
      </c>
      <c r="C23" s="1">
        <v>0.8</v>
      </c>
      <c r="D23" s="1">
        <v>0.75</v>
      </c>
      <c r="E23" s="1">
        <v>0.6</v>
      </c>
    </row>
    <row r="24" spans="2:5">
      <c r="B24">
        <v>24</v>
      </c>
      <c r="C24" s="1">
        <v>0.931833333333333</v>
      </c>
      <c r="D24" s="1">
        <v>0.75</v>
      </c>
      <c r="E24" s="1">
        <v>0.6</v>
      </c>
    </row>
    <row r="25" spans="2:5">
      <c r="B25">
        <v>25</v>
      </c>
      <c r="C25" s="1">
        <v>0.816666666666667</v>
      </c>
      <c r="D25" s="1">
        <v>0.75</v>
      </c>
      <c r="E25" s="1">
        <v>0.6</v>
      </c>
    </row>
    <row r="26" spans="2:5">
      <c r="B26">
        <v>26</v>
      </c>
      <c r="C26" s="1">
        <v>0.700555555555556</v>
      </c>
      <c r="D26" s="1">
        <v>0.75</v>
      </c>
      <c r="E26" s="1">
        <v>0.6</v>
      </c>
    </row>
    <row r="27" spans="2:5">
      <c r="B27">
        <v>27</v>
      </c>
      <c r="C27" s="1">
        <v>0.729833333333333</v>
      </c>
      <c r="D27" s="1">
        <v>0.75</v>
      </c>
      <c r="E27" s="1">
        <v>0.6</v>
      </c>
    </row>
    <row r="28" spans="2:5">
      <c r="B28">
        <v>28</v>
      </c>
      <c r="C28" s="1">
        <v>0.69</v>
      </c>
      <c r="D28" s="1">
        <v>0.75</v>
      </c>
      <c r="E28" s="1">
        <v>0.6</v>
      </c>
    </row>
    <row r="29" spans="2:5">
      <c r="B29">
        <v>29</v>
      </c>
      <c r="C29" s="1">
        <v>0.680555555555556</v>
      </c>
      <c r="D29" s="1">
        <v>0.75</v>
      </c>
      <c r="E29" s="1">
        <v>0.6</v>
      </c>
    </row>
    <row r="30" spans="2:5">
      <c r="B30">
        <v>30</v>
      </c>
      <c r="C30" s="1">
        <v>0.791833333333333</v>
      </c>
      <c r="D30" s="1">
        <v>0.75</v>
      </c>
      <c r="E30" s="1">
        <v>0.6</v>
      </c>
    </row>
    <row r="31" spans="2:5">
      <c r="B31">
        <v>31</v>
      </c>
      <c r="C31" s="1">
        <v>0.727222222222222</v>
      </c>
      <c r="D31" s="1">
        <v>0.75</v>
      </c>
      <c r="E31" s="1">
        <v>0.6</v>
      </c>
    </row>
    <row r="32" spans="2:5">
      <c r="B32">
        <v>32</v>
      </c>
      <c r="C32" s="1">
        <v>0.737222222222222</v>
      </c>
      <c r="D32" s="1">
        <v>0.75</v>
      </c>
      <c r="E32" s="1">
        <v>0.6</v>
      </c>
    </row>
    <row r="33" spans="2:5">
      <c r="B33">
        <v>33</v>
      </c>
      <c r="C33" s="1">
        <v>0.805</v>
      </c>
      <c r="D33" s="1">
        <v>0.75</v>
      </c>
      <c r="E33" s="1">
        <v>0.6</v>
      </c>
    </row>
    <row r="34" spans="2:5">
      <c r="B34">
        <v>34</v>
      </c>
      <c r="C34" s="1">
        <v>0.7915</v>
      </c>
      <c r="D34" s="1">
        <v>0.75</v>
      </c>
      <c r="E34" s="1">
        <v>0.6</v>
      </c>
    </row>
    <row r="35" spans="2:5">
      <c r="B35">
        <v>35</v>
      </c>
      <c r="C35" s="1">
        <v>0.836666666666667</v>
      </c>
      <c r="D35" s="1">
        <v>0.75</v>
      </c>
      <c r="E35" s="1">
        <v>0.6</v>
      </c>
    </row>
    <row r="36" spans="2:5">
      <c r="B36">
        <v>36</v>
      </c>
      <c r="C36" s="1">
        <v>0.7365</v>
      </c>
      <c r="D36" s="1">
        <v>0.75</v>
      </c>
      <c r="E36" s="1">
        <v>0.6</v>
      </c>
    </row>
    <row r="37" spans="2:5">
      <c r="B37">
        <v>37</v>
      </c>
      <c r="C37" s="1">
        <v>0.83</v>
      </c>
      <c r="D37" s="1">
        <v>0.75</v>
      </c>
      <c r="E37" s="1">
        <v>0.6</v>
      </c>
    </row>
    <row r="38" spans="2:5">
      <c r="B38">
        <v>38</v>
      </c>
      <c r="C38" s="1">
        <v>0.622222222222222</v>
      </c>
      <c r="D38" s="1">
        <v>0.75</v>
      </c>
      <c r="E38" s="1">
        <v>0.6</v>
      </c>
    </row>
    <row r="39" spans="2:5">
      <c r="B39">
        <v>39</v>
      </c>
      <c r="C39" s="1">
        <v>0.824444444444445</v>
      </c>
      <c r="D39" s="1">
        <v>0.75</v>
      </c>
      <c r="E39" s="1">
        <v>0.6</v>
      </c>
    </row>
    <row r="40" spans="2:5">
      <c r="B40">
        <v>40</v>
      </c>
      <c r="C40" s="1">
        <v>0.708888888888889</v>
      </c>
      <c r="D40" s="1">
        <v>0.75</v>
      </c>
      <c r="E40" s="1">
        <v>0.6</v>
      </c>
    </row>
    <row r="41" spans="2:5">
      <c r="B41">
        <v>41</v>
      </c>
      <c r="C41" s="1">
        <v>0.770555555555556</v>
      </c>
      <c r="D41" s="1">
        <v>0.75</v>
      </c>
      <c r="E41" s="1">
        <v>0.6</v>
      </c>
    </row>
    <row r="42" spans="2:5">
      <c r="B42">
        <v>42</v>
      </c>
      <c r="C42" s="1">
        <v>0.6765</v>
      </c>
      <c r="D42" s="1">
        <v>0.75</v>
      </c>
      <c r="E42" s="1">
        <v>0.6</v>
      </c>
    </row>
    <row r="43" spans="2:5">
      <c r="B43">
        <v>43</v>
      </c>
      <c r="C43" s="1">
        <v>0.512222222222222</v>
      </c>
      <c r="D43" s="1">
        <v>0.75</v>
      </c>
      <c r="E43" s="1">
        <v>0.6</v>
      </c>
    </row>
    <row r="44" spans="2:5">
      <c r="B44">
        <v>44</v>
      </c>
      <c r="C44" s="1">
        <v>0.735722222222222</v>
      </c>
      <c r="D44" s="1">
        <v>0.75</v>
      </c>
      <c r="E44" s="1">
        <v>0.6</v>
      </c>
    </row>
    <row r="45" spans="2:5">
      <c r="B45">
        <v>45</v>
      </c>
      <c r="C45" s="1">
        <v>0.672222222222222</v>
      </c>
      <c r="D45" s="1">
        <v>0.75</v>
      </c>
      <c r="E45" s="1">
        <v>0.6</v>
      </c>
    </row>
    <row r="46" spans="2:5">
      <c r="B46">
        <v>46</v>
      </c>
      <c r="C46" s="1">
        <v>0.747222222222222</v>
      </c>
      <c r="D46" s="1">
        <v>0.75</v>
      </c>
      <c r="E46" s="1">
        <v>0.6</v>
      </c>
    </row>
    <row r="47" spans="2:5">
      <c r="B47">
        <v>47</v>
      </c>
      <c r="C47" s="1">
        <v>0.663333333333333</v>
      </c>
      <c r="D47" s="1">
        <v>0.75</v>
      </c>
      <c r="E47" s="1">
        <v>0.6</v>
      </c>
    </row>
    <row r="48" spans="2:5">
      <c r="B48">
        <v>48</v>
      </c>
      <c r="C48" s="1">
        <v>0.82</v>
      </c>
      <c r="D48" s="1">
        <v>0.75</v>
      </c>
      <c r="E48" s="1">
        <v>0.6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期末成绩</vt:lpstr>
      <vt:lpstr>实验成绩</vt:lpstr>
      <vt:lpstr>平时成绩</vt:lpstr>
      <vt:lpstr>学生个体课程目标达成度</vt:lpstr>
      <vt:lpstr>课程目标点达成度</vt:lpstr>
      <vt:lpstr>Sheet1</vt:lpstr>
      <vt:lpstr>Sheet2(1)</vt:lpstr>
      <vt:lpstr>Sheet2(2)</vt:lpstr>
      <vt:lpstr>Sheet2(3)</vt:lpstr>
      <vt:lpstr>Sheet2(4)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</dc:creator>
  <cp:lastModifiedBy>刘东良</cp:lastModifiedBy>
  <dcterms:created xsi:type="dcterms:W3CDTF">1996-12-17T01:32:00Z</dcterms:created>
  <cp:lastPrinted>2016-01-08T02:03:00Z</cp:lastPrinted>
  <dcterms:modified xsi:type="dcterms:W3CDTF">2026-01-24T16:55:26Z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5D68EACBB1374769AEB7C9F0F76BABEB_13</vt:lpwstr>
  </property>
  <property fmtid="{D5CDD505-2E9C-101B-9397-08002B2CF9AE}" pid="4" name="CalculationRule">
    <vt:i4>0</vt:i4>
  </property>
</Properties>
</file>