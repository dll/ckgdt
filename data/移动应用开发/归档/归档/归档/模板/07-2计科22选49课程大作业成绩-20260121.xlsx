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归档\期末\模板\"/>
    </mc:Choice>
  </mc:AlternateContent>
  <xr:revisionPtr revIDLastSave="0" documentId="13_ncr:1_{C8771186-29CF-48C8-AC44-F15DE518F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Sheet3" sheetId="4" r:id="rId2"/>
    <sheet name="WpsReserved_CellImgList" sheetId="2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4" l="1"/>
  <c r="K50" i="4"/>
  <c r="K49" i="4"/>
  <c r="K48" i="4"/>
  <c r="K47" i="4"/>
  <c r="K46" i="4"/>
  <c r="K45" i="4"/>
  <c r="K44" i="4"/>
  <c r="K43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9" i="4"/>
  <c r="K8" i="4"/>
  <c r="K7" i="4"/>
  <c r="K6" i="4"/>
  <c r="K5" i="4"/>
  <c r="K4" i="4"/>
  <c r="K3" i="4"/>
  <c r="K2" i="4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<sst xmlns="http://schemas.openxmlformats.org/spreadsheetml/2006/main" count="366" uniqueCount="139">
  <si>
    <t>计科22选50人《移动应用开发》课程考核大作业项目报告及成绩 刘东良 2026.1.22</t>
  </si>
  <si>
    <t>学号</t>
  </si>
  <si>
    <t>姓名</t>
  </si>
  <si>
    <t>分组</t>
  </si>
  <si>
    <t>大作业项目</t>
  </si>
  <si>
    <t>项目(30%)</t>
  </si>
  <si>
    <t>小组(20%)</t>
  </si>
  <si>
    <t>个人(20%)</t>
  </si>
  <si>
    <t>答辩(30%)</t>
  </si>
  <si>
    <t>总分(2位)</t>
  </si>
  <si>
    <t>总分</t>
  </si>
  <si>
    <t>张文抱</t>
  </si>
  <si>
    <t>适老居家生活辅助系统</t>
  </si>
  <si>
    <t>朱传双</t>
  </si>
  <si>
    <t>曹安晨</t>
  </si>
  <si>
    <t>童其凡</t>
  </si>
  <si>
    <t>周宇</t>
  </si>
  <si>
    <t>詹庆</t>
  </si>
  <si>
    <t>杨龙</t>
  </si>
  <si>
    <t>云端智能畜牧养殖管理系统</t>
  </si>
  <si>
    <t>杨浩天</t>
  </si>
  <si>
    <t>张玉妍</t>
  </si>
  <si>
    <t>李良辰</t>
  </si>
  <si>
    <t>孙锦年</t>
  </si>
  <si>
    <t>阮珧</t>
  </si>
  <si>
    <t>陈晨</t>
  </si>
  <si>
    <t>在线学习辅助平台开发与整合</t>
  </si>
  <si>
    <t>陈创东</t>
  </si>
  <si>
    <t>陆征宇</t>
  </si>
  <si>
    <t>季玮</t>
  </si>
  <si>
    <t>任奕凯</t>
  </si>
  <si>
    <t>胡昊泱</t>
  </si>
  <si>
    <t>宗梦晴</t>
  </si>
  <si>
    <t>智慧社区生活服务平台开发与整合</t>
  </si>
  <si>
    <t>唐蕊</t>
  </si>
  <si>
    <t>闫鹏飞</t>
  </si>
  <si>
    <t>洪晓瑞</t>
  </si>
  <si>
    <t>高恩鹏</t>
  </si>
  <si>
    <t>王鑫玥</t>
  </si>
  <si>
    <t>苗佳宇</t>
  </si>
  <si>
    <t>线上购物平台开发与整合</t>
  </si>
  <si>
    <t>戚锐</t>
  </si>
  <si>
    <t>李浩</t>
  </si>
  <si>
    <t>汪海洋</t>
  </si>
  <si>
    <t>梁平</t>
  </si>
  <si>
    <t>孙嘉婧</t>
  </si>
  <si>
    <t>胡步兴</t>
  </si>
  <si>
    <t>智慧校园生活服务平台开发与整合</t>
  </si>
  <si>
    <t>关雪艳</t>
  </si>
  <si>
    <t>郭新杰</t>
  </si>
  <si>
    <t>邓慧茹</t>
  </si>
  <si>
    <t>程梦圆</t>
  </si>
  <si>
    <t>范鑫蕊</t>
  </si>
  <si>
    <t>张梦杰</t>
  </si>
  <si>
    <t>智能健康运动记录平台开发与整合</t>
  </si>
  <si>
    <t>赵杰</t>
  </si>
  <si>
    <t>李今朝</t>
  </si>
  <si>
    <t>庞雨俊</t>
  </si>
  <si>
    <t>李宝航</t>
  </si>
  <si>
    <t>郑存耀</t>
  </si>
  <si>
    <t>王瑞</t>
  </si>
  <si>
    <t>二手物品交易平台开发与整合</t>
  </si>
  <si>
    <t>张金龙</t>
  </si>
  <si>
    <t>程纪阳</t>
  </si>
  <si>
    <t>朱世俊</t>
  </si>
  <si>
    <t>王志成</t>
  </si>
  <si>
    <t>祝文耿</t>
  </si>
  <si>
    <t>备注：2022210338 丁玉耀、2022210407 张克2位同学旷缺。</t>
  </si>
  <si>
    <t>2020211034</t>
  </si>
  <si>
    <t>正常</t>
  </si>
  <si>
    <t>计科222</t>
  </si>
  <si>
    <t>71</t>
  </si>
  <si>
    <t>2020213700</t>
  </si>
  <si>
    <t>77</t>
  </si>
  <si>
    <t>2022210331</t>
  </si>
  <si>
    <t>计科221</t>
  </si>
  <si>
    <t>81</t>
  </si>
  <si>
    <t>2022210332</t>
  </si>
  <si>
    <t>2022210333</t>
  </si>
  <si>
    <t>76</t>
  </si>
  <si>
    <t>2022210334</t>
  </si>
  <si>
    <t>83</t>
  </si>
  <si>
    <t>2022210335</t>
  </si>
  <si>
    <t>78</t>
  </si>
  <si>
    <t>2022210337</t>
  </si>
  <si>
    <t>79</t>
  </si>
  <si>
    <t>2022210338</t>
  </si>
  <si>
    <t>丁玉耀</t>
  </si>
  <si>
    <t>23</t>
  </si>
  <si>
    <t>2022210339</t>
  </si>
  <si>
    <t>2022210342</t>
  </si>
  <si>
    <t>82</t>
  </si>
  <si>
    <t>2022210343</t>
  </si>
  <si>
    <t>2022210344</t>
  </si>
  <si>
    <t>2022210346</t>
  </si>
  <si>
    <t>2022210347</t>
  </si>
  <si>
    <t>2022210348</t>
  </si>
  <si>
    <t>2022210351</t>
  </si>
  <si>
    <t>2022210359</t>
  </si>
  <si>
    <t>25</t>
  </si>
  <si>
    <t>2022210360</t>
  </si>
  <si>
    <t>2022210361</t>
  </si>
  <si>
    <t>2022210362</t>
  </si>
  <si>
    <t>68</t>
  </si>
  <si>
    <t>2022210367</t>
  </si>
  <si>
    <t>2022210371</t>
  </si>
  <si>
    <t>75</t>
  </si>
  <si>
    <t>2022210374</t>
  </si>
  <si>
    <t>2022210376</t>
  </si>
  <si>
    <t>2022210378</t>
  </si>
  <si>
    <t>2022210380</t>
  </si>
  <si>
    <t>2022210381</t>
  </si>
  <si>
    <t>70</t>
  </si>
  <si>
    <t>2022210384</t>
  </si>
  <si>
    <t>2022210385</t>
  </si>
  <si>
    <t>74</t>
  </si>
  <si>
    <t>2022210387</t>
  </si>
  <si>
    <t>2022210389</t>
  </si>
  <si>
    <t>2022210392</t>
  </si>
  <si>
    <t>2022210393</t>
  </si>
  <si>
    <t>2022210394</t>
  </si>
  <si>
    <t>2022210400</t>
  </si>
  <si>
    <t>2022210401</t>
  </si>
  <si>
    <t>73</t>
  </si>
  <si>
    <t>2022210402</t>
  </si>
  <si>
    <t>2022210404</t>
  </si>
  <si>
    <t>2022210405</t>
  </si>
  <si>
    <t>80</t>
  </si>
  <si>
    <t>2022210407</t>
  </si>
  <si>
    <t>张克</t>
  </si>
  <si>
    <t>2022210411</t>
  </si>
  <si>
    <t>2022210414</t>
  </si>
  <si>
    <t>2022210416</t>
  </si>
  <si>
    <t>2022210417</t>
  </si>
  <si>
    <t>2022210422</t>
  </si>
  <si>
    <t>2022210423</t>
  </si>
  <si>
    <t>2022210428</t>
  </si>
  <si>
    <t>2022210429</t>
  </si>
  <si>
    <t>2022210430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</si>
</sst>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 "/>
    <numFmt numFmtId="179" formatCode="0.0_ "/>
    <numFmt numFmtId="180" formatCode="0.00_ "/>
  </numFmts>
  <fonts count="9" x14ac:knownFonts="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Arial"/>
    </font>
    <font>
      <b/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78" fontId="0" fillId="0" borderId="0" xfId="0" applyNumberFormat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79" fontId="6" fillId="0" borderId="1" xfId="0" applyNumberFormat="1" applyFont="1" applyBorder="1" applyAlignment="1">
      <alignment horizontal="left"/>
    </xf>
    <xf numFmtId="180" fontId="6" fillId="0" borderId="1" xfId="0" applyNumberFormat="1" applyFont="1" applyBorder="1" applyAlignment="1">
      <alignment horizontal="left"/>
    </xf>
    <xf numFmtId="178" fontId="0" fillId="0" borderId="1" xfId="0" applyNumberForma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79" fontId="6" fillId="2" borderId="1" xfId="0" applyNumberFormat="1" applyFont="1" applyFill="1" applyBorder="1" applyAlignment="1">
      <alignment horizontal="left"/>
    </xf>
    <xf numFmtId="180" fontId="6" fillId="2" borderId="1" xfId="0" applyNumberFormat="1" applyFont="1" applyFill="1" applyBorder="1" applyAlignment="1">
      <alignment horizontal="left"/>
    </xf>
    <xf numFmtId="178" fontId="0" fillId="2" borderId="1" xfId="0" applyNumberFormat="1" applyFill="1" applyBorder="1" applyAlignment="1">
      <alignment horizontal="left"/>
    </xf>
    <xf numFmtId="0" fontId="0" fillId="2" borderId="0" xfId="0" applyFill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179" fontId="6" fillId="3" borderId="1" xfId="0" applyNumberFormat="1" applyFont="1" applyFill="1" applyBorder="1" applyAlignment="1">
      <alignment horizontal="left"/>
    </xf>
    <xf numFmtId="180" fontId="6" fillId="3" borderId="1" xfId="0" applyNumberFormat="1" applyFont="1" applyFill="1" applyBorder="1" applyAlignment="1">
      <alignment horizontal="left"/>
    </xf>
    <xf numFmtId="178" fontId="0" fillId="3" borderId="1" xfId="0" applyNumberFormat="1" applyFill="1" applyBorder="1" applyAlignment="1">
      <alignment horizontal="left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topLeftCell="A31" zoomScale="115" zoomScaleNormal="115" workbookViewId="0">
      <selection activeCell="A36" sqref="A36:XFD36"/>
    </sheetView>
  </sheetViews>
  <sheetFormatPr defaultColWidth="8.88671875" defaultRowHeight="14.4" x14ac:dyDescent="0.25"/>
  <cols>
    <col min="1" max="1" width="18.33203125" customWidth="1"/>
    <col min="2" max="2" width="11" customWidth="1"/>
    <col min="3" max="3" width="7.88671875" customWidth="1"/>
    <col min="4" max="4" width="26" customWidth="1"/>
    <col min="5" max="5" width="9.33203125" customWidth="1"/>
    <col min="6" max="6" width="10.109375" customWidth="1"/>
    <col min="7" max="8" width="9.21875" customWidth="1"/>
    <col min="9" max="9" width="8.88671875" customWidth="1"/>
    <col min="10" max="10" width="7.88671875" customWidth="1"/>
  </cols>
  <sheetData>
    <row r="1" spans="1:11" ht="36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42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9"/>
    </row>
    <row r="3" spans="1:11" ht="24" customHeight="1" x14ac:dyDescent="0.3">
      <c r="A3" s="10">
        <v>2022210411</v>
      </c>
      <c r="B3" s="10" t="s">
        <v>11</v>
      </c>
      <c r="C3" s="19">
        <v>1</v>
      </c>
      <c r="D3" s="22" t="s">
        <v>12</v>
      </c>
      <c r="E3" s="11">
        <v>50</v>
      </c>
      <c r="F3" s="11">
        <v>50</v>
      </c>
      <c r="G3" s="11">
        <v>50</v>
      </c>
      <c r="H3" s="12">
        <v>60</v>
      </c>
      <c r="I3" s="13">
        <f>E3*0.3+F3*0.2+G3*0.2+H3*0.3</f>
        <v>53</v>
      </c>
      <c r="J3" s="14">
        <v>53</v>
      </c>
    </row>
    <row r="4" spans="1:11" ht="24" customHeight="1" x14ac:dyDescent="0.3">
      <c r="A4" s="10">
        <v>2022210423</v>
      </c>
      <c r="B4" s="10" t="s">
        <v>13</v>
      </c>
      <c r="C4" s="20"/>
      <c r="D4" s="23"/>
      <c r="E4" s="11">
        <v>60</v>
      </c>
      <c r="F4" s="11">
        <v>60</v>
      </c>
      <c r="G4" s="11">
        <v>50</v>
      </c>
      <c r="H4" s="12">
        <v>60</v>
      </c>
      <c r="I4" s="13">
        <f t="shared" ref="I4:I26" si="0">E4*0.3+F4*0.2+G4*0.2+H4*0.3</f>
        <v>58</v>
      </c>
      <c r="J4" s="14">
        <v>58</v>
      </c>
    </row>
    <row r="5" spans="1:11" s="33" customFormat="1" ht="24" customHeight="1" x14ac:dyDescent="0.3">
      <c r="A5" s="28">
        <v>2022210331</v>
      </c>
      <c r="B5" s="28" t="s">
        <v>14</v>
      </c>
      <c r="C5" s="20"/>
      <c r="D5" s="23"/>
      <c r="E5" s="29">
        <v>62</v>
      </c>
      <c r="F5" s="29">
        <v>50</v>
      </c>
      <c r="G5" s="29">
        <v>50</v>
      </c>
      <c r="H5" s="30">
        <v>60</v>
      </c>
      <c r="I5" s="31">
        <f t="shared" si="0"/>
        <v>56.6</v>
      </c>
      <c r="J5" s="32">
        <v>56.6</v>
      </c>
    </row>
    <row r="6" spans="1:11" ht="24" customHeight="1" x14ac:dyDescent="0.3">
      <c r="A6" s="10">
        <v>2020213700</v>
      </c>
      <c r="B6" s="10" t="s">
        <v>15</v>
      </c>
      <c r="C6" s="20"/>
      <c r="D6" s="23"/>
      <c r="E6" s="11">
        <v>76</v>
      </c>
      <c r="F6" s="11">
        <v>70</v>
      </c>
      <c r="G6" s="11">
        <v>50</v>
      </c>
      <c r="H6" s="12">
        <v>80</v>
      </c>
      <c r="I6" s="13">
        <f t="shared" si="0"/>
        <v>70.8</v>
      </c>
      <c r="J6" s="14">
        <v>70.8</v>
      </c>
    </row>
    <row r="7" spans="1:11" ht="24" customHeight="1" x14ac:dyDescent="0.3">
      <c r="A7" s="10">
        <v>2022210422</v>
      </c>
      <c r="B7" s="10" t="s">
        <v>16</v>
      </c>
      <c r="C7" s="20"/>
      <c r="D7" s="23"/>
      <c r="E7" s="11">
        <v>80</v>
      </c>
      <c r="F7" s="11">
        <v>70</v>
      </c>
      <c r="G7" s="11">
        <v>76</v>
      </c>
      <c r="H7" s="12">
        <v>76.7</v>
      </c>
      <c r="I7" s="13">
        <f t="shared" si="0"/>
        <v>76.209999999999994</v>
      </c>
      <c r="J7" s="14">
        <v>76.209999999999994</v>
      </c>
    </row>
    <row r="8" spans="1:11" ht="24" customHeight="1" x14ac:dyDescent="0.3">
      <c r="A8" s="10">
        <v>2022210404</v>
      </c>
      <c r="B8" s="10" t="s">
        <v>17</v>
      </c>
      <c r="C8" s="21"/>
      <c r="D8" s="24"/>
      <c r="E8" s="11">
        <v>80</v>
      </c>
      <c r="F8" s="11">
        <v>70</v>
      </c>
      <c r="G8" s="11">
        <v>80</v>
      </c>
      <c r="H8" s="12">
        <v>50</v>
      </c>
      <c r="I8" s="13">
        <f t="shared" si="0"/>
        <v>69</v>
      </c>
      <c r="J8" s="14">
        <v>69</v>
      </c>
    </row>
    <row r="9" spans="1:11" ht="24" customHeight="1" x14ac:dyDescent="0.3">
      <c r="A9" s="10">
        <v>2022210402</v>
      </c>
      <c r="B9" s="10" t="s">
        <v>18</v>
      </c>
      <c r="C9" s="19">
        <v>2</v>
      </c>
      <c r="D9" s="25" t="s">
        <v>19</v>
      </c>
      <c r="E9" s="11">
        <v>92</v>
      </c>
      <c r="F9" s="11">
        <v>90</v>
      </c>
      <c r="G9" s="11">
        <v>88</v>
      </c>
      <c r="H9" s="12">
        <v>92</v>
      </c>
      <c r="I9" s="13">
        <f t="shared" si="0"/>
        <v>90.8</v>
      </c>
      <c r="J9" s="14">
        <v>90.8</v>
      </c>
    </row>
    <row r="10" spans="1:11" ht="24" customHeight="1" x14ac:dyDescent="0.3">
      <c r="A10" s="10">
        <v>2022210401</v>
      </c>
      <c r="B10" s="10" t="s">
        <v>20</v>
      </c>
      <c r="C10" s="20"/>
      <c r="D10" s="26"/>
      <c r="E10" s="11">
        <v>78</v>
      </c>
      <c r="F10" s="11">
        <v>76</v>
      </c>
      <c r="G10" s="11">
        <v>74</v>
      </c>
      <c r="H10" s="12">
        <v>79.3</v>
      </c>
      <c r="I10" s="13">
        <f t="shared" si="0"/>
        <v>77.19</v>
      </c>
      <c r="J10" s="14">
        <v>77.19</v>
      </c>
    </row>
    <row r="11" spans="1:11" ht="24" customHeight="1" x14ac:dyDescent="0.3">
      <c r="A11" s="10">
        <v>2022210414</v>
      </c>
      <c r="B11" s="10" t="s">
        <v>21</v>
      </c>
      <c r="C11" s="20"/>
      <c r="D11" s="26"/>
      <c r="E11" s="11">
        <v>86</v>
      </c>
      <c r="F11" s="11">
        <v>82</v>
      </c>
      <c r="G11" s="11">
        <v>80</v>
      </c>
      <c r="H11" s="12">
        <v>81</v>
      </c>
      <c r="I11" s="13">
        <f t="shared" si="0"/>
        <v>82.5</v>
      </c>
      <c r="J11" s="14">
        <v>82.5</v>
      </c>
    </row>
    <row r="12" spans="1:11" s="33" customFormat="1" ht="24" customHeight="1" x14ac:dyDescent="0.3">
      <c r="A12" s="28">
        <v>2022210362</v>
      </c>
      <c r="B12" s="28" t="s">
        <v>22</v>
      </c>
      <c r="C12" s="20"/>
      <c r="D12" s="26"/>
      <c r="E12" s="29">
        <v>70</v>
      </c>
      <c r="F12" s="29">
        <v>70</v>
      </c>
      <c r="G12" s="29">
        <v>64</v>
      </c>
      <c r="H12" s="30">
        <v>60</v>
      </c>
      <c r="I12" s="31">
        <f t="shared" si="0"/>
        <v>65.8</v>
      </c>
      <c r="J12" s="32">
        <v>65.8</v>
      </c>
    </row>
    <row r="13" spans="1:11" ht="24" customHeight="1" x14ac:dyDescent="0.3">
      <c r="A13" s="10">
        <v>2022210385</v>
      </c>
      <c r="B13" s="10" t="s">
        <v>23</v>
      </c>
      <c r="C13" s="20"/>
      <c r="D13" s="26"/>
      <c r="E13" s="11">
        <v>80</v>
      </c>
      <c r="F13" s="11">
        <v>78</v>
      </c>
      <c r="G13" s="11">
        <v>78</v>
      </c>
      <c r="H13" s="12">
        <v>73</v>
      </c>
      <c r="I13" s="13">
        <f t="shared" si="0"/>
        <v>77.099999999999994</v>
      </c>
      <c r="J13" s="14">
        <v>77.099999999999994</v>
      </c>
    </row>
    <row r="14" spans="1:11" ht="24" customHeight="1" x14ac:dyDescent="0.3">
      <c r="A14" s="10">
        <v>2022210381</v>
      </c>
      <c r="B14" s="10" t="s">
        <v>24</v>
      </c>
      <c r="C14" s="21"/>
      <c r="D14" s="27"/>
      <c r="E14" s="11">
        <v>80</v>
      </c>
      <c r="F14" s="11">
        <v>70</v>
      </c>
      <c r="G14" s="11">
        <v>68</v>
      </c>
      <c r="H14" s="12">
        <v>79.3</v>
      </c>
      <c r="I14" s="13">
        <f t="shared" si="0"/>
        <v>75.39</v>
      </c>
      <c r="J14" s="14">
        <v>75.39</v>
      </c>
    </row>
    <row r="15" spans="1:11" ht="24" customHeight="1" x14ac:dyDescent="0.3">
      <c r="A15" s="10">
        <v>2022210332</v>
      </c>
      <c r="B15" s="10" t="s">
        <v>25</v>
      </c>
      <c r="C15" s="19">
        <v>3</v>
      </c>
      <c r="D15" s="25" t="s">
        <v>26</v>
      </c>
      <c r="E15" s="11">
        <v>92</v>
      </c>
      <c r="F15" s="11">
        <v>91</v>
      </c>
      <c r="G15" s="11">
        <v>92</v>
      </c>
      <c r="H15" s="12">
        <v>87</v>
      </c>
      <c r="I15" s="13">
        <f t="shared" si="0"/>
        <v>90.3</v>
      </c>
      <c r="J15" s="14">
        <v>90.3</v>
      </c>
    </row>
    <row r="16" spans="1:11" s="39" customFormat="1" ht="24" customHeight="1" x14ac:dyDescent="0.3">
      <c r="A16" s="34">
        <v>2022210333</v>
      </c>
      <c r="B16" s="34" t="s">
        <v>27</v>
      </c>
      <c r="C16" s="20"/>
      <c r="D16" s="26"/>
      <c r="E16" s="35">
        <v>92</v>
      </c>
      <c r="F16" s="35">
        <v>91</v>
      </c>
      <c r="G16" s="35">
        <v>92</v>
      </c>
      <c r="H16" s="36">
        <v>93</v>
      </c>
      <c r="I16" s="37">
        <f t="shared" si="0"/>
        <v>92.1</v>
      </c>
      <c r="J16" s="38">
        <v>92.1</v>
      </c>
    </row>
    <row r="17" spans="1:10" ht="24" customHeight="1" x14ac:dyDescent="0.3">
      <c r="A17" s="10">
        <v>2022210371</v>
      </c>
      <c r="B17" s="10" t="s">
        <v>28</v>
      </c>
      <c r="C17" s="20"/>
      <c r="D17" s="26"/>
      <c r="E17" s="11">
        <v>80</v>
      </c>
      <c r="F17" s="11">
        <v>80</v>
      </c>
      <c r="G17" s="11">
        <v>78</v>
      </c>
      <c r="H17" s="12">
        <v>72</v>
      </c>
      <c r="I17" s="13">
        <f t="shared" si="0"/>
        <v>77.2</v>
      </c>
      <c r="J17" s="14">
        <v>77.2</v>
      </c>
    </row>
    <row r="18" spans="1:10" ht="24" customHeight="1" x14ac:dyDescent="0.3">
      <c r="A18" s="10">
        <v>2022210351</v>
      </c>
      <c r="B18" s="10" t="s">
        <v>29</v>
      </c>
      <c r="C18" s="20"/>
      <c r="D18" s="26"/>
      <c r="E18" s="11">
        <v>78</v>
      </c>
      <c r="F18" s="11">
        <v>76</v>
      </c>
      <c r="G18" s="11">
        <v>80</v>
      </c>
      <c r="H18" s="12">
        <v>84</v>
      </c>
      <c r="I18" s="13">
        <f t="shared" si="0"/>
        <v>79.8</v>
      </c>
      <c r="J18" s="14">
        <v>79.8</v>
      </c>
    </row>
    <row r="19" spans="1:10" ht="24" customHeight="1" x14ac:dyDescent="0.3">
      <c r="A19" s="10">
        <v>2022210380</v>
      </c>
      <c r="B19" s="10" t="s">
        <v>30</v>
      </c>
      <c r="C19" s="20"/>
      <c r="D19" s="26"/>
      <c r="E19" s="11">
        <v>82</v>
      </c>
      <c r="F19" s="11">
        <v>80</v>
      </c>
      <c r="G19" s="11">
        <v>82</v>
      </c>
      <c r="H19" s="12">
        <v>67</v>
      </c>
      <c r="I19" s="13">
        <f t="shared" si="0"/>
        <v>77.099999999999994</v>
      </c>
      <c r="J19" s="14">
        <v>77.099999999999994</v>
      </c>
    </row>
    <row r="20" spans="1:10" ht="24" customHeight="1" x14ac:dyDescent="0.3">
      <c r="A20" s="10">
        <v>2022210348</v>
      </c>
      <c r="B20" s="10" t="s">
        <v>31</v>
      </c>
      <c r="C20" s="21"/>
      <c r="D20" s="27"/>
      <c r="E20" s="11">
        <v>80</v>
      </c>
      <c r="F20" s="11">
        <v>76</v>
      </c>
      <c r="G20" s="11">
        <v>80</v>
      </c>
      <c r="H20" s="12">
        <v>82</v>
      </c>
      <c r="I20" s="13">
        <f t="shared" si="0"/>
        <v>79.8</v>
      </c>
      <c r="J20" s="14">
        <v>79.8</v>
      </c>
    </row>
    <row r="21" spans="1:10" s="39" customFormat="1" ht="24" customHeight="1" x14ac:dyDescent="0.3">
      <c r="A21" s="34">
        <v>2022210430</v>
      </c>
      <c r="B21" s="34" t="s">
        <v>32</v>
      </c>
      <c r="C21" s="19">
        <v>4</v>
      </c>
      <c r="D21" s="25" t="s">
        <v>33</v>
      </c>
      <c r="E21" s="35">
        <v>92</v>
      </c>
      <c r="F21" s="35">
        <v>92</v>
      </c>
      <c r="G21" s="35">
        <v>94</v>
      </c>
      <c r="H21" s="36">
        <v>90</v>
      </c>
      <c r="I21" s="37">
        <f t="shared" si="0"/>
        <v>91.8</v>
      </c>
      <c r="J21" s="38">
        <v>91.8</v>
      </c>
    </row>
    <row r="22" spans="1:10" ht="24" customHeight="1" x14ac:dyDescent="0.3">
      <c r="A22" s="10">
        <v>2022210387</v>
      </c>
      <c r="B22" s="10" t="s">
        <v>34</v>
      </c>
      <c r="C22" s="20"/>
      <c r="D22" s="26"/>
      <c r="E22" s="11">
        <v>90</v>
      </c>
      <c r="F22" s="11">
        <v>88</v>
      </c>
      <c r="G22" s="11">
        <v>90</v>
      </c>
      <c r="H22" s="12">
        <v>89.7</v>
      </c>
      <c r="I22" s="13">
        <f t="shared" si="0"/>
        <v>89.51</v>
      </c>
      <c r="J22" s="14">
        <v>89.51</v>
      </c>
    </row>
    <row r="23" spans="1:10" ht="24" customHeight="1" x14ac:dyDescent="0.3">
      <c r="A23" s="10">
        <v>2022210400</v>
      </c>
      <c r="B23" s="10" t="s">
        <v>35</v>
      </c>
      <c r="C23" s="20"/>
      <c r="D23" s="26"/>
      <c r="E23" s="11">
        <v>94</v>
      </c>
      <c r="F23" s="11">
        <v>92</v>
      </c>
      <c r="G23" s="11">
        <v>96</v>
      </c>
      <c r="H23" s="12">
        <v>92</v>
      </c>
      <c r="I23" s="13">
        <f t="shared" si="0"/>
        <v>93.4</v>
      </c>
      <c r="J23" s="14">
        <v>93.4</v>
      </c>
    </row>
    <row r="24" spans="1:10" ht="24" customHeight="1" x14ac:dyDescent="0.3">
      <c r="A24" s="10">
        <v>2022210346</v>
      </c>
      <c r="B24" s="10" t="s">
        <v>36</v>
      </c>
      <c r="C24" s="20"/>
      <c r="D24" s="26"/>
      <c r="E24" s="11">
        <v>90</v>
      </c>
      <c r="F24" s="11">
        <v>90</v>
      </c>
      <c r="G24" s="11">
        <v>90</v>
      </c>
      <c r="H24" s="12">
        <v>93</v>
      </c>
      <c r="I24" s="13">
        <f t="shared" si="0"/>
        <v>90.9</v>
      </c>
      <c r="J24" s="14">
        <v>90.9</v>
      </c>
    </row>
    <row r="25" spans="1:10" ht="24" customHeight="1" x14ac:dyDescent="0.3">
      <c r="A25" s="10">
        <v>2022210342</v>
      </c>
      <c r="B25" s="10" t="s">
        <v>37</v>
      </c>
      <c r="C25" s="20"/>
      <c r="D25" s="26"/>
      <c r="E25" s="11">
        <v>94</v>
      </c>
      <c r="F25" s="11">
        <v>92</v>
      </c>
      <c r="G25" s="11">
        <v>94</v>
      </c>
      <c r="H25" s="12">
        <v>84.7</v>
      </c>
      <c r="I25" s="13">
        <f t="shared" si="0"/>
        <v>90.81</v>
      </c>
      <c r="J25" s="14">
        <v>90.81</v>
      </c>
    </row>
    <row r="26" spans="1:10" ht="24" customHeight="1" x14ac:dyDescent="0.3">
      <c r="A26" s="10">
        <v>2022210393</v>
      </c>
      <c r="B26" s="10" t="s">
        <v>38</v>
      </c>
      <c r="C26" s="21"/>
      <c r="D26" s="27"/>
      <c r="E26" s="11">
        <v>88</v>
      </c>
      <c r="F26" s="11">
        <v>86</v>
      </c>
      <c r="G26" s="11">
        <v>84</v>
      </c>
      <c r="H26" s="12">
        <v>87</v>
      </c>
      <c r="I26" s="13">
        <f t="shared" si="0"/>
        <v>86.5</v>
      </c>
      <c r="J26" s="14">
        <v>86.5</v>
      </c>
    </row>
    <row r="27" spans="1:10" ht="24" customHeight="1" x14ac:dyDescent="0.3">
      <c r="A27" s="10">
        <v>2022210374</v>
      </c>
      <c r="B27" s="10" t="s">
        <v>39</v>
      </c>
      <c r="C27" s="19">
        <v>5</v>
      </c>
      <c r="D27" s="25" t="s">
        <v>40</v>
      </c>
      <c r="E27" s="11">
        <v>70</v>
      </c>
      <c r="F27" s="11">
        <v>70</v>
      </c>
      <c r="G27" s="11">
        <v>76</v>
      </c>
      <c r="H27" s="12">
        <v>80</v>
      </c>
      <c r="I27" s="13">
        <f t="shared" ref="I27:I50" si="1">E27*0.3+F27*0.2+G27*0.2+H27*0.3</f>
        <v>74.2</v>
      </c>
      <c r="J27" s="14">
        <v>74.2</v>
      </c>
    </row>
    <row r="28" spans="1:10" ht="24" customHeight="1" x14ac:dyDescent="0.3">
      <c r="A28" s="10">
        <v>2022210378</v>
      </c>
      <c r="B28" s="10" t="s">
        <v>41</v>
      </c>
      <c r="C28" s="20"/>
      <c r="D28" s="26"/>
      <c r="E28" s="11">
        <v>67</v>
      </c>
      <c r="F28" s="11">
        <v>62</v>
      </c>
      <c r="G28" s="11">
        <v>62</v>
      </c>
      <c r="H28" s="12">
        <v>82</v>
      </c>
      <c r="I28" s="13">
        <f t="shared" si="1"/>
        <v>69.5</v>
      </c>
      <c r="J28" s="14">
        <v>69.5</v>
      </c>
    </row>
    <row r="29" spans="1:10" ht="24" customHeight="1" x14ac:dyDescent="0.3">
      <c r="A29" s="10">
        <v>2022210360</v>
      </c>
      <c r="B29" s="10" t="s">
        <v>42</v>
      </c>
      <c r="C29" s="20"/>
      <c r="D29" s="26"/>
      <c r="E29" s="11">
        <v>70</v>
      </c>
      <c r="F29" s="11">
        <v>70</v>
      </c>
      <c r="G29" s="11">
        <v>68</v>
      </c>
      <c r="H29" s="12">
        <v>74</v>
      </c>
      <c r="I29" s="13">
        <f t="shared" si="1"/>
        <v>70.8</v>
      </c>
      <c r="J29" s="14">
        <v>70.8</v>
      </c>
    </row>
    <row r="30" spans="1:10" s="39" customFormat="1" ht="24" customHeight="1" x14ac:dyDescent="0.3">
      <c r="A30" s="34">
        <v>2022210389</v>
      </c>
      <c r="B30" s="34" t="s">
        <v>43</v>
      </c>
      <c r="C30" s="20"/>
      <c r="D30" s="26"/>
      <c r="E30" s="35">
        <v>66</v>
      </c>
      <c r="F30" s="35">
        <v>62</v>
      </c>
      <c r="G30" s="35">
        <v>62</v>
      </c>
      <c r="H30" s="36">
        <v>75</v>
      </c>
      <c r="I30" s="37">
        <f t="shared" si="1"/>
        <v>67.099999999999994</v>
      </c>
      <c r="J30" s="38">
        <v>67.099999999999994</v>
      </c>
    </row>
    <row r="31" spans="1:10" s="39" customFormat="1" ht="24" customHeight="1" x14ac:dyDescent="0.3">
      <c r="A31" s="34">
        <v>2022210367</v>
      </c>
      <c r="B31" s="34" t="s">
        <v>44</v>
      </c>
      <c r="C31" s="20"/>
      <c r="D31" s="26"/>
      <c r="E31" s="35">
        <v>90</v>
      </c>
      <c r="F31" s="35">
        <v>88</v>
      </c>
      <c r="G31" s="35">
        <v>92</v>
      </c>
      <c r="H31" s="36">
        <v>81</v>
      </c>
      <c r="I31" s="37">
        <f t="shared" si="1"/>
        <v>87.3</v>
      </c>
      <c r="J31" s="38">
        <v>87.3</v>
      </c>
    </row>
    <row r="32" spans="1:10" s="33" customFormat="1" ht="24" customHeight="1" x14ac:dyDescent="0.3">
      <c r="A32" s="28">
        <v>2022210384</v>
      </c>
      <c r="B32" s="28" t="s">
        <v>45</v>
      </c>
      <c r="C32" s="21"/>
      <c r="D32" s="27"/>
      <c r="E32" s="29">
        <v>82</v>
      </c>
      <c r="F32" s="29">
        <v>78</v>
      </c>
      <c r="G32" s="29">
        <v>70</v>
      </c>
      <c r="H32" s="30">
        <v>68</v>
      </c>
      <c r="I32" s="31">
        <f t="shared" si="1"/>
        <v>74.599999999999994</v>
      </c>
      <c r="J32" s="32">
        <v>74.599999999999994</v>
      </c>
    </row>
    <row r="33" spans="1:10" ht="24" customHeight="1" x14ac:dyDescent="0.3">
      <c r="A33" s="10">
        <v>2022210347</v>
      </c>
      <c r="B33" s="10" t="s">
        <v>46</v>
      </c>
      <c r="C33" s="19">
        <v>6</v>
      </c>
      <c r="D33" s="25" t="s">
        <v>47</v>
      </c>
      <c r="E33" s="11">
        <v>86</v>
      </c>
      <c r="F33" s="11">
        <v>84</v>
      </c>
      <c r="G33" s="11">
        <v>88</v>
      </c>
      <c r="H33" s="12">
        <v>80</v>
      </c>
      <c r="I33" s="13">
        <f t="shared" si="1"/>
        <v>84.2</v>
      </c>
      <c r="J33" s="14">
        <v>84.2</v>
      </c>
    </row>
    <row r="34" spans="1:10" ht="24" customHeight="1" x14ac:dyDescent="0.3">
      <c r="A34" s="10">
        <v>2022210343</v>
      </c>
      <c r="B34" s="10" t="s">
        <v>48</v>
      </c>
      <c r="C34" s="20"/>
      <c r="D34" s="26"/>
      <c r="E34" s="11">
        <v>90</v>
      </c>
      <c r="F34" s="11">
        <v>90</v>
      </c>
      <c r="G34" s="11">
        <v>94</v>
      </c>
      <c r="H34" s="12">
        <v>90</v>
      </c>
      <c r="I34" s="13">
        <f t="shared" si="1"/>
        <v>90.8</v>
      </c>
      <c r="J34" s="14">
        <v>90.8</v>
      </c>
    </row>
    <row r="35" spans="1:10" ht="24" customHeight="1" x14ac:dyDescent="0.3">
      <c r="A35" s="10">
        <v>2022210344</v>
      </c>
      <c r="B35" s="10" t="s">
        <v>49</v>
      </c>
      <c r="C35" s="20"/>
      <c r="D35" s="26"/>
      <c r="E35" s="11">
        <v>80</v>
      </c>
      <c r="F35" s="11">
        <v>70</v>
      </c>
      <c r="G35" s="11">
        <v>70</v>
      </c>
      <c r="H35" s="12">
        <v>83.3</v>
      </c>
      <c r="I35" s="13">
        <f t="shared" si="1"/>
        <v>76.989999999999995</v>
      </c>
      <c r="J35" s="14">
        <v>76.989999999999995</v>
      </c>
    </row>
    <row r="36" spans="1:10" s="33" customFormat="1" ht="24" customHeight="1" x14ac:dyDescent="0.3">
      <c r="A36" s="28">
        <v>2022210337</v>
      </c>
      <c r="B36" s="28" t="s">
        <v>50</v>
      </c>
      <c r="C36" s="20"/>
      <c r="D36" s="26"/>
      <c r="E36" s="29">
        <v>88</v>
      </c>
      <c r="F36" s="29">
        <v>80</v>
      </c>
      <c r="G36" s="29">
        <v>90</v>
      </c>
      <c r="H36" s="30">
        <v>74</v>
      </c>
      <c r="I36" s="31">
        <f t="shared" si="1"/>
        <v>82.6</v>
      </c>
      <c r="J36" s="32">
        <v>82.6</v>
      </c>
    </row>
    <row r="37" spans="1:10" ht="24" customHeight="1" x14ac:dyDescent="0.3">
      <c r="A37" s="10">
        <v>2022210335</v>
      </c>
      <c r="B37" s="10" t="s">
        <v>51</v>
      </c>
      <c r="C37" s="20"/>
      <c r="D37" s="26"/>
      <c r="E37" s="11">
        <v>50</v>
      </c>
      <c r="F37" s="11">
        <v>50</v>
      </c>
      <c r="G37" s="11">
        <v>70</v>
      </c>
      <c r="H37" s="12">
        <v>62.7</v>
      </c>
      <c r="I37" s="13">
        <f t="shared" si="1"/>
        <v>57.81</v>
      </c>
      <c r="J37" s="14">
        <v>57.81</v>
      </c>
    </row>
    <row r="38" spans="1:10" ht="24" customHeight="1" x14ac:dyDescent="0.3">
      <c r="A38" s="10">
        <v>2022210339</v>
      </c>
      <c r="B38" s="10" t="s">
        <v>52</v>
      </c>
      <c r="C38" s="21"/>
      <c r="D38" s="27"/>
      <c r="E38" s="11">
        <v>80</v>
      </c>
      <c r="F38" s="11">
        <v>70</v>
      </c>
      <c r="G38" s="11">
        <v>72</v>
      </c>
      <c r="H38" s="12">
        <v>78</v>
      </c>
      <c r="I38" s="13">
        <f t="shared" si="1"/>
        <v>75.8</v>
      </c>
      <c r="J38" s="14">
        <v>75.8</v>
      </c>
    </row>
    <row r="39" spans="1:10" ht="24" customHeight="1" x14ac:dyDescent="0.3">
      <c r="A39" s="10">
        <v>2020211034</v>
      </c>
      <c r="B39" s="10" t="s">
        <v>53</v>
      </c>
      <c r="C39" s="19">
        <v>7</v>
      </c>
      <c r="D39" s="25" t="s">
        <v>54</v>
      </c>
      <c r="E39" s="11">
        <v>76</v>
      </c>
      <c r="F39" s="11">
        <v>71</v>
      </c>
      <c r="G39" s="11">
        <v>72</v>
      </c>
      <c r="H39" s="12">
        <v>68</v>
      </c>
      <c r="I39" s="13">
        <f t="shared" si="1"/>
        <v>71.8</v>
      </c>
      <c r="J39" s="14">
        <v>71.8</v>
      </c>
    </row>
    <row r="40" spans="1:10" ht="24" customHeight="1" x14ac:dyDescent="0.3">
      <c r="A40" s="10">
        <v>2022210416</v>
      </c>
      <c r="B40" s="10" t="s">
        <v>55</v>
      </c>
      <c r="C40" s="20"/>
      <c r="D40" s="26"/>
      <c r="E40" s="11">
        <v>64</v>
      </c>
      <c r="F40" s="11">
        <v>62</v>
      </c>
      <c r="G40" s="11">
        <v>68</v>
      </c>
      <c r="H40" s="12">
        <v>67.3</v>
      </c>
      <c r="I40" s="13">
        <f t="shared" si="1"/>
        <v>65.39</v>
      </c>
      <c r="J40" s="14">
        <v>65.39</v>
      </c>
    </row>
    <row r="41" spans="1:10" ht="24" customHeight="1" x14ac:dyDescent="0.3">
      <c r="A41" s="10">
        <v>2022210361</v>
      </c>
      <c r="B41" s="10" t="s">
        <v>56</v>
      </c>
      <c r="C41" s="20"/>
      <c r="D41" s="26"/>
      <c r="E41" s="11">
        <v>90</v>
      </c>
      <c r="F41" s="11">
        <v>88</v>
      </c>
      <c r="G41" s="11">
        <v>93</v>
      </c>
      <c r="H41" s="12">
        <v>90.7</v>
      </c>
      <c r="I41" s="13">
        <f t="shared" si="1"/>
        <v>90.41</v>
      </c>
      <c r="J41" s="14">
        <v>90.41</v>
      </c>
    </row>
    <row r="42" spans="1:10" s="33" customFormat="1" ht="24" customHeight="1" x14ac:dyDescent="0.3">
      <c r="A42" s="28">
        <v>2022210376</v>
      </c>
      <c r="B42" s="28" t="s">
        <v>57</v>
      </c>
      <c r="C42" s="20"/>
      <c r="D42" s="26"/>
      <c r="E42" s="29">
        <v>96</v>
      </c>
      <c r="F42" s="29">
        <v>94</v>
      </c>
      <c r="G42" s="29">
        <v>98</v>
      </c>
      <c r="H42" s="30">
        <v>94.7</v>
      </c>
      <c r="I42" s="31">
        <f t="shared" si="1"/>
        <v>95.61</v>
      </c>
      <c r="J42" s="32">
        <v>95.61</v>
      </c>
    </row>
    <row r="43" spans="1:10" ht="24" customHeight="1" x14ac:dyDescent="0.3">
      <c r="A43" s="10">
        <v>2022210359</v>
      </c>
      <c r="B43" s="10" t="s">
        <v>58</v>
      </c>
      <c r="C43" s="20"/>
      <c r="D43" s="26"/>
      <c r="E43" s="11">
        <v>80</v>
      </c>
      <c r="F43" s="11">
        <v>70</v>
      </c>
      <c r="G43" s="11">
        <v>80</v>
      </c>
      <c r="H43" s="12">
        <v>83.3</v>
      </c>
      <c r="I43" s="13">
        <f t="shared" si="1"/>
        <v>78.989999999999995</v>
      </c>
      <c r="J43" s="14">
        <v>78.989999999999995</v>
      </c>
    </row>
    <row r="44" spans="1:10" ht="24" customHeight="1" x14ac:dyDescent="0.3">
      <c r="A44" s="10">
        <v>2022210417</v>
      </c>
      <c r="B44" s="10" t="s">
        <v>59</v>
      </c>
      <c r="C44" s="21"/>
      <c r="D44" s="27"/>
      <c r="E44" s="11">
        <v>80</v>
      </c>
      <c r="F44" s="11">
        <v>78</v>
      </c>
      <c r="G44" s="11">
        <v>78</v>
      </c>
      <c r="H44" s="12">
        <v>70</v>
      </c>
      <c r="I44" s="13">
        <f t="shared" si="1"/>
        <v>76.2</v>
      </c>
      <c r="J44" s="14">
        <v>76.2</v>
      </c>
    </row>
    <row r="45" spans="1:10" ht="24" customHeight="1" x14ac:dyDescent="0.3">
      <c r="A45" s="10">
        <v>2022210392</v>
      </c>
      <c r="B45" s="10" t="s">
        <v>60</v>
      </c>
      <c r="C45" s="19">
        <v>8</v>
      </c>
      <c r="D45" s="25" t="s">
        <v>61</v>
      </c>
      <c r="E45" s="11">
        <v>78</v>
      </c>
      <c r="F45" s="11">
        <v>76</v>
      </c>
      <c r="G45" s="11">
        <v>76</v>
      </c>
      <c r="H45" s="12">
        <v>73</v>
      </c>
      <c r="I45" s="13">
        <f t="shared" si="1"/>
        <v>75.7</v>
      </c>
      <c r="J45" s="14">
        <v>75.7</v>
      </c>
    </row>
    <row r="46" spans="1:10" ht="24" customHeight="1" x14ac:dyDescent="0.3">
      <c r="A46" s="10">
        <v>2022210405</v>
      </c>
      <c r="B46" s="10" t="s">
        <v>62</v>
      </c>
      <c r="C46" s="20"/>
      <c r="D46" s="26"/>
      <c r="E46" s="11">
        <v>78</v>
      </c>
      <c r="F46" s="11">
        <v>76</v>
      </c>
      <c r="G46" s="11">
        <v>80</v>
      </c>
      <c r="H46" s="12">
        <v>90</v>
      </c>
      <c r="I46" s="13">
        <f t="shared" si="1"/>
        <v>81.599999999999994</v>
      </c>
      <c r="J46" s="14">
        <v>81.599999999999994</v>
      </c>
    </row>
    <row r="47" spans="1:10" ht="24" customHeight="1" x14ac:dyDescent="0.3">
      <c r="A47" s="10">
        <v>2022210334</v>
      </c>
      <c r="B47" s="10" t="s">
        <v>63</v>
      </c>
      <c r="C47" s="20"/>
      <c r="D47" s="26"/>
      <c r="E47" s="11">
        <v>78</v>
      </c>
      <c r="F47" s="11">
        <v>78</v>
      </c>
      <c r="G47" s="11">
        <v>86</v>
      </c>
      <c r="H47" s="12">
        <v>87</v>
      </c>
      <c r="I47" s="13">
        <f t="shared" si="1"/>
        <v>82.3</v>
      </c>
      <c r="J47" s="14">
        <v>82.3</v>
      </c>
    </row>
    <row r="48" spans="1:10" ht="24" customHeight="1" x14ac:dyDescent="0.3">
      <c r="A48" s="10">
        <v>2022210428</v>
      </c>
      <c r="B48" s="10" t="s">
        <v>64</v>
      </c>
      <c r="C48" s="20"/>
      <c r="D48" s="26"/>
      <c r="E48" s="11">
        <v>78</v>
      </c>
      <c r="F48" s="11">
        <v>76</v>
      </c>
      <c r="G48" s="11">
        <v>78</v>
      </c>
      <c r="H48" s="12">
        <v>77</v>
      </c>
      <c r="I48" s="13">
        <f t="shared" si="1"/>
        <v>77.3</v>
      </c>
      <c r="J48" s="14">
        <v>77.3</v>
      </c>
    </row>
    <row r="49" spans="1:10" ht="24" customHeight="1" x14ac:dyDescent="0.3">
      <c r="A49" s="10">
        <v>2022210394</v>
      </c>
      <c r="B49" s="10" t="s">
        <v>65</v>
      </c>
      <c r="C49" s="20"/>
      <c r="D49" s="26"/>
      <c r="E49" s="11">
        <v>78</v>
      </c>
      <c r="F49" s="11">
        <v>76</v>
      </c>
      <c r="G49" s="11">
        <v>82</v>
      </c>
      <c r="H49" s="12">
        <v>88.3</v>
      </c>
      <c r="I49" s="13">
        <f t="shared" si="1"/>
        <v>81.489999999999995</v>
      </c>
      <c r="J49" s="14">
        <v>81.489999999999995</v>
      </c>
    </row>
    <row r="50" spans="1:10" ht="24" customHeight="1" x14ac:dyDescent="0.3">
      <c r="A50" s="10">
        <v>2022210429</v>
      </c>
      <c r="B50" s="10" t="s">
        <v>66</v>
      </c>
      <c r="C50" s="21"/>
      <c r="D50" s="27"/>
      <c r="E50" s="11">
        <v>76</v>
      </c>
      <c r="F50" s="11">
        <v>74</v>
      </c>
      <c r="G50" s="11">
        <v>60</v>
      </c>
      <c r="H50" s="12">
        <v>60</v>
      </c>
      <c r="I50" s="13">
        <f t="shared" si="1"/>
        <v>67.599999999999994</v>
      </c>
      <c r="J50" s="14">
        <v>67.599999999999994</v>
      </c>
    </row>
    <row r="51" spans="1:10" ht="28.05" customHeight="1" x14ac:dyDescent="0.25">
      <c r="A51" s="16" t="s">
        <v>67</v>
      </c>
      <c r="B51" s="17"/>
      <c r="C51" s="17"/>
      <c r="D51" s="17"/>
      <c r="E51" s="17"/>
      <c r="F51" s="17"/>
      <c r="G51" s="17"/>
      <c r="H51" s="17"/>
      <c r="I51" s="17"/>
      <c r="J51" s="18"/>
    </row>
  </sheetData>
  <mergeCells count="18">
    <mergeCell ref="D39:D44"/>
    <mergeCell ref="D45:D50"/>
    <mergeCell ref="A1:J1"/>
    <mergeCell ref="A51:J51"/>
    <mergeCell ref="C3:C8"/>
    <mergeCell ref="C9:C14"/>
    <mergeCell ref="C15:C20"/>
    <mergeCell ref="C21:C26"/>
    <mergeCell ref="C27:C32"/>
    <mergeCell ref="C33:C38"/>
    <mergeCell ref="C39:C44"/>
    <mergeCell ref="C45:C50"/>
    <mergeCell ref="D3:D8"/>
    <mergeCell ref="D9:D14"/>
    <mergeCell ref="D15:D20"/>
    <mergeCell ref="D21:D26"/>
    <mergeCell ref="D27:D32"/>
    <mergeCell ref="D33:D38"/>
  </mergeCells>
  <phoneticPr fontId="8" type="noConversion"/>
  <printOptions horizontalCentered="1" verticalCentered="1"/>
  <pageMargins left="0.75138888888888899" right="0.75138888888888899" top="0.39305555555555599" bottom="0.39305555555555599" header="0.5" footer="0.5"/>
  <pageSetup paperSize="9" scale="6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:R51"/>
  <sheetViews>
    <sheetView topLeftCell="A47" workbookViewId="0">
      <selection activeCell="G2" sqref="G2:L51"/>
    </sheetView>
  </sheetViews>
  <sheetFormatPr defaultColWidth="8.88671875" defaultRowHeight="14.4" x14ac:dyDescent="0.25"/>
  <cols>
    <col min="5" max="5" width="25.33203125" customWidth="1"/>
    <col min="6" max="6" width="17" customWidth="1"/>
    <col min="13" max="13" width="13.77734375" customWidth="1"/>
  </cols>
  <sheetData>
    <row r="2" spans="5:18" ht="20.399999999999999" x14ac:dyDescent="0.3">
      <c r="E2" s="1">
        <v>2020211034</v>
      </c>
      <c r="F2" s="1" t="s">
        <v>53</v>
      </c>
      <c r="G2" s="2">
        <v>76</v>
      </c>
      <c r="H2" s="2">
        <v>71</v>
      </c>
      <c r="I2" s="2">
        <v>72</v>
      </c>
      <c r="J2" s="2">
        <v>68</v>
      </c>
      <c r="K2" s="2">
        <f t="shared" ref="K2:K9" si="0">G2*0.3+H2*0.2+I2*0.2+J2*0.3</f>
        <v>71.8</v>
      </c>
      <c r="L2" s="3">
        <v>71.8</v>
      </c>
      <c r="M2" s="4" t="s">
        <v>68</v>
      </c>
      <c r="N2" s="4" t="s">
        <v>53</v>
      </c>
      <c r="O2" s="4" t="s">
        <v>69</v>
      </c>
      <c r="P2" s="4" t="s">
        <v>70</v>
      </c>
      <c r="Q2" s="4" t="s">
        <v>71</v>
      </c>
      <c r="R2" s="3">
        <v>71.8</v>
      </c>
    </row>
    <row r="3" spans="5:18" ht="20.399999999999999" x14ac:dyDescent="0.3">
      <c r="E3" s="1">
        <v>2020213700</v>
      </c>
      <c r="F3" s="1" t="s">
        <v>15</v>
      </c>
      <c r="G3" s="2">
        <v>76</v>
      </c>
      <c r="H3" s="2">
        <v>70</v>
      </c>
      <c r="I3" s="2">
        <v>50</v>
      </c>
      <c r="J3" s="2">
        <v>80</v>
      </c>
      <c r="K3" s="2">
        <f t="shared" si="0"/>
        <v>70.8</v>
      </c>
      <c r="L3" s="3">
        <v>70.8</v>
      </c>
      <c r="M3" s="4" t="s">
        <v>72</v>
      </c>
      <c r="N3" s="4" t="s">
        <v>15</v>
      </c>
      <c r="O3" s="4" t="s">
        <v>69</v>
      </c>
      <c r="P3" s="4" t="s">
        <v>70</v>
      </c>
      <c r="Q3" s="4" t="s">
        <v>73</v>
      </c>
      <c r="R3" s="3">
        <v>70.8</v>
      </c>
    </row>
    <row r="4" spans="5:18" ht="20.399999999999999" x14ac:dyDescent="0.3">
      <c r="E4" s="1">
        <v>2022210331</v>
      </c>
      <c r="F4" s="1" t="s">
        <v>14</v>
      </c>
      <c r="G4" s="2">
        <v>62</v>
      </c>
      <c r="H4" s="2">
        <v>50</v>
      </c>
      <c r="I4" s="2">
        <v>50</v>
      </c>
      <c r="J4" s="2">
        <v>60</v>
      </c>
      <c r="K4" s="2">
        <f t="shared" si="0"/>
        <v>56.6</v>
      </c>
      <c r="L4" s="3">
        <v>56.6</v>
      </c>
      <c r="M4" s="4" t="s">
        <v>74</v>
      </c>
      <c r="N4" s="4" t="s">
        <v>14</v>
      </c>
      <c r="O4" s="4" t="s">
        <v>69</v>
      </c>
      <c r="P4" s="4" t="s">
        <v>75</v>
      </c>
      <c r="Q4" s="4" t="s">
        <v>76</v>
      </c>
      <c r="R4" s="3">
        <v>56.6</v>
      </c>
    </row>
    <row r="5" spans="5:18" ht="20.399999999999999" x14ac:dyDescent="0.3">
      <c r="E5" s="1">
        <v>2022210332</v>
      </c>
      <c r="F5" s="1" t="s">
        <v>25</v>
      </c>
      <c r="G5" s="2">
        <v>92</v>
      </c>
      <c r="H5" s="2">
        <v>91</v>
      </c>
      <c r="I5" s="2">
        <v>92</v>
      </c>
      <c r="J5" s="2">
        <v>87</v>
      </c>
      <c r="K5" s="2">
        <f t="shared" si="0"/>
        <v>90.3</v>
      </c>
      <c r="L5" s="3">
        <v>90.3</v>
      </c>
      <c r="M5" s="4" t="s">
        <v>77</v>
      </c>
      <c r="N5" s="4" t="s">
        <v>25</v>
      </c>
      <c r="O5" s="4" t="s">
        <v>69</v>
      </c>
      <c r="P5" s="4" t="s">
        <v>75</v>
      </c>
      <c r="Q5" s="4" t="s">
        <v>76</v>
      </c>
      <c r="R5" s="3">
        <v>90.3</v>
      </c>
    </row>
    <row r="6" spans="5:18" ht="20.399999999999999" x14ac:dyDescent="0.3">
      <c r="E6" s="1">
        <v>2022210333</v>
      </c>
      <c r="F6" s="1" t="s">
        <v>27</v>
      </c>
      <c r="G6" s="2">
        <v>92</v>
      </c>
      <c r="H6" s="2">
        <v>91</v>
      </c>
      <c r="I6" s="2">
        <v>92</v>
      </c>
      <c r="J6" s="2">
        <v>93</v>
      </c>
      <c r="K6" s="2">
        <f t="shared" si="0"/>
        <v>92.1</v>
      </c>
      <c r="L6" s="3">
        <v>92.1</v>
      </c>
      <c r="M6" s="4" t="s">
        <v>78</v>
      </c>
      <c r="N6" s="4" t="s">
        <v>27</v>
      </c>
      <c r="O6" s="4" t="s">
        <v>69</v>
      </c>
      <c r="P6" s="4" t="s">
        <v>75</v>
      </c>
      <c r="Q6" s="4" t="s">
        <v>79</v>
      </c>
      <c r="R6" s="3">
        <v>92.1</v>
      </c>
    </row>
    <row r="7" spans="5:18" ht="20.399999999999999" x14ac:dyDescent="0.3">
      <c r="E7" s="1">
        <v>2022210334</v>
      </c>
      <c r="F7" s="1" t="s">
        <v>63</v>
      </c>
      <c r="G7" s="2">
        <v>78</v>
      </c>
      <c r="H7" s="2">
        <v>78</v>
      </c>
      <c r="I7" s="2">
        <v>86</v>
      </c>
      <c r="J7" s="2">
        <v>87</v>
      </c>
      <c r="K7" s="2">
        <f t="shared" si="0"/>
        <v>82.3</v>
      </c>
      <c r="L7" s="3">
        <v>82.3</v>
      </c>
      <c r="M7" s="4" t="s">
        <v>80</v>
      </c>
      <c r="N7" s="4" t="s">
        <v>63</v>
      </c>
      <c r="O7" s="4" t="s">
        <v>69</v>
      </c>
      <c r="P7" s="4" t="s">
        <v>75</v>
      </c>
      <c r="Q7" s="4" t="s">
        <v>81</v>
      </c>
      <c r="R7" s="3">
        <v>82.3</v>
      </c>
    </row>
    <row r="8" spans="5:18" ht="20.399999999999999" x14ac:dyDescent="0.3">
      <c r="E8" s="1">
        <v>2022210335</v>
      </c>
      <c r="F8" s="1" t="s">
        <v>51</v>
      </c>
      <c r="G8" s="2">
        <v>50</v>
      </c>
      <c r="H8" s="2">
        <v>50</v>
      </c>
      <c r="I8" s="2">
        <v>70</v>
      </c>
      <c r="J8" s="2">
        <v>62.7</v>
      </c>
      <c r="K8" s="2">
        <f t="shared" si="0"/>
        <v>57.81</v>
      </c>
      <c r="L8" s="3">
        <v>57.81</v>
      </c>
      <c r="M8" s="4" t="s">
        <v>82</v>
      </c>
      <c r="N8" s="4" t="s">
        <v>51</v>
      </c>
      <c r="O8" s="4" t="s">
        <v>69</v>
      </c>
      <c r="P8" s="4" t="s">
        <v>75</v>
      </c>
      <c r="Q8" s="4" t="s">
        <v>83</v>
      </c>
      <c r="R8" s="3">
        <v>57.81</v>
      </c>
    </row>
    <row r="9" spans="5:18" ht="20.399999999999999" x14ac:dyDescent="0.3">
      <c r="E9" s="1">
        <v>2022210337</v>
      </c>
      <c r="F9" s="1" t="s">
        <v>50</v>
      </c>
      <c r="G9" s="2">
        <v>88</v>
      </c>
      <c r="H9" s="2">
        <v>80</v>
      </c>
      <c r="I9" s="2">
        <v>90</v>
      </c>
      <c r="J9" s="2">
        <v>74</v>
      </c>
      <c r="K9" s="2">
        <f t="shared" si="0"/>
        <v>82.6</v>
      </c>
      <c r="L9" s="3">
        <v>82.6</v>
      </c>
      <c r="M9" s="4" t="s">
        <v>84</v>
      </c>
      <c r="N9" s="4" t="s">
        <v>50</v>
      </c>
      <c r="O9" s="4" t="s">
        <v>69</v>
      </c>
      <c r="P9" s="4" t="s">
        <v>75</v>
      </c>
      <c r="Q9" s="4" t="s">
        <v>85</v>
      </c>
      <c r="R9" s="3">
        <v>82.6</v>
      </c>
    </row>
    <row r="10" spans="5:18" ht="20.399999999999999" x14ac:dyDescent="0.3">
      <c r="E10" s="1"/>
      <c r="F10" s="1"/>
      <c r="G10" s="2"/>
      <c r="H10" s="2"/>
      <c r="I10" s="2"/>
      <c r="J10" s="2"/>
      <c r="K10" s="2"/>
      <c r="L10" s="3"/>
      <c r="M10" s="4" t="s">
        <v>86</v>
      </c>
      <c r="N10" s="5" t="s">
        <v>87</v>
      </c>
      <c r="O10" s="4" t="s">
        <v>69</v>
      </c>
      <c r="P10" s="4" t="s">
        <v>75</v>
      </c>
      <c r="Q10" s="4" t="s">
        <v>88</v>
      </c>
      <c r="R10" s="3"/>
    </row>
    <row r="11" spans="5:18" ht="20.399999999999999" x14ac:dyDescent="0.3">
      <c r="E11" s="1">
        <v>2022210339</v>
      </c>
      <c r="F11" s="1" t="s">
        <v>52</v>
      </c>
      <c r="G11" s="2">
        <v>80</v>
      </c>
      <c r="H11" s="2">
        <v>70</v>
      </c>
      <c r="I11" s="2">
        <v>72</v>
      </c>
      <c r="J11" s="2">
        <v>78</v>
      </c>
      <c r="K11" s="2">
        <f t="shared" ref="K11:K41" si="1">G11*0.3+H11*0.2+I11*0.2+J11*0.3</f>
        <v>75.8</v>
      </c>
      <c r="L11" s="3">
        <v>75.8</v>
      </c>
      <c r="M11" s="4" t="s">
        <v>89</v>
      </c>
      <c r="N11" s="4" t="s">
        <v>52</v>
      </c>
      <c r="O11" s="4" t="s">
        <v>69</v>
      </c>
      <c r="P11" s="4" t="s">
        <v>75</v>
      </c>
      <c r="Q11" s="4" t="s">
        <v>85</v>
      </c>
      <c r="R11" s="3">
        <v>75.8</v>
      </c>
    </row>
    <row r="12" spans="5:18" ht="20.399999999999999" x14ac:dyDescent="0.3">
      <c r="E12" s="1">
        <v>2022210342</v>
      </c>
      <c r="F12" s="1" t="s">
        <v>37</v>
      </c>
      <c r="G12" s="2">
        <v>94</v>
      </c>
      <c r="H12" s="2">
        <v>92</v>
      </c>
      <c r="I12" s="2">
        <v>94</v>
      </c>
      <c r="J12" s="2">
        <v>84.7</v>
      </c>
      <c r="K12" s="2">
        <f t="shared" si="1"/>
        <v>90.81</v>
      </c>
      <c r="L12" s="3">
        <v>90.81</v>
      </c>
      <c r="M12" s="4" t="s">
        <v>90</v>
      </c>
      <c r="N12" s="4" t="s">
        <v>37</v>
      </c>
      <c r="O12" s="4" t="s">
        <v>69</v>
      </c>
      <c r="P12" s="4" t="s">
        <v>75</v>
      </c>
      <c r="Q12" s="4" t="s">
        <v>91</v>
      </c>
      <c r="R12" s="3">
        <v>90.81</v>
      </c>
    </row>
    <row r="13" spans="5:18" ht="20.399999999999999" x14ac:dyDescent="0.3">
      <c r="E13" s="1">
        <v>2022210343</v>
      </c>
      <c r="F13" s="1" t="s">
        <v>48</v>
      </c>
      <c r="G13" s="2">
        <v>90</v>
      </c>
      <c r="H13" s="2">
        <v>90</v>
      </c>
      <c r="I13" s="2">
        <v>94</v>
      </c>
      <c r="J13" s="2">
        <v>90</v>
      </c>
      <c r="K13" s="2">
        <f t="shared" si="1"/>
        <v>90.8</v>
      </c>
      <c r="L13" s="3">
        <v>90.8</v>
      </c>
      <c r="M13" s="4" t="s">
        <v>92</v>
      </c>
      <c r="N13" s="4" t="s">
        <v>48</v>
      </c>
      <c r="O13" s="4" t="s">
        <v>69</v>
      </c>
      <c r="P13" s="4" t="s">
        <v>75</v>
      </c>
      <c r="Q13" s="4" t="s">
        <v>76</v>
      </c>
      <c r="R13" s="3">
        <v>90.8</v>
      </c>
    </row>
    <row r="14" spans="5:18" ht="20.399999999999999" x14ac:dyDescent="0.3">
      <c r="E14" s="1">
        <v>2022210344</v>
      </c>
      <c r="F14" s="1" t="s">
        <v>49</v>
      </c>
      <c r="G14" s="2">
        <v>80</v>
      </c>
      <c r="H14" s="2">
        <v>70</v>
      </c>
      <c r="I14" s="2">
        <v>70</v>
      </c>
      <c r="J14" s="2">
        <v>83.3</v>
      </c>
      <c r="K14" s="2">
        <f t="shared" si="1"/>
        <v>76.989999999999995</v>
      </c>
      <c r="L14" s="3">
        <v>76.989999999999995</v>
      </c>
      <c r="M14" s="4" t="s">
        <v>93</v>
      </c>
      <c r="N14" s="4" t="s">
        <v>49</v>
      </c>
      <c r="O14" s="4" t="s">
        <v>69</v>
      </c>
      <c r="P14" s="4" t="s">
        <v>75</v>
      </c>
      <c r="Q14" s="4" t="s">
        <v>85</v>
      </c>
      <c r="R14" s="3">
        <v>76.989999999999995</v>
      </c>
    </row>
    <row r="15" spans="5:18" ht="20.399999999999999" x14ac:dyDescent="0.3">
      <c r="E15" s="1">
        <v>2022210346</v>
      </c>
      <c r="F15" s="1" t="s">
        <v>36</v>
      </c>
      <c r="G15" s="2">
        <v>90</v>
      </c>
      <c r="H15" s="2">
        <v>90</v>
      </c>
      <c r="I15" s="2">
        <v>90</v>
      </c>
      <c r="J15" s="2">
        <v>93</v>
      </c>
      <c r="K15" s="2">
        <f t="shared" si="1"/>
        <v>90.9</v>
      </c>
      <c r="L15" s="3">
        <v>90.9</v>
      </c>
      <c r="M15" s="4" t="s">
        <v>94</v>
      </c>
      <c r="N15" s="4" t="s">
        <v>36</v>
      </c>
      <c r="O15" s="4" t="s">
        <v>69</v>
      </c>
      <c r="P15" s="4" t="s">
        <v>75</v>
      </c>
      <c r="Q15" s="4" t="s">
        <v>76</v>
      </c>
      <c r="R15" s="3">
        <v>90.9</v>
      </c>
    </row>
    <row r="16" spans="5:18" ht="20.399999999999999" x14ac:dyDescent="0.3">
      <c r="E16" s="1">
        <v>2022210347</v>
      </c>
      <c r="F16" s="1" t="s">
        <v>46</v>
      </c>
      <c r="G16" s="2">
        <v>86</v>
      </c>
      <c r="H16" s="2">
        <v>84</v>
      </c>
      <c r="I16" s="2">
        <v>88</v>
      </c>
      <c r="J16" s="2">
        <v>80</v>
      </c>
      <c r="K16" s="2">
        <f t="shared" si="1"/>
        <v>84.2</v>
      </c>
      <c r="L16" s="3">
        <v>84.2</v>
      </c>
      <c r="M16" s="4" t="s">
        <v>95</v>
      </c>
      <c r="N16" s="4" t="s">
        <v>46</v>
      </c>
      <c r="O16" s="4" t="s">
        <v>69</v>
      </c>
      <c r="P16" s="4" t="s">
        <v>75</v>
      </c>
      <c r="Q16" s="4" t="s">
        <v>76</v>
      </c>
      <c r="R16" s="3">
        <v>84.2</v>
      </c>
    </row>
    <row r="17" spans="5:18" ht="20.399999999999999" x14ac:dyDescent="0.3">
      <c r="E17" s="1">
        <v>2022210348</v>
      </c>
      <c r="F17" s="1" t="s">
        <v>31</v>
      </c>
      <c r="G17" s="2">
        <v>80</v>
      </c>
      <c r="H17" s="2">
        <v>76</v>
      </c>
      <c r="I17" s="2">
        <v>80</v>
      </c>
      <c r="J17" s="2">
        <v>82</v>
      </c>
      <c r="K17" s="2">
        <f t="shared" si="1"/>
        <v>79.8</v>
      </c>
      <c r="L17" s="3">
        <v>79.8</v>
      </c>
      <c r="M17" s="4" t="s">
        <v>96</v>
      </c>
      <c r="N17" s="4" t="s">
        <v>31</v>
      </c>
      <c r="O17" s="4" t="s">
        <v>69</v>
      </c>
      <c r="P17" s="4" t="s">
        <v>75</v>
      </c>
      <c r="Q17" s="4" t="s">
        <v>73</v>
      </c>
      <c r="R17" s="3">
        <v>79.8</v>
      </c>
    </row>
    <row r="18" spans="5:18" ht="20.399999999999999" x14ac:dyDescent="0.3">
      <c r="E18" s="1">
        <v>2022210351</v>
      </c>
      <c r="F18" s="1" t="s">
        <v>29</v>
      </c>
      <c r="G18" s="2">
        <v>78</v>
      </c>
      <c r="H18" s="2">
        <v>76</v>
      </c>
      <c r="I18" s="2">
        <v>80</v>
      </c>
      <c r="J18" s="2">
        <v>84</v>
      </c>
      <c r="K18" s="2">
        <f t="shared" si="1"/>
        <v>79.8</v>
      </c>
      <c r="L18" s="3">
        <v>79.8</v>
      </c>
      <c r="M18" s="4" t="s">
        <v>97</v>
      </c>
      <c r="N18" s="4" t="s">
        <v>29</v>
      </c>
      <c r="O18" s="4" t="s">
        <v>69</v>
      </c>
      <c r="P18" s="4" t="s">
        <v>75</v>
      </c>
      <c r="Q18" s="4" t="s">
        <v>91</v>
      </c>
      <c r="R18" s="3">
        <v>79.8</v>
      </c>
    </row>
    <row r="19" spans="5:18" ht="20.399999999999999" x14ac:dyDescent="0.3">
      <c r="E19" s="1">
        <v>2022210359</v>
      </c>
      <c r="F19" s="1" t="s">
        <v>58</v>
      </c>
      <c r="G19" s="2">
        <v>80</v>
      </c>
      <c r="H19" s="2">
        <v>70</v>
      </c>
      <c r="I19" s="2">
        <v>80</v>
      </c>
      <c r="J19" s="2">
        <v>83.3</v>
      </c>
      <c r="K19" s="2">
        <f t="shared" si="1"/>
        <v>78.989999999999995</v>
      </c>
      <c r="L19" s="3">
        <v>78.989999999999995</v>
      </c>
      <c r="M19" s="4" t="s">
        <v>98</v>
      </c>
      <c r="N19" s="4" t="s">
        <v>58</v>
      </c>
      <c r="O19" s="4" t="s">
        <v>69</v>
      </c>
      <c r="P19" s="4" t="s">
        <v>75</v>
      </c>
      <c r="Q19" s="4" t="s">
        <v>99</v>
      </c>
      <c r="R19" s="3">
        <v>78.989999999999995</v>
      </c>
    </row>
    <row r="20" spans="5:18" ht="20.399999999999999" x14ac:dyDescent="0.3">
      <c r="E20" s="1">
        <v>2022210360</v>
      </c>
      <c r="F20" s="1" t="s">
        <v>42</v>
      </c>
      <c r="G20" s="2">
        <v>70</v>
      </c>
      <c r="H20" s="2">
        <v>70</v>
      </c>
      <c r="I20" s="2">
        <v>68</v>
      </c>
      <c r="J20" s="2">
        <v>74</v>
      </c>
      <c r="K20" s="2">
        <f t="shared" si="1"/>
        <v>70.8</v>
      </c>
      <c r="L20" s="3">
        <v>70.8</v>
      </c>
      <c r="M20" s="4" t="s">
        <v>100</v>
      </c>
      <c r="N20" s="4" t="s">
        <v>42</v>
      </c>
      <c r="O20" s="4" t="s">
        <v>69</v>
      </c>
      <c r="P20" s="4" t="s">
        <v>75</v>
      </c>
      <c r="Q20" s="4" t="s">
        <v>91</v>
      </c>
      <c r="R20" s="3">
        <v>70.8</v>
      </c>
    </row>
    <row r="21" spans="5:18" ht="20.399999999999999" x14ac:dyDescent="0.3">
      <c r="E21" s="1">
        <v>2022210361</v>
      </c>
      <c r="F21" s="1" t="s">
        <v>56</v>
      </c>
      <c r="G21" s="2">
        <v>90</v>
      </c>
      <c r="H21" s="2">
        <v>88</v>
      </c>
      <c r="I21" s="2">
        <v>93</v>
      </c>
      <c r="J21" s="2">
        <v>90.7</v>
      </c>
      <c r="K21" s="2">
        <f t="shared" si="1"/>
        <v>90.41</v>
      </c>
      <c r="L21" s="3">
        <v>90.41</v>
      </c>
      <c r="M21" s="4" t="s">
        <v>101</v>
      </c>
      <c r="N21" s="4" t="s">
        <v>56</v>
      </c>
      <c r="O21" s="4" t="s">
        <v>69</v>
      </c>
      <c r="P21" s="4" t="s">
        <v>75</v>
      </c>
      <c r="Q21" s="4" t="s">
        <v>79</v>
      </c>
      <c r="R21" s="3">
        <v>90.41</v>
      </c>
    </row>
    <row r="22" spans="5:18" ht="20.399999999999999" x14ac:dyDescent="0.3">
      <c r="E22" s="1">
        <v>2022210362</v>
      </c>
      <c r="F22" s="1" t="s">
        <v>22</v>
      </c>
      <c r="G22" s="2">
        <v>70</v>
      </c>
      <c r="H22" s="2">
        <v>70</v>
      </c>
      <c r="I22" s="2">
        <v>64</v>
      </c>
      <c r="J22" s="2">
        <v>60</v>
      </c>
      <c r="K22" s="2">
        <f t="shared" si="1"/>
        <v>65.8</v>
      </c>
      <c r="L22" s="3">
        <v>65.8</v>
      </c>
      <c r="M22" s="4" t="s">
        <v>102</v>
      </c>
      <c r="N22" s="4" t="s">
        <v>22</v>
      </c>
      <c r="O22" s="4" t="s">
        <v>69</v>
      </c>
      <c r="P22" s="4" t="s">
        <v>75</v>
      </c>
      <c r="Q22" s="4" t="s">
        <v>103</v>
      </c>
      <c r="R22" s="3">
        <v>65.8</v>
      </c>
    </row>
    <row r="23" spans="5:18" ht="20.399999999999999" x14ac:dyDescent="0.3">
      <c r="E23" s="1">
        <v>2022210367</v>
      </c>
      <c r="F23" s="1" t="s">
        <v>44</v>
      </c>
      <c r="G23" s="2">
        <v>90</v>
      </c>
      <c r="H23" s="2">
        <v>88</v>
      </c>
      <c r="I23" s="2">
        <v>92</v>
      </c>
      <c r="J23" s="2">
        <v>81</v>
      </c>
      <c r="K23" s="2">
        <f t="shared" si="1"/>
        <v>87.3</v>
      </c>
      <c r="L23" s="3">
        <v>87.3</v>
      </c>
      <c r="M23" s="4" t="s">
        <v>104</v>
      </c>
      <c r="N23" s="4" t="s">
        <v>44</v>
      </c>
      <c r="O23" s="4" t="s">
        <v>69</v>
      </c>
      <c r="P23" s="4" t="s">
        <v>75</v>
      </c>
      <c r="Q23" s="4" t="s">
        <v>83</v>
      </c>
      <c r="R23" s="3">
        <v>87.3</v>
      </c>
    </row>
    <row r="24" spans="5:18" ht="20.399999999999999" x14ac:dyDescent="0.3">
      <c r="E24" s="1">
        <v>2022210371</v>
      </c>
      <c r="F24" s="1" t="s">
        <v>28</v>
      </c>
      <c r="G24" s="2">
        <v>80</v>
      </c>
      <c r="H24" s="2">
        <v>80</v>
      </c>
      <c r="I24" s="2">
        <v>78</v>
      </c>
      <c r="J24" s="2">
        <v>72</v>
      </c>
      <c r="K24" s="2">
        <f t="shared" si="1"/>
        <v>77.2</v>
      </c>
      <c r="L24" s="3">
        <v>77.2</v>
      </c>
      <c r="M24" s="4" t="s">
        <v>105</v>
      </c>
      <c r="N24" s="4" t="s">
        <v>28</v>
      </c>
      <c r="O24" s="4" t="s">
        <v>69</v>
      </c>
      <c r="P24" s="4" t="s">
        <v>75</v>
      </c>
      <c r="Q24" s="4" t="s">
        <v>106</v>
      </c>
      <c r="R24" s="3">
        <v>77.2</v>
      </c>
    </row>
    <row r="25" spans="5:18" ht="20.399999999999999" x14ac:dyDescent="0.3">
      <c r="E25" s="1">
        <v>2022210374</v>
      </c>
      <c r="F25" s="1" t="s">
        <v>39</v>
      </c>
      <c r="G25" s="2">
        <v>70</v>
      </c>
      <c r="H25" s="2">
        <v>70</v>
      </c>
      <c r="I25" s="2">
        <v>76</v>
      </c>
      <c r="J25" s="2">
        <v>80</v>
      </c>
      <c r="K25" s="2">
        <f t="shared" si="1"/>
        <v>74.2</v>
      </c>
      <c r="L25" s="3">
        <v>74.2</v>
      </c>
      <c r="M25" s="4" t="s">
        <v>107</v>
      </c>
      <c r="N25" s="4" t="s">
        <v>39</v>
      </c>
      <c r="O25" s="4" t="s">
        <v>69</v>
      </c>
      <c r="P25" s="4" t="s">
        <v>75</v>
      </c>
      <c r="Q25" s="4" t="s">
        <v>81</v>
      </c>
      <c r="R25" s="3">
        <v>74.2</v>
      </c>
    </row>
    <row r="26" spans="5:18" ht="20.399999999999999" x14ac:dyDescent="0.3">
      <c r="E26" s="1">
        <v>2022210376</v>
      </c>
      <c r="F26" s="1" t="s">
        <v>57</v>
      </c>
      <c r="G26" s="2">
        <v>96</v>
      </c>
      <c r="H26" s="2">
        <v>94</v>
      </c>
      <c r="I26" s="2">
        <v>98</v>
      </c>
      <c r="J26" s="2">
        <v>94.7</v>
      </c>
      <c r="K26" s="2">
        <f t="shared" si="1"/>
        <v>95.61</v>
      </c>
      <c r="L26" s="3">
        <v>95.61</v>
      </c>
      <c r="M26" s="4" t="s">
        <v>108</v>
      </c>
      <c r="N26" s="4" t="s">
        <v>57</v>
      </c>
      <c r="O26" s="4" t="s">
        <v>69</v>
      </c>
      <c r="P26" s="4" t="s">
        <v>75</v>
      </c>
      <c r="Q26" s="4" t="s">
        <v>106</v>
      </c>
      <c r="R26" s="3">
        <v>95.61</v>
      </c>
    </row>
    <row r="27" spans="5:18" ht="20.399999999999999" x14ac:dyDescent="0.3">
      <c r="E27" s="1">
        <v>2022210378</v>
      </c>
      <c r="F27" s="1" t="s">
        <v>41</v>
      </c>
      <c r="G27" s="2">
        <v>67</v>
      </c>
      <c r="H27" s="2">
        <v>62</v>
      </c>
      <c r="I27" s="2">
        <v>62</v>
      </c>
      <c r="J27" s="2">
        <v>82</v>
      </c>
      <c r="K27" s="2">
        <f t="shared" si="1"/>
        <v>69.5</v>
      </c>
      <c r="L27" s="3">
        <v>69.5</v>
      </c>
      <c r="M27" s="4" t="s">
        <v>109</v>
      </c>
      <c r="N27" s="4" t="s">
        <v>41</v>
      </c>
      <c r="O27" s="4" t="s">
        <v>69</v>
      </c>
      <c r="P27" s="4" t="s">
        <v>75</v>
      </c>
      <c r="Q27" s="4" t="s">
        <v>81</v>
      </c>
      <c r="R27" s="3">
        <v>69.5</v>
      </c>
    </row>
    <row r="28" spans="5:18" ht="20.399999999999999" x14ac:dyDescent="0.3">
      <c r="E28" s="1">
        <v>2022210380</v>
      </c>
      <c r="F28" s="1" t="s">
        <v>30</v>
      </c>
      <c r="G28" s="2">
        <v>82</v>
      </c>
      <c r="H28" s="2">
        <v>80</v>
      </c>
      <c r="I28" s="2">
        <v>82</v>
      </c>
      <c r="J28" s="2">
        <v>67</v>
      </c>
      <c r="K28" s="2">
        <f t="shared" si="1"/>
        <v>77.099999999999994</v>
      </c>
      <c r="L28" s="3">
        <v>77.099999999999994</v>
      </c>
      <c r="M28" s="4" t="s">
        <v>110</v>
      </c>
      <c r="N28" s="4" t="s">
        <v>30</v>
      </c>
      <c r="O28" s="4" t="s">
        <v>69</v>
      </c>
      <c r="P28" s="4" t="s">
        <v>75</v>
      </c>
      <c r="Q28" s="4" t="s">
        <v>85</v>
      </c>
      <c r="R28" s="3">
        <v>77.099999999999994</v>
      </c>
    </row>
    <row r="29" spans="5:18" ht="20.399999999999999" x14ac:dyDescent="0.3">
      <c r="E29" s="1">
        <v>2022210381</v>
      </c>
      <c r="F29" s="1" t="s">
        <v>24</v>
      </c>
      <c r="G29" s="2">
        <v>80</v>
      </c>
      <c r="H29" s="2">
        <v>70</v>
      </c>
      <c r="I29" s="2">
        <v>68</v>
      </c>
      <c r="J29" s="2">
        <v>79.3</v>
      </c>
      <c r="K29" s="2">
        <f t="shared" si="1"/>
        <v>75.39</v>
      </c>
      <c r="L29" s="3">
        <v>75.39</v>
      </c>
      <c r="M29" s="4" t="s">
        <v>111</v>
      </c>
      <c r="N29" s="4" t="s">
        <v>24</v>
      </c>
      <c r="O29" s="4" t="s">
        <v>69</v>
      </c>
      <c r="P29" s="4" t="s">
        <v>70</v>
      </c>
      <c r="Q29" s="4" t="s">
        <v>112</v>
      </c>
      <c r="R29" s="3">
        <v>75.39</v>
      </c>
    </row>
    <row r="30" spans="5:18" ht="20.399999999999999" x14ac:dyDescent="0.3">
      <c r="E30" s="1">
        <v>2022210384</v>
      </c>
      <c r="F30" s="1" t="s">
        <v>45</v>
      </c>
      <c r="G30" s="2">
        <v>82</v>
      </c>
      <c r="H30" s="2">
        <v>78</v>
      </c>
      <c r="I30" s="2">
        <v>70</v>
      </c>
      <c r="J30" s="2">
        <v>68</v>
      </c>
      <c r="K30" s="2">
        <f t="shared" si="1"/>
        <v>74.599999999999994</v>
      </c>
      <c r="L30" s="3">
        <v>74.599999999999994</v>
      </c>
      <c r="M30" s="4" t="s">
        <v>113</v>
      </c>
      <c r="N30" s="4" t="s">
        <v>45</v>
      </c>
      <c r="O30" s="4" t="s">
        <v>69</v>
      </c>
      <c r="P30" s="4" t="s">
        <v>70</v>
      </c>
      <c r="Q30" s="4" t="s">
        <v>79</v>
      </c>
      <c r="R30" s="3">
        <v>74.599999999999994</v>
      </c>
    </row>
    <row r="31" spans="5:18" ht="20.399999999999999" x14ac:dyDescent="0.3">
      <c r="E31" s="1">
        <v>2022210385</v>
      </c>
      <c r="F31" s="1" t="s">
        <v>23</v>
      </c>
      <c r="G31" s="2">
        <v>80</v>
      </c>
      <c r="H31" s="2">
        <v>78</v>
      </c>
      <c r="I31" s="2">
        <v>78</v>
      </c>
      <c r="J31" s="2">
        <v>73</v>
      </c>
      <c r="K31" s="2">
        <f t="shared" si="1"/>
        <v>77.099999999999994</v>
      </c>
      <c r="L31" s="3">
        <v>77.099999999999994</v>
      </c>
      <c r="M31" s="4" t="s">
        <v>114</v>
      </c>
      <c r="N31" s="4" t="s">
        <v>23</v>
      </c>
      <c r="O31" s="4" t="s">
        <v>69</v>
      </c>
      <c r="P31" s="4" t="s">
        <v>70</v>
      </c>
      <c r="Q31" s="4" t="s">
        <v>115</v>
      </c>
      <c r="R31" s="3">
        <v>77.099999999999994</v>
      </c>
    </row>
    <row r="32" spans="5:18" ht="20.399999999999999" x14ac:dyDescent="0.3">
      <c r="E32" s="1">
        <v>2022210387</v>
      </c>
      <c r="F32" s="1" t="s">
        <v>34</v>
      </c>
      <c r="G32" s="2">
        <v>90</v>
      </c>
      <c r="H32" s="2">
        <v>88</v>
      </c>
      <c r="I32" s="2">
        <v>90</v>
      </c>
      <c r="J32" s="2">
        <v>89.7</v>
      </c>
      <c r="K32" s="2">
        <f t="shared" si="1"/>
        <v>89.51</v>
      </c>
      <c r="L32" s="3">
        <v>89.51</v>
      </c>
      <c r="M32" s="4" t="s">
        <v>116</v>
      </c>
      <c r="N32" s="4" t="s">
        <v>34</v>
      </c>
      <c r="O32" s="4" t="s">
        <v>69</v>
      </c>
      <c r="P32" s="4" t="s">
        <v>70</v>
      </c>
      <c r="Q32" s="4" t="s">
        <v>83</v>
      </c>
      <c r="R32" s="3">
        <v>89.51</v>
      </c>
    </row>
    <row r="33" spans="5:18" ht="20.399999999999999" x14ac:dyDescent="0.3">
      <c r="E33" s="1">
        <v>2022210389</v>
      </c>
      <c r="F33" s="1" t="s">
        <v>43</v>
      </c>
      <c r="G33" s="2">
        <v>66</v>
      </c>
      <c r="H33" s="2">
        <v>62</v>
      </c>
      <c r="I33" s="2">
        <v>62</v>
      </c>
      <c r="J33" s="2">
        <v>75</v>
      </c>
      <c r="K33" s="2">
        <f t="shared" si="1"/>
        <v>67.099999999999994</v>
      </c>
      <c r="L33" s="3">
        <v>67.099999999999994</v>
      </c>
      <c r="M33" s="4" t="s">
        <v>117</v>
      </c>
      <c r="N33" s="4" t="s">
        <v>43</v>
      </c>
      <c r="O33" s="4" t="s">
        <v>69</v>
      </c>
      <c r="P33" s="4" t="s">
        <v>70</v>
      </c>
      <c r="Q33" s="4" t="s">
        <v>73</v>
      </c>
      <c r="R33" s="3">
        <v>67.099999999999994</v>
      </c>
    </row>
    <row r="34" spans="5:18" ht="20.399999999999999" x14ac:dyDescent="0.3">
      <c r="E34" s="1">
        <v>2022210392</v>
      </c>
      <c r="F34" s="1" t="s">
        <v>60</v>
      </c>
      <c r="G34" s="2">
        <v>78</v>
      </c>
      <c r="H34" s="2">
        <v>76</v>
      </c>
      <c r="I34" s="2">
        <v>76</v>
      </c>
      <c r="J34" s="2">
        <v>73</v>
      </c>
      <c r="K34" s="2">
        <f t="shared" si="1"/>
        <v>75.7</v>
      </c>
      <c r="L34" s="3">
        <v>75.7</v>
      </c>
      <c r="M34" s="4" t="s">
        <v>118</v>
      </c>
      <c r="N34" s="4" t="s">
        <v>60</v>
      </c>
      <c r="O34" s="4" t="s">
        <v>69</v>
      </c>
      <c r="P34" s="4" t="s">
        <v>70</v>
      </c>
      <c r="Q34" s="4" t="s">
        <v>76</v>
      </c>
      <c r="R34" s="3">
        <v>75.7</v>
      </c>
    </row>
    <row r="35" spans="5:18" ht="20.399999999999999" x14ac:dyDescent="0.3">
      <c r="E35" s="1">
        <v>2022210393</v>
      </c>
      <c r="F35" s="1" t="s">
        <v>38</v>
      </c>
      <c r="G35" s="2">
        <v>88</v>
      </c>
      <c r="H35" s="2">
        <v>86</v>
      </c>
      <c r="I35" s="2">
        <v>84</v>
      </c>
      <c r="J35" s="2">
        <v>87</v>
      </c>
      <c r="K35" s="2">
        <f t="shared" si="1"/>
        <v>86.5</v>
      </c>
      <c r="L35" s="3">
        <v>86.5</v>
      </c>
      <c r="M35" s="4" t="s">
        <v>119</v>
      </c>
      <c r="N35" s="4" t="s">
        <v>38</v>
      </c>
      <c r="O35" s="4" t="s">
        <v>69</v>
      </c>
      <c r="P35" s="4" t="s">
        <v>70</v>
      </c>
      <c r="Q35" s="4" t="s">
        <v>115</v>
      </c>
      <c r="R35" s="3">
        <v>86.5</v>
      </c>
    </row>
    <row r="36" spans="5:18" ht="20.399999999999999" x14ac:dyDescent="0.3">
      <c r="E36" s="1">
        <v>2022210394</v>
      </c>
      <c r="F36" s="1" t="s">
        <v>65</v>
      </c>
      <c r="G36" s="2">
        <v>78</v>
      </c>
      <c r="H36" s="2">
        <v>76</v>
      </c>
      <c r="I36" s="2">
        <v>82</v>
      </c>
      <c r="J36" s="2">
        <v>88.3</v>
      </c>
      <c r="K36" s="2">
        <f t="shared" si="1"/>
        <v>81.489999999999995</v>
      </c>
      <c r="L36" s="3">
        <v>81.489999999999995</v>
      </c>
      <c r="M36" s="4" t="s">
        <v>120</v>
      </c>
      <c r="N36" s="4" t="s">
        <v>65</v>
      </c>
      <c r="O36" s="4" t="s">
        <v>69</v>
      </c>
      <c r="P36" s="4" t="s">
        <v>70</v>
      </c>
      <c r="Q36" s="4" t="s">
        <v>73</v>
      </c>
      <c r="R36" s="3">
        <v>81.489999999999995</v>
      </c>
    </row>
    <row r="37" spans="5:18" ht="20.399999999999999" x14ac:dyDescent="0.3">
      <c r="E37" s="1">
        <v>2022210400</v>
      </c>
      <c r="F37" s="1" t="s">
        <v>35</v>
      </c>
      <c r="G37" s="2">
        <v>94</v>
      </c>
      <c r="H37" s="2">
        <v>92</v>
      </c>
      <c r="I37" s="2">
        <v>96</v>
      </c>
      <c r="J37" s="2">
        <v>92</v>
      </c>
      <c r="K37" s="2">
        <f t="shared" si="1"/>
        <v>93.4</v>
      </c>
      <c r="L37" s="3">
        <v>93.4</v>
      </c>
      <c r="M37" s="4" t="s">
        <v>121</v>
      </c>
      <c r="N37" s="4" t="s">
        <v>35</v>
      </c>
      <c r="O37" s="4" t="s">
        <v>69</v>
      </c>
      <c r="P37" s="4" t="s">
        <v>70</v>
      </c>
      <c r="Q37" s="4" t="s">
        <v>73</v>
      </c>
      <c r="R37" s="3">
        <v>93.4</v>
      </c>
    </row>
    <row r="38" spans="5:18" ht="20.399999999999999" x14ac:dyDescent="0.3">
      <c r="E38" s="1">
        <v>2022210401</v>
      </c>
      <c r="F38" s="1" t="s">
        <v>20</v>
      </c>
      <c r="G38" s="2">
        <v>78</v>
      </c>
      <c r="H38" s="2">
        <v>76</v>
      </c>
      <c r="I38" s="2">
        <v>74</v>
      </c>
      <c r="J38" s="2">
        <v>79.3</v>
      </c>
      <c r="K38" s="2">
        <f t="shared" si="1"/>
        <v>77.19</v>
      </c>
      <c r="L38" s="3">
        <v>77.19</v>
      </c>
      <c r="M38" s="4" t="s">
        <v>122</v>
      </c>
      <c r="N38" s="4" t="s">
        <v>20</v>
      </c>
      <c r="O38" s="4" t="s">
        <v>69</v>
      </c>
      <c r="P38" s="4" t="s">
        <v>70</v>
      </c>
      <c r="Q38" s="4" t="s">
        <v>123</v>
      </c>
      <c r="R38" s="3">
        <v>77.19</v>
      </c>
    </row>
    <row r="39" spans="5:18" ht="20.399999999999999" x14ac:dyDescent="0.3">
      <c r="E39" s="1">
        <v>2022210402</v>
      </c>
      <c r="F39" s="1" t="s">
        <v>18</v>
      </c>
      <c r="G39" s="2">
        <v>92</v>
      </c>
      <c r="H39" s="2">
        <v>90</v>
      </c>
      <c r="I39" s="2">
        <v>88</v>
      </c>
      <c r="J39" s="2">
        <v>92</v>
      </c>
      <c r="K39" s="2">
        <f t="shared" si="1"/>
        <v>90.8</v>
      </c>
      <c r="L39" s="3">
        <v>90.8</v>
      </c>
      <c r="M39" s="4" t="s">
        <v>124</v>
      </c>
      <c r="N39" s="4" t="s">
        <v>18</v>
      </c>
      <c r="O39" s="4" t="s">
        <v>69</v>
      </c>
      <c r="P39" s="4" t="s">
        <v>70</v>
      </c>
      <c r="Q39" s="4" t="s">
        <v>106</v>
      </c>
      <c r="R39" s="3">
        <v>90.8</v>
      </c>
    </row>
    <row r="40" spans="5:18" ht="20.399999999999999" x14ac:dyDescent="0.3">
      <c r="E40" s="1">
        <v>2022210404</v>
      </c>
      <c r="F40" s="1" t="s">
        <v>17</v>
      </c>
      <c r="G40" s="2">
        <v>80</v>
      </c>
      <c r="H40" s="2">
        <v>70</v>
      </c>
      <c r="I40" s="2">
        <v>80</v>
      </c>
      <c r="J40" s="2">
        <v>50</v>
      </c>
      <c r="K40" s="2">
        <f t="shared" si="1"/>
        <v>69</v>
      </c>
      <c r="L40" s="3">
        <v>69</v>
      </c>
      <c r="M40" s="4" t="s">
        <v>125</v>
      </c>
      <c r="N40" s="4" t="s">
        <v>17</v>
      </c>
      <c r="O40" s="4" t="s">
        <v>69</v>
      </c>
      <c r="P40" s="4" t="s">
        <v>70</v>
      </c>
      <c r="Q40" s="4" t="s">
        <v>85</v>
      </c>
      <c r="R40" s="3">
        <v>69</v>
      </c>
    </row>
    <row r="41" spans="5:18" ht="20.399999999999999" x14ac:dyDescent="0.3">
      <c r="E41" s="1">
        <v>2022210405</v>
      </c>
      <c r="F41" s="1" t="s">
        <v>62</v>
      </c>
      <c r="G41" s="2">
        <v>78</v>
      </c>
      <c r="H41" s="2">
        <v>76</v>
      </c>
      <c r="I41" s="2">
        <v>80</v>
      </c>
      <c r="J41" s="2">
        <v>90</v>
      </c>
      <c r="K41" s="2">
        <f t="shared" si="1"/>
        <v>81.599999999999994</v>
      </c>
      <c r="L41" s="3">
        <v>81.599999999999994</v>
      </c>
      <c r="M41" s="4" t="s">
        <v>126</v>
      </c>
      <c r="N41" s="4" t="s">
        <v>62</v>
      </c>
      <c r="O41" s="4" t="s">
        <v>69</v>
      </c>
      <c r="P41" s="4" t="s">
        <v>70</v>
      </c>
      <c r="Q41" s="4" t="s">
        <v>127</v>
      </c>
      <c r="R41" s="3">
        <v>81.599999999999994</v>
      </c>
    </row>
    <row r="42" spans="5:18" ht="20.399999999999999" x14ac:dyDescent="0.3">
      <c r="E42" s="1"/>
      <c r="F42" s="1"/>
      <c r="G42" s="2"/>
      <c r="H42" s="2"/>
      <c r="I42" s="2"/>
      <c r="J42" s="2"/>
      <c r="K42" s="2"/>
      <c r="L42" s="3"/>
      <c r="M42" s="4" t="s">
        <v>128</v>
      </c>
      <c r="N42" s="5" t="s">
        <v>129</v>
      </c>
      <c r="O42" s="4" t="s">
        <v>69</v>
      </c>
      <c r="P42" s="4" t="s">
        <v>70</v>
      </c>
      <c r="Q42" s="4" t="s">
        <v>99</v>
      </c>
      <c r="R42" s="3"/>
    </row>
    <row r="43" spans="5:18" ht="20.399999999999999" x14ac:dyDescent="0.3">
      <c r="E43" s="1">
        <v>2022210411</v>
      </c>
      <c r="F43" s="1" t="s">
        <v>11</v>
      </c>
      <c r="G43" s="2">
        <v>50</v>
      </c>
      <c r="H43" s="2">
        <v>50</v>
      </c>
      <c r="I43" s="2">
        <v>50</v>
      </c>
      <c r="J43" s="2">
        <v>60</v>
      </c>
      <c r="K43" s="2">
        <f t="shared" ref="K43:K51" si="2">G43*0.3+H43*0.2+I43*0.2+J43*0.3</f>
        <v>53</v>
      </c>
      <c r="L43" s="3">
        <v>53</v>
      </c>
      <c r="M43" s="4" t="s">
        <v>130</v>
      </c>
      <c r="N43" s="4" t="s">
        <v>11</v>
      </c>
      <c r="O43" s="4" t="s">
        <v>69</v>
      </c>
      <c r="P43" s="4" t="s">
        <v>70</v>
      </c>
      <c r="Q43" s="4" t="s">
        <v>73</v>
      </c>
      <c r="R43" s="3">
        <v>53</v>
      </c>
    </row>
    <row r="44" spans="5:18" ht="20.399999999999999" x14ac:dyDescent="0.3">
      <c r="E44" s="1">
        <v>2022210414</v>
      </c>
      <c r="F44" s="1" t="s">
        <v>21</v>
      </c>
      <c r="G44" s="2">
        <v>86</v>
      </c>
      <c r="H44" s="2">
        <v>82</v>
      </c>
      <c r="I44" s="2">
        <v>80</v>
      </c>
      <c r="J44" s="2">
        <v>81</v>
      </c>
      <c r="K44" s="2">
        <f t="shared" si="2"/>
        <v>82.5</v>
      </c>
      <c r="L44" s="3">
        <v>82.5</v>
      </c>
      <c r="M44" s="4" t="s">
        <v>131</v>
      </c>
      <c r="N44" s="4" t="s">
        <v>21</v>
      </c>
      <c r="O44" s="4" t="s">
        <v>69</v>
      </c>
      <c r="P44" s="4" t="s">
        <v>70</v>
      </c>
      <c r="Q44" s="4" t="s">
        <v>73</v>
      </c>
      <c r="R44" s="3">
        <v>82.5</v>
      </c>
    </row>
    <row r="45" spans="5:18" ht="20.399999999999999" x14ac:dyDescent="0.3">
      <c r="E45" s="1">
        <v>2022210416</v>
      </c>
      <c r="F45" s="1" t="s">
        <v>55</v>
      </c>
      <c r="G45" s="2">
        <v>64</v>
      </c>
      <c r="H45" s="2">
        <v>62</v>
      </c>
      <c r="I45" s="2">
        <v>68</v>
      </c>
      <c r="J45" s="2">
        <v>67.3</v>
      </c>
      <c r="K45" s="2">
        <f t="shared" si="2"/>
        <v>65.39</v>
      </c>
      <c r="L45" s="3">
        <v>65.39</v>
      </c>
      <c r="M45" s="4" t="s">
        <v>132</v>
      </c>
      <c r="N45" s="4" t="s">
        <v>55</v>
      </c>
      <c r="O45" s="4" t="s">
        <v>69</v>
      </c>
      <c r="P45" s="4" t="s">
        <v>70</v>
      </c>
      <c r="Q45" s="4" t="s">
        <v>112</v>
      </c>
      <c r="R45" s="3">
        <v>65.39</v>
      </c>
    </row>
    <row r="46" spans="5:18" ht="20.399999999999999" x14ac:dyDescent="0.3">
      <c r="E46" s="1">
        <v>2022210417</v>
      </c>
      <c r="F46" s="1" t="s">
        <v>59</v>
      </c>
      <c r="G46" s="2">
        <v>80</v>
      </c>
      <c r="H46" s="2">
        <v>78</v>
      </c>
      <c r="I46" s="2">
        <v>78</v>
      </c>
      <c r="J46" s="2">
        <v>70</v>
      </c>
      <c r="K46" s="2">
        <f t="shared" si="2"/>
        <v>76.2</v>
      </c>
      <c r="L46" s="3">
        <v>76.2</v>
      </c>
      <c r="M46" s="4" t="s">
        <v>133</v>
      </c>
      <c r="N46" s="4" t="s">
        <v>59</v>
      </c>
      <c r="O46" s="4" t="s">
        <v>69</v>
      </c>
      <c r="P46" s="4" t="s">
        <v>70</v>
      </c>
      <c r="Q46" s="4" t="s">
        <v>123</v>
      </c>
      <c r="R46" s="3">
        <v>76.2</v>
      </c>
    </row>
    <row r="47" spans="5:18" ht="20.399999999999999" x14ac:dyDescent="0.3">
      <c r="E47" s="1">
        <v>2022210422</v>
      </c>
      <c r="F47" s="1" t="s">
        <v>16</v>
      </c>
      <c r="G47" s="2">
        <v>80</v>
      </c>
      <c r="H47" s="2">
        <v>70</v>
      </c>
      <c r="I47" s="2">
        <v>76</v>
      </c>
      <c r="J47" s="2">
        <v>76.7</v>
      </c>
      <c r="K47" s="2">
        <f t="shared" si="2"/>
        <v>76.209999999999994</v>
      </c>
      <c r="L47" s="3">
        <v>76.209999999999994</v>
      </c>
      <c r="M47" s="4" t="s">
        <v>134</v>
      </c>
      <c r="N47" s="4" t="s">
        <v>16</v>
      </c>
      <c r="O47" s="4" t="s">
        <v>69</v>
      </c>
      <c r="P47" s="4" t="s">
        <v>70</v>
      </c>
      <c r="Q47" s="4" t="s">
        <v>79</v>
      </c>
      <c r="R47" s="3">
        <v>76.209999999999994</v>
      </c>
    </row>
    <row r="48" spans="5:18" ht="20.399999999999999" x14ac:dyDescent="0.3">
      <c r="E48" s="1">
        <v>2022210423</v>
      </c>
      <c r="F48" s="1" t="s">
        <v>13</v>
      </c>
      <c r="G48" s="2">
        <v>60</v>
      </c>
      <c r="H48" s="2">
        <v>60</v>
      </c>
      <c r="I48" s="2">
        <v>50</v>
      </c>
      <c r="J48" s="2">
        <v>60</v>
      </c>
      <c r="K48" s="2">
        <f t="shared" si="2"/>
        <v>58</v>
      </c>
      <c r="L48" s="3">
        <v>58</v>
      </c>
      <c r="M48" s="4" t="s">
        <v>135</v>
      </c>
      <c r="N48" s="4" t="s">
        <v>13</v>
      </c>
      <c r="O48" s="4" t="s">
        <v>69</v>
      </c>
      <c r="P48" s="4" t="s">
        <v>70</v>
      </c>
      <c r="Q48" s="4" t="s">
        <v>85</v>
      </c>
      <c r="R48" s="3">
        <v>58</v>
      </c>
    </row>
    <row r="49" spans="5:18" ht="20.399999999999999" x14ac:dyDescent="0.3">
      <c r="E49" s="1">
        <v>2022210428</v>
      </c>
      <c r="F49" s="1" t="s">
        <v>64</v>
      </c>
      <c r="G49" s="2">
        <v>78</v>
      </c>
      <c r="H49" s="2">
        <v>76</v>
      </c>
      <c r="I49" s="2">
        <v>78</v>
      </c>
      <c r="J49" s="2">
        <v>77</v>
      </c>
      <c r="K49" s="2">
        <f t="shared" si="2"/>
        <v>77.3</v>
      </c>
      <c r="L49" s="3">
        <v>77.3</v>
      </c>
      <c r="M49" s="4" t="s">
        <v>136</v>
      </c>
      <c r="N49" s="4" t="s">
        <v>64</v>
      </c>
      <c r="O49" s="4" t="s">
        <v>69</v>
      </c>
      <c r="P49" s="4" t="s">
        <v>70</v>
      </c>
      <c r="Q49" s="4" t="s">
        <v>123</v>
      </c>
      <c r="R49" s="3">
        <v>77.3</v>
      </c>
    </row>
    <row r="50" spans="5:18" ht="20.399999999999999" x14ac:dyDescent="0.3">
      <c r="E50" s="1">
        <v>2022210429</v>
      </c>
      <c r="F50" s="1" t="s">
        <v>66</v>
      </c>
      <c r="G50" s="2">
        <v>76</v>
      </c>
      <c r="H50" s="2">
        <v>74</v>
      </c>
      <c r="I50" s="2">
        <v>60</v>
      </c>
      <c r="J50" s="2">
        <v>60</v>
      </c>
      <c r="K50" s="2">
        <f t="shared" si="2"/>
        <v>67.599999999999994</v>
      </c>
      <c r="L50" s="3">
        <v>67.599999999999994</v>
      </c>
      <c r="M50" s="4" t="s">
        <v>137</v>
      </c>
      <c r="N50" s="4" t="s">
        <v>66</v>
      </c>
      <c r="O50" s="4" t="s">
        <v>69</v>
      </c>
      <c r="P50" s="4" t="s">
        <v>70</v>
      </c>
      <c r="Q50" s="4" t="s">
        <v>83</v>
      </c>
      <c r="R50" s="3">
        <v>67.599999999999994</v>
      </c>
    </row>
    <row r="51" spans="5:18" ht="20.399999999999999" x14ac:dyDescent="0.3">
      <c r="E51" s="1">
        <v>2022210430</v>
      </c>
      <c r="F51" s="1" t="s">
        <v>32</v>
      </c>
      <c r="G51" s="2">
        <v>92</v>
      </c>
      <c r="H51" s="2">
        <v>92</v>
      </c>
      <c r="I51" s="2">
        <v>94</v>
      </c>
      <c r="J51" s="2">
        <v>90</v>
      </c>
      <c r="K51" s="2">
        <f t="shared" si="2"/>
        <v>91.8</v>
      </c>
      <c r="L51" s="3">
        <v>91.8</v>
      </c>
      <c r="M51" s="4" t="s">
        <v>138</v>
      </c>
      <c r="N51" s="4" t="s">
        <v>32</v>
      </c>
      <c r="O51" s="4" t="s">
        <v>69</v>
      </c>
      <c r="P51" s="4" t="s">
        <v>70</v>
      </c>
      <c r="Q51" s="4" t="s">
        <v>127</v>
      </c>
      <c r="R51" s="3">
        <v>91.8</v>
      </c>
    </row>
  </sheetData>
  <sortState xmlns:xlrd2="http://schemas.microsoft.com/office/spreadsheetml/2017/richdata2" ref="E2:L49">
    <sortCondition ref="E2:E49"/>
  </sortState>
  <phoneticPr fontId="8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sheetProtection formatCells="0" formatColumns="0" formatRows="0" insertColumns="0" insertRows="0" insertHyperlinks="0" deleteColumns="0" deleteRows="0" sort="0" autoFilter="0" pivotTables="0"/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6409810310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东良 刘</cp:lastModifiedBy>
  <dcterms:created xsi:type="dcterms:W3CDTF">2025-11-09T03:33:00Z</dcterms:created>
  <dcterms:modified xsi:type="dcterms:W3CDTF">2026-06-13T09:06:33Z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525E451714884BCEB65A4C72E87016FD_13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